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drawings/drawing1.xml" ContentType="application/vnd.openxmlformats-officedocument.drawing+xml"/>
  <Override PartName="/xl/tables/table60.xml" ContentType="application/vnd.openxmlformats-officedocument.spreadsheetml.table+xml"/>
  <Override PartName="/xl/drawings/drawing2.xml" ContentType="application/vnd.openxmlformats-officedocument.drawing+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defaultThemeVersion="124226"/>
  <xr:revisionPtr revIDLastSave="1075" documentId="6_{A6FF55B5-CDA4-478A-85F1-30FAFADC1D14}" xr6:coauthVersionLast="47" xr6:coauthVersionMax="47" xr10:uidLastSave="{72633846-447F-4B0C-BB07-959A201436F0}"/>
  <bookViews>
    <workbookView xWindow="-120" yWindow="-120" windowWidth="29040" windowHeight="15720" xr2:uid="{00000000-000D-0000-FFFF-FFFF00000000}"/>
  </bookViews>
  <sheets>
    <sheet name="Cover Sheet" sheetId="1" r:id="rId1"/>
    <sheet name="Table of contents" sheetId="2" r:id="rId2"/>
    <sheet name="Notes_A1 to A4" sheetId="3" r:id="rId3"/>
    <sheet name="Table_A1a" sheetId="4" r:id="rId4"/>
    <sheet name="Table_A1b" sheetId="5" r:id="rId5"/>
    <sheet name="Table_A2a" sheetId="6" r:id="rId6"/>
    <sheet name="Table_A2b" sheetId="7" r:id="rId7"/>
    <sheet name="Table_A3a" sheetId="8" r:id="rId8"/>
    <sheet name="Table_A3b" sheetId="9" r:id="rId9"/>
    <sheet name="Table_A4a" sheetId="18" r:id="rId10"/>
    <sheet name="Table_A4b" sheetId="19" r:id="rId11"/>
    <sheet name="Notes_A5 to A7" sheetId="33" r:id="rId12"/>
    <sheet name="Table_A5a" sheetId="34" r:id="rId13"/>
    <sheet name="Table_A5b" sheetId="35" r:id="rId14"/>
    <sheet name="Summary Table_A6" sheetId="47" r:id="rId15"/>
    <sheet name="Table_A7" sheetId="48" r:id="rId16"/>
    <sheet name="Notes_B1 to B10" sheetId="26" r:id="rId17"/>
    <sheet name="Worksheet_B1" sheetId="10" r:id="rId18"/>
    <sheet name="Table_B2" sheetId="51" r:id="rId19"/>
    <sheet name="Table_B3" sheetId="30" r:id="rId20"/>
    <sheet name="Table_B4" sheetId="31" r:id="rId21"/>
    <sheet name="Worksheet_B5" sheetId="40" r:id="rId22"/>
    <sheet name="Worksheet_B6" sheetId="41" r:id="rId23"/>
    <sheet name="Worksheet_B7" sheetId="42" r:id="rId24"/>
    <sheet name="Table_B8" sheetId="46" r:id="rId25"/>
    <sheet name="Worksheet_B9" sheetId="43" r:id="rId26"/>
    <sheet name="Table_B10" sheetId="44" r:id="rId27"/>
    <sheet name="Notes_C1 to C5" sheetId="20" r:id="rId28"/>
    <sheet name="Table_C1" sheetId="21" r:id="rId29"/>
    <sheet name="Table_C2" sheetId="22" r:id="rId30"/>
    <sheet name="Table_C3" sheetId="36" r:id="rId31"/>
    <sheet name="Table_C4" sheetId="37" r:id="rId32"/>
    <sheet name="Table_C5" sheetId="38" r:id="rId33"/>
    <sheet name="Notes_D1 to D6" sheetId="25" r:id="rId34"/>
    <sheet name="Worksheet_D1" sheetId="23" r:id="rId35"/>
    <sheet name="Worksheet_D2" sheetId="24" r:id="rId36"/>
    <sheet name="Table_D3" sheetId="27" r:id="rId37"/>
    <sheet name="Table_D4" sheetId="39" r:id="rId38"/>
    <sheet name="Table_D5" sheetId="32" r:id="rId39"/>
    <sheet name="Worksheet_D6" sheetId="49" r:id="rId40"/>
    <sheet name="Notes_E1 to E3" sheetId="29" r:id="rId41"/>
    <sheet name="Table_E1" sheetId="28" r:id="rId42"/>
    <sheet name="Worksheet_E2" sheetId="45" r:id="rId43"/>
    <sheet name="Table_E3" sheetId="50" r:id="rId4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2" i="39" l="1"/>
  <c r="T11" i="39"/>
  <c r="T10" i="39"/>
</calcChain>
</file>

<file path=xl/sharedStrings.xml><?xml version="1.0" encoding="utf-8"?>
<sst xmlns="http://schemas.openxmlformats.org/spreadsheetml/2006/main" count="13258" uniqueCount="1522">
  <si>
    <t>Crime in England and Wales, Appendix tables - year ending June 2025</t>
  </si>
  <si>
    <t>Information</t>
  </si>
  <si>
    <t>Useful links</t>
  </si>
  <si>
    <t>These data tables are published alongside the bulletin Crime in England &amp; Wales, year ending June 2025 published on 23 October 2025.</t>
  </si>
  <si>
    <t>Crime in England and Wales, year ending June 2025</t>
  </si>
  <si>
    <t>For dates of future publications please see the Office for National Statistics (ONS) Release Calendar.</t>
  </si>
  <si>
    <t>ONS Release Calendar</t>
  </si>
  <si>
    <t xml:space="preserve">Data tables shown in this workbook relate to both police recorded crime and survey data; the Crime Survey for England and Wales (CSEW) </t>
  </si>
  <si>
    <t xml:space="preserve">CSEW estimates are published as accredited official statistics.
Police recorded crime statistics are published as official statistics, not accredited official statistics. 
</t>
  </si>
  <si>
    <t>Office for Statistics Regulation's 'Accreditation of the estimates from the Crime Survey for England and Wales' note</t>
  </si>
  <si>
    <t>Due to the suspension of the CSEW during the Coronavirus (COVID-19) pandemic, data are not available for the year ending March 2021 and the year ending March 2022</t>
  </si>
  <si>
    <t>For explanatory notes on these statistics see the User guide to crime statistics for England and Wales</t>
  </si>
  <si>
    <t xml:space="preserve">User guide to crime statistics for England and Wales </t>
  </si>
  <si>
    <t>For further information about the Crime Survey for England and Wales and police recorded crime statistics, please email crimestatistics@ons.gov.uk</t>
  </si>
  <si>
    <t>crimestatistics@ons.gov.uk</t>
  </si>
  <si>
    <t>or write to: ONS Centre for Crime and Justice, Office for National Statistics, Room 4200(e), Segensworth Road, Titchfield, PO15 5RR</t>
  </si>
  <si>
    <t>Statistical contact: ONS Centre for Crime and Justice</t>
  </si>
  <si>
    <t>email: crimestatistics@ons.gov.uk</t>
  </si>
  <si>
    <t>Tel: +44 (0)20 7592 8695</t>
  </si>
  <si>
    <t>Table of contents</t>
  </si>
  <si>
    <t>This worksheet contains 5 tables.</t>
  </si>
  <si>
    <r>
      <t xml:space="preserve">Tables are organised into the following 5 sections; </t>
    </r>
    <r>
      <rPr>
        <b/>
        <sz val="12"/>
        <rFont val="Arial"/>
        <family val="2"/>
      </rPr>
      <t>section A</t>
    </r>
    <r>
      <rPr>
        <sz val="12"/>
        <rFont val="Arial"/>
        <family val="2"/>
      </rPr>
      <t xml:space="preserve"> (Headline crime and by crime type), </t>
    </r>
    <r>
      <rPr>
        <b/>
        <sz val="12"/>
        <rFont val="Arial"/>
        <family val="2"/>
      </rPr>
      <t>section B</t>
    </r>
    <r>
      <rPr>
        <sz val="12"/>
        <rFont val="Arial"/>
        <family val="2"/>
      </rPr>
      <t xml:space="preserve"> (Violent crime), </t>
    </r>
  </si>
  <si>
    <r>
      <rPr>
        <b/>
        <sz val="12"/>
        <rFont val="Arial"/>
        <family val="2"/>
      </rPr>
      <t>section C</t>
    </r>
    <r>
      <rPr>
        <sz val="12"/>
        <rFont val="Arial"/>
        <family val="2"/>
      </rPr>
      <t xml:space="preserve"> (Fraud, computer misuse and online crime), </t>
    </r>
    <r>
      <rPr>
        <b/>
        <sz val="12"/>
        <rFont val="Arial"/>
        <family val="2"/>
      </rPr>
      <t xml:space="preserve">section D </t>
    </r>
    <r>
      <rPr>
        <sz val="12"/>
        <rFont val="Arial"/>
        <family val="2"/>
      </rPr>
      <t xml:space="preserve">(Anti-social behaviour and non-notifiable offences) and </t>
    </r>
    <r>
      <rPr>
        <b/>
        <sz val="12"/>
        <rFont val="Arial"/>
        <family val="2"/>
      </rPr>
      <t>section E</t>
    </r>
    <r>
      <rPr>
        <sz val="12"/>
        <rFont val="Arial"/>
        <family val="2"/>
      </rPr>
      <t xml:space="preserve"> (Quarterly data tables)</t>
    </r>
  </si>
  <si>
    <t>Section A: Headline crime and crime by type</t>
  </si>
  <si>
    <t>Link to table</t>
  </si>
  <si>
    <t>Table Name</t>
  </si>
  <si>
    <t>Table_A1a</t>
  </si>
  <si>
    <t>Table_A1b</t>
  </si>
  <si>
    <t>Table_A2a</t>
  </si>
  <si>
    <t>Table_A2b</t>
  </si>
  <si>
    <t>Table_A3a</t>
  </si>
  <si>
    <t>Table_A3b</t>
  </si>
  <si>
    <t>Table_A4a</t>
  </si>
  <si>
    <t>Table_A4b</t>
  </si>
  <si>
    <t>Table A5a</t>
  </si>
  <si>
    <t>Table A5b</t>
  </si>
  <si>
    <t>Summary table A6</t>
  </si>
  <si>
    <t>Table A7</t>
  </si>
  <si>
    <t>Section B: Violent crime</t>
  </si>
  <si>
    <t>Worksheet_B1</t>
  </si>
  <si>
    <t>Table B2</t>
  </si>
  <si>
    <t>Table B3</t>
  </si>
  <si>
    <t>Table B4</t>
  </si>
  <si>
    <t>Worksheet B5</t>
  </si>
  <si>
    <t>Worksheet B6</t>
  </si>
  <si>
    <t>Worksheet B7</t>
  </si>
  <si>
    <t>Table B8</t>
  </si>
  <si>
    <t>Worksheet B9</t>
  </si>
  <si>
    <t>Table B10</t>
  </si>
  <si>
    <t>Table B10: Proportion of sexual offences recorded by the police by whether they were domestic abuse-related or recent or non-recent</t>
  </si>
  <si>
    <t>Section C: Fraud, computer misuse and online crime</t>
  </si>
  <si>
    <t>Table C1</t>
  </si>
  <si>
    <t>Table C1: Fraud and computer misuse by loss (of money or property) - number and rate of incidents and number and percentage of victims aged 16 and over</t>
  </si>
  <si>
    <t>Table C2</t>
  </si>
  <si>
    <t>Table C3</t>
  </si>
  <si>
    <t>Table C4</t>
  </si>
  <si>
    <t>Table C5</t>
  </si>
  <si>
    <t>Section D: Anti-social behaviour and non-notifiable offences</t>
  </si>
  <si>
    <t>Worksheet D1</t>
  </si>
  <si>
    <t>Worksheet D2</t>
  </si>
  <si>
    <t>Table D3</t>
  </si>
  <si>
    <t>Table D4</t>
  </si>
  <si>
    <t>Table D5</t>
  </si>
  <si>
    <t>Worksheet D6</t>
  </si>
  <si>
    <t>Section E: Quarterly data tables</t>
  </si>
  <si>
    <t>Table E1</t>
  </si>
  <si>
    <t>Worksheet E2</t>
  </si>
  <si>
    <t>Table E3</t>
  </si>
  <si>
    <t>Notes</t>
  </si>
  <si>
    <t>This worksheet contains one table.</t>
  </si>
  <si>
    <t>Notes for tables A1, A2, A3, A4</t>
  </si>
  <si>
    <t>Note number</t>
  </si>
  <si>
    <t>Note text</t>
  </si>
  <si>
    <t>CSEW Headline Crime captures a range of personal and household victim-based crime in the interviewer-led parts of the survey, including theft, robbery, criminal damage, fraud, computer misuse and violence with or without injury. Experiences of sexual assault, stalking and harassment are not included but presented separately in our statistics.  For more information, see the Crime trends in England and Wales and how we measure them article.</t>
  </si>
  <si>
    <t>Following a methodological change to the handling of repeat victimisation in the CSEW, these data are not comparable with data published before January 2019. For more information see Improving victimisation estimates derived from the Crime Survey for England and Wales.</t>
  </si>
  <si>
    <t>Prior to year ending March 2002, CSEW respondents were asked about their experience of crime in the previous calendar year, so year-labels identify the year in which the crime took place. Following the change to continuous interviewing, respondents' experience of crime relates to the full 12 months prior to interview (i.e. a moving reference period), so year-labels from year ending March 2002 onwards identify the CSEW year of interview.</t>
  </si>
  <si>
    <t>Data may not sum to totals shown due to rounding.</t>
  </si>
  <si>
    <t>See Chapter 5 of the User Guide for more information about the crime types included in this table.</t>
  </si>
  <si>
    <t>Base sizes for data from year ending March 2013 are smaller than previous years, due to sample size reductions introduced.</t>
  </si>
  <si>
    <t>Due to the suspension of the CSEW, data are not available for the year ending March 2021 and the year ending March 2022.</t>
  </si>
  <si>
    <t>Statistical significance for change in all theft offences and all CSEW crime cannot be calculated in the same way as for other CSEW figures (a method based on an approximation has been developed). For more information see Chapter 8 of the User Guide.</t>
  </si>
  <si>
    <t>In March 2018 the new CSEW estimates on fraud and computer misuse were assessed by the Office for Statistics Regulation against the Code of Practice for Statistics and were awarded National Statistics status.</t>
  </si>
  <si>
    <t>New victimisation questions on fraud and computer misuse were incorporated into the CSEW from October 2015. Up to the year ending December 2017 the questions were asked of half the survey sample. From October 2017 onwards the questions are being asked of a full survey sample.</t>
  </si>
  <si>
    <t>Non-investment fraud has been renamed as 'Consumer and retail fraud' to reflect the corresponding name change to the Home Office Counting Rules from April 2017.</t>
  </si>
  <si>
    <t>A small change has been implemented to the coding of sub categories of 'Unauthorised access to personal information (including hacking)' and 'Other fraud'. As a result these data are not comparable with data published before April 2019. Within the coding of offences relating to 'Unauthorised access to personal information (including hacking)' there were found to be a small number of  cases with no evidence that a victim's personal information had been stolen online. Looking in more detail at these, in some cases respondents report receiving new bank cards which they hadn't ordered, or new accounts in their name which they hadn't set up. Such cases are now coded as 'application frauds' within the 'other fraud' category.</t>
  </si>
  <si>
    <t>This combined estimate is not comparable with headline estimates from earlier years. For year-on-year comparisons and analysis of long-term trends it is necessary to exclude fraud and computer misuse offences, as data on these are only available from the year ending March 2017.</t>
  </si>
  <si>
    <t>Percentage changes for crimes such as snatch theft from person and robbery should be treated with caution because the number of victims interviewed is low.</t>
  </si>
  <si>
    <t>Rates for violence, robbery, theft from the person, other theft of personal property and fraud and computer misuse are quoted per 1,000 people aged 16 and over; rates for domestic burglary, other household theft, and criminal damage are quoted per 1,000 households; rates for vehicle-related theft and bicycle theft are quoted per 1,000 vehicle-owning and bicycle-owning households respectively.</t>
  </si>
  <si>
    <t>It is not possible to construct a rate for all theft offences or all CSEW crime because rates for household offences are based on rates per household, and those for personal offences on rates per person aged 16 and over, and the two cannot be combined.</t>
  </si>
  <si>
    <t>Percentages for violence, robbery, theft from the person, other theft of personal property and fraud and computer misuse are quoted for people aged 16 and over; percentages for domestic burglary, other household theft, and criminal damage are quoted for households; percentages for vehicle-related theft and bicycle theft are quoted for vehicle-owning and bicycle-owning households respectively.</t>
  </si>
  <si>
    <t>This is the estimated percentage of people aged 16 and over who have been a victim of at least one personal theft crime or have been resident in a household that was a victim of at least one household theft crime.</t>
  </si>
  <si>
    <t>This is the estimated percentage of people aged 16 and over who have been a victim of at least one personal crime or have been resident in a household that was a victim of at least one household crime.</t>
  </si>
  <si>
    <t xml:space="preserve">Numbers for all violence, robbery, theft from the person, other theft of personal property and fraud and computer misuse are quoted for people aged 16 and over. Numbers for domestic burglary, other household theft, vehicle-related theft, bicycle theft and criminal damage are quoted for households. </t>
  </si>
  <si>
    <t>This is the estimated number of people aged 16 and over who have been a victim of at least one personal theft crime or have been resident in a household that was a victim of at least one household theft crime.</t>
  </si>
  <si>
    <t>This is the estimated number of people aged 16 and over who have been a victim of at least one personal crime or have been resident in a household that was a victim of at least one household crime.</t>
  </si>
  <si>
    <t>England and Wales, year ending December 1981 to year ending June 2025</t>
  </si>
  <si>
    <t>Some shorthand is used in this table. [x] indicates that data are not available.</t>
  </si>
  <si>
    <t>Link to table of contents.</t>
  </si>
  <si>
    <t>This worksheet contains one table. Some cells may refer to notes, which can be found on the notes worksheet.</t>
  </si>
  <si>
    <t>Link to notes page.</t>
  </si>
  <si>
    <t xml:space="preserve">Source: Crime Survey for England and Wales from the Office for National Statistics </t>
  </si>
  <si>
    <t>Offence group
[note 5]</t>
  </si>
  <si>
    <t>Jan 1981 to Dec 1981</t>
  </si>
  <si>
    <t>Jan 1983 to Dec 1983</t>
  </si>
  <si>
    <t>Jan 1987 to Dec 1987</t>
  </si>
  <si>
    <t>Jan 1991 to Dec 1991</t>
  </si>
  <si>
    <t>Jan 1993 to Dec 1993</t>
  </si>
  <si>
    <t>Jan 1995 to Dec 1995</t>
  </si>
  <si>
    <t>Jan 1997 to Dec 1997</t>
  </si>
  <si>
    <t>Jan 1999 to Dec 1999</t>
  </si>
  <si>
    <t>Apr 2001 to Mar 2002</t>
  </si>
  <si>
    <t>Apr 2002 to Mar 2003</t>
  </si>
  <si>
    <t>Apr 2003 to Mar 2004</t>
  </si>
  <si>
    <t>Apr 2004 to Mar 2005</t>
  </si>
  <si>
    <t>Apr 2005 to Mar 2006</t>
  </si>
  <si>
    <t>Apr 2006 to Mar 2007</t>
  </si>
  <si>
    <t>Apr 2007 to Mar 2008</t>
  </si>
  <si>
    <t>Apr 2008 to Mar 2009</t>
  </si>
  <si>
    <t>Apr 2009 to Mar 2010</t>
  </si>
  <si>
    <t>Apr 2010 to Mar 2011</t>
  </si>
  <si>
    <t>Apr 2011 to Mar 2012</t>
  </si>
  <si>
    <t>Apr 2012 to Mar 2013
[note 6]</t>
  </si>
  <si>
    <t>Apr 2013 to Mar 2014</t>
  </si>
  <si>
    <t>Apr 2014 to Mar 2015</t>
  </si>
  <si>
    <t>Apr 2015 to Mar 2016</t>
  </si>
  <si>
    <t>Apr 2016 to Mar 2017</t>
  </si>
  <si>
    <t>Apr 2017 to Mar 2018</t>
  </si>
  <si>
    <t>Apr 2018 to Mar 2019</t>
  </si>
  <si>
    <t>Apr 2019 to Mar 2020
[note 7]</t>
  </si>
  <si>
    <t>Apr 2022 to Mar 2023</t>
  </si>
  <si>
    <t>Apr 2023 to Mar 2024</t>
  </si>
  <si>
    <t>Apr 2024 to Mar 2025</t>
  </si>
  <si>
    <t>Jul 2023 to Jun 2024</t>
  </si>
  <si>
    <t>Jul 2024 to Jun 2025</t>
  </si>
  <si>
    <t>VIOLENCE</t>
  </si>
  <si>
    <t xml:space="preserve">    Violence with injury</t>
  </si>
  <si>
    <t xml:space="preserve">        Wounding</t>
  </si>
  <si>
    <t xml:space="preserve">        Assault with minor injury</t>
  </si>
  <si>
    <t xml:space="preserve">    Violence without injury</t>
  </si>
  <si>
    <t>ROBBERY</t>
  </si>
  <si>
    <t>THEFT OFFENCES [note 8]</t>
  </si>
  <si>
    <t xml:space="preserve">    Theft from the person</t>
  </si>
  <si>
    <t xml:space="preserve">        Snatch theft from person</t>
  </si>
  <si>
    <t xml:space="preserve">        Stealth theft from person</t>
  </si>
  <si>
    <t xml:space="preserve">        Attempted snatch or stealth theft from person</t>
  </si>
  <si>
    <t xml:space="preserve">    Other theft of personal property </t>
  </si>
  <si>
    <t>Unweighted base - number of people aged 16 and over</t>
  </si>
  <si>
    <t xml:space="preserve">    Domestic burglary</t>
  </si>
  <si>
    <t>With entry</t>
  </si>
  <si>
    <t xml:space="preserve">            With loss</t>
  </si>
  <si>
    <t xml:space="preserve">            No loss</t>
  </si>
  <si>
    <t>Attempts</t>
  </si>
  <si>
    <t>Domestic burglary in a dwelling</t>
  </si>
  <si>
    <t xml:space="preserve">        With entry</t>
  </si>
  <si>
    <t xml:space="preserve">        Attempts</t>
  </si>
  <si>
    <t xml:space="preserve">    Domestic burglary in a non-connected building to a dwelling</t>
  </si>
  <si>
    <t xml:space="preserve">    Other household theft</t>
  </si>
  <si>
    <t xml:space="preserve">        Theft from a dwelling</t>
  </si>
  <si>
    <t xml:space="preserve">        Theft from outside a dwelling</t>
  </si>
  <si>
    <t xml:space="preserve">    Vehicle-related theft</t>
  </si>
  <si>
    <t xml:space="preserve">        Theft from vehicles</t>
  </si>
  <si>
    <t xml:space="preserve">        Theft of vehicles</t>
  </si>
  <si>
    <t xml:space="preserve">        Attempts of and from vehicles</t>
  </si>
  <si>
    <t xml:space="preserve">    Bicycle theft</t>
  </si>
  <si>
    <t>CRIMINAL DAMAGE</t>
  </si>
  <si>
    <t xml:space="preserve">    Criminal damage to a vehicle</t>
  </si>
  <si>
    <t xml:space="preserve">    Arson and other criminal damage</t>
  </si>
  <si>
    <t>Unweighted base - number of households</t>
  </si>
  <si>
    <t>ALL CSEW HEADLINE CRIME EXCLUDING FRAUD AND COMPUTER MISUSE [note 8]</t>
  </si>
  <si>
    <t>[x]</t>
  </si>
  <si>
    <t xml:space="preserve">        Bank and credit account fraud</t>
  </si>
  <si>
    <t xml:space="preserve">        Consumer and retail fraud [note 11]</t>
  </si>
  <si>
    <t xml:space="preserve">        Advance fee fraud</t>
  </si>
  <si>
    <t xml:space="preserve">        Other fraud [note 12]</t>
  </si>
  <si>
    <t xml:space="preserve">        Computer virus</t>
  </si>
  <si>
    <t xml:space="preserve">        Unauthorised access to personal information (including hacking) [note 12]</t>
  </si>
  <si>
    <t>England and Wales, year ending June 2025 compared to selected years</t>
  </si>
  <si>
    <t>Some shorthand is used in this table. [x] indicates that data are not available. [s] indicates there is a statistically significant change at the 5% level</t>
  </si>
  <si>
    <t xml:space="preserve">Jan 1995 to Dec 1995 </t>
  </si>
  <si>
    <t>Jan 1995 to Dec 1995 Significance</t>
  </si>
  <si>
    <t xml:space="preserve">Jan 1997 to Dec 1997 </t>
  </si>
  <si>
    <t>Jan 1997 to Dec 1997 Significance</t>
  </si>
  <si>
    <t xml:space="preserve">Jan 1999 to Dec 1999 </t>
  </si>
  <si>
    <t>Jan 1999 to Dec 1999 Significance</t>
  </si>
  <si>
    <t xml:space="preserve">Apr 2001 to Mar 2002 </t>
  </si>
  <si>
    <t>Apr 2001 to Mar 2002 Significance</t>
  </si>
  <si>
    <t xml:space="preserve">Apr 2002 to Mar 2003 </t>
  </si>
  <si>
    <t>Apr 2002 to Mar 2003 Significance</t>
  </si>
  <si>
    <t xml:space="preserve">Apr 2003 to Mar 2004 </t>
  </si>
  <si>
    <t>Apr 2003 to Mar 2004 Significance</t>
  </si>
  <si>
    <t xml:space="preserve">Apr 2004 to Mar 2005 </t>
  </si>
  <si>
    <t>Apr 2004 to Mar 2005 Significance</t>
  </si>
  <si>
    <t xml:space="preserve">Apr 2005 to Mar 2006 </t>
  </si>
  <si>
    <t>Apr 2005 to Mar 2006 Significance</t>
  </si>
  <si>
    <t xml:space="preserve">Apr 2006 to Mar 2007 </t>
  </si>
  <si>
    <t>Apr 2006 to Mar 2007 Significance</t>
  </si>
  <si>
    <t xml:space="preserve">Apr 2007 to Mar 2008 </t>
  </si>
  <si>
    <t>Apr 2007 to Mar 2008 Significance</t>
  </si>
  <si>
    <t xml:space="preserve">Apr 2008 to Mar 2009 </t>
  </si>
  <si>
    <t>Apr 2008 to Mar 2009 Significance</t>
  </si>
  <si>
    <t xml:space="preserve">Apr 2009 to Mar 2010 </t>
  </si>
  <si>
    <t>Apr 2009 to Mar 2010 Significance</t>
  </si>
  <si>
    <t xml:space="preserve">Apr 2010 to Mar 2011 </t>
  </si>
  <si>
    <t>Apr 2010 to Mar 2011 Significance</t>
  </si>
  <si>
    <t xml:space="preserve">Apr 2011 to Mar 2012 </t>
  </si>
  <si>
    <t>Apr 2011 to Mar 2012 Significance</t>
  </si>
  <si>
    <t xml:space="preserve">Apr 2012 to Mar 2013 </t>
  </si>
  <si>
    <t>Apr 2012 to Mar 2013 Significance</t>
  </si>
  <si>
    <t xml:space="preserve">Apr 2013 to Mar 2014 </t>
  </si>
  <si>
    <t>Apr 2013 to Mar 2014 Significance</t>
  </si>
  <si>
    <t xml:space="preserve">Apr 2014 to Mar 2015 </t>
  </si>
  <si>
    <t>Apr 2014 to Mar 2015 Significance</t>
  </si>
  <si>
    <t xml:space="preserve">Apr 2015 to Mar 2016 </t>
  </si>
  <si>
    <t>Apr 2015 to Mar 2016 Significance</t>
  </si>
  <si>
    <t xml:space="preserve">Apr 2016 to Mar 2017 </t>
  </si>
  <si>
    <t>Apr 2016 to Mar 2017 Significance</t>
  </si>
  <si>
    <t xml:space="preserve">Apr 2017 to Mar 2018 </t>
  </si>
  <si>
    <t>Apr 2017 to Mar 2018 Significance</t>
  </si>
  <si>
    <t xml:space="preserve">Apr 2018 to Mar 2019 </t>
  </si>
  <si>
    <t>Apr 2018 to Mar 2019 Significance</t>
  </si>
  <si>
    <t xml:space="preserve">Apr 2019 to Mar 2020 </t>
  </si>
  <si>
    <t>Apr 2019 to Mar 2020 Significance</t>
  </si>
  <si>
    <t xml:space="preserve">Apr 2022 to Mar 2023 </t>
  </si>
  <si>
    <t>Apr 2022 to Mar 2023 Significance</t>
  </si>
  <si>
    <t xml:space="preserve">Jul 2023 to Jun 2024 </t>
  </si>
  <si>
    <t>Jul 2023 to Jun 2024 Significance</t>
  </si>
  <si>
    <t>[s]</t>
  </si>
  <si>
    <t xml:space="preserve">    Domestic burglary in a dwelling</t>
  </si>
  <si>
    <t>THEFT OFFENCES [note 16]</t>
  </si>
  <si>
    <t xml:space="preserve">     Domestic burglary in a dwelling</t>
  </si>
  <si>
    <t xml:space="preserve">     Domestic burglary in a non-connected building to a dwelling</t>
  </si>
  <si>
    <t xml:space="preserve">    Other household theft </t>
  </si>
  <si>
    <t xml:space="preserve">    Vehicle-related theft </t>
  </si>
  <si>
    <t xml:space="preserve">    Bicycle theft </t>
  </si>
  <si>
    <t xml:space="preserve">    Criminal damage to a vehicle </t>
  </si>
  <si>
    <t>Unweighted base - number of vehicle owners</t>
  </si>
  <si>
    <t>Unweighted base - number of bicycle owners</t>
  </si>
  <si>
    <t xml:space="preserve">CRIMINAL DAMAGE </t>
  </si>
  <si>
    <t>ALL CSEW HEADLINE CRIME EXCLUDING FRAUD AND COMPUTER MISUSE [note 16]</t>
  </si>
  <si>
    <t xml:space="preserve">      Domestic burglary in a dwelling</t>
  </si>
  <si>
    <t xml:space="preserve">      Domestic burglary in a non-connected building to a dwelling</t>
  </si>
  <si>
    <t xml:space="preserve">   Violence with injury</t>
  </si>
  <si>
    <t xml:space="preserve">      Wounding</t>
  </si>
  <si>
    <t xml:space="preserve">      Assault with minor injury</t>
  </si>
  <si>
    <t xml:space="preserve">   Violence without injury</t>
  </si>
  <si>
    <t>THEFT OFFENCES [note 18]</t>
  </si>
  <si>
    <t xml:space="preserve">   Theft from the person</t>
  </si>
  <si>
    <t xml:space="preserve">      Snatch theft from person</t>
  </si>
  <si>
    <t xml:space="preserve">      Stealth theft from person</t>
  </si>
  <si>
    <t xml:space="preserve">      Attempted snatch or stealth theft from person</t>
  </si>
  <si>
    <t xml:space="preserve">   Other theft of personal property </t>
  </si>
  <si>
    <t xml:space="preserve">   Domestic burglary</t>
  </si>
  <si>
    <t xml:space="preserve">      With entry</t>
  </si>
  <si>
    <t xml:space="preserve">         With loss</t>
  </si>
  <si>
    <t xml:space="preserve">         No loss</t>
  </si>
  <si>
    <t xml:space="preserve">      Attempts</t>
  </si>
  <si>
    <t xml:space="preserve">         With entry</t>
  </si>
  <si>
    <t xml:space="preserve">         Attempts</t>
  </si>
  <si>
    <t xml:space="preserve">   Other household theft</t>
  </si>
  <si>
    <t xml:space="preserve">      Theft from a dwelling</t>
  </si>
  <si>
    <t xml:space="preserve">      Theft from outside a dwelling</t>
  </si>
  <si>
    <t xml:space="preserve">   Vehicle-related theft</t>
  </si>
  <si>
    <t xml:space="preserve">      Theft from vehicles</t>
  </si>
  <si>
    <t xml:space="preserve">      Theft of vehicles</t>
  </si>
  <si>
    <t xml:space="preserve">      Attempts of and from vehicles</t>
  </si>
  <si>
    <t xml:space="preserve">   Bicycle theft</t>
  </si>
  <si>
    <t>Violence with injury</t>
  </si>
  <si>
    <t>Wounding</t>
  </si>
  <si>
    <t>Assault with minor injury</t>
  </si>
  <si>
    <t>Violence without injury</t>
  </si>
  <si>
    <t xml:space="preserve">ROBBERY </t>
  </si>
  <si>
    <t>THEFT OFFENCES [note 21]</t>
  </si>
  <si>
    <t>Theft from the person</t>
  </si>
  <si>
    <t>Snatch theft from person</t>
  </si>
  <si>
    <t>Stealth theft from person</t>
  </si>
  <si>
    <t>Attempted snatch or stealth theft from person</t>
  </si>
  <si>
    <t xml:space="preserve">Other theft of personal property </t>
  </si>
  <si>
    <t xml:space="preserve">Domestic burglary </t>
  </si>
  <si>
    <t>With loss</t>
  </si>
  <si>
    <t>No loss</t>
  </si>
  <si>
    <t>Domestic burglary in a non-connected building to a dwelling</t>
  </si>
  <si>
    <t xml:space="preserve">Other household theft </t>
  </si>
  <si>
    <t>Theft from a dwelling</t>
  </si>
  <si>
    <t>Theft from outside a dwelling</t>
  </si>
  <si>
    <t xml:space="preserve">Vehicle-related theft </t>
  </si>
  <si>
    <t>Theft from vehicles</t>
  </si>
  <si>
    <t>Theft of vehicles</t>
  </si>
  <si>
    <t>Attempts of and from vehicles</t>
  </si>
  <si>
    <t xml:space="preserve">Bicycle theft </t>
  </si>
  <si>
    <t>Criminal damage to a vehicle</t>
  </si>
  <si>
    <t>Arson and other criminal damage</t>
  </si>
  <si>
    <t>ALL CSEW HEADLINE CRIME EXCLUDING FRAUD AND COMPUTER MISUSE [note 22]</t>
  </si>
  <si>
    <t>Fraud</t>
  </si>
  <si>
    <t>Bank and credit account fraud</t>
  </si>
  <si>
    <t>Computer misuse</t>
  </si>
  <si>
    <t>This worksheet contains one table</t>
  </si>
  <si>
    <t>Notes for tables A5- A7</t>
  </si>
  <si>
    <t xml:space="preserve">The National Crime Recording Standard (NCRS) was introduced in April 2002, although some forces adopted NCRS practices before the standard was formally introduced. Figures before and after that date are not directly comparable. The introduction of NCRS led to a rise in recording in year ending March 2003 and, particularly for violent crime, in the following years as forces continued to improve compliance with the new standard. </t>
  </si>
  <si>
    <t xml:space="preserve">Police recorded crime statistics based on data from all 43 forces in England and Wales (including the British Transport Police).  </t>
  </si>
  <si>
    <t>Data on homicide offences given in these police recorded crime data will differ from data from the Home Office Homicide Index, which are published annually by ONS, last released as part of 'Homicide in England and Wales: year ending March 2023'. Police recorded crime data on homicide represent the recording decision of the police based on the available information at the time the offence comes to their attention. Homicide Index data take account of the charging decision and court outcome in cases that have gone to trial. It is not uncommon for offences initially recorded as murder by the police to be charged or convicted as manslaughter at court.</t>
  </si>
  <si>
    <t>Homicide in England and Wales: year ending March 2024</t>
  </si>
  <si>
    <t>The homicide figure for year ending March 2003 includes 173 homicides attributed to Harold Shipman in previous years but coming to light in the official inquiry in 2002. In previous years, this figure has been incorrectly stated as 172.</t>
  </si>
  <si>
    <t>The homicide figure in year ending March 2006 of 764 includes 52 homicide victims of the 7 July London bombings, which also accounted for approximately one-quarter of the total of 920 attempted murders.</t>
  </si>
  <si>
    <t>The homicide figure for year ending March 2017 includes 96 homicide victims of Hillsborough.</t>
  </si>
  <si>
    <t>The year ending March 2018 includes 13 homicide victims of the London Bridge/Borough Market and Westminster attacks. There were 22 homicide victims of the Manchester Arena bombing in the year ending March 2018.</t>
  </si>
  <si>
    <t xml:space="preserve">The year ending March 2020 include 39 homicide victims, whose bodies were found in a lorry in Grays, Essex in October 2019. </t>
  </si>
  <si>
    <t>New offence of ‘causing serious injury by dangerous driving’ was added to this category in April 2013.</t>
  </si>
  <si>
    <t>In April 2023, offence code 4.8 was renamed to include ‘Serious Injury’.  Also, subcode 4/19  ‘Cause serious injury by careless / inconsiderate driving’ was also moved to this offence from offence 5E ‘Endangering life'.</t>
  </si>
  <si>
    <t>The year ending March 2018 'attempted murders' include the terrorist-related incident at Parsons Green Underground station in September 2017(43)</t>
  </si>
  <si>
    <t>Offence classifications 5A, 5B and 5C were introduced from 1 April 2008 and replaced classification 5. Classification 5A was influenced by a clarification in recording rules that had the effect of significantly increasing levels of recording in some forces. Classification 5A also included some other offences of endangering life as well as GBH with intent, though GBH with intent was the major part of this category.</t>
  </si>
  <si>
    <t xml:space="preserve">Offence classifications 5D and 5E were introduced from 1 April 2012 and replaced classification 5A offences.  Offence classification 5E was also introduced and replaced the remaining classification 5A offences, 5B, 5C, 6 and 7.  </t>
  </si>
  <si>
    <t>Offence classifications 8F, 8G, 8H, 8J and 8K were introduced from 1 April 2008 and had previously been recorded as part of classifications 8A or 8D.</t>
  </si>
  <si>
    <t>Offence classification 8N was introduced from 1 April 2012 and replaced classifications 8F, 8G and 8K. Offence classification 8P was also introduced and replaced classifications 8H and 8J.</t>
  </si>
  <si>
    <t>New offence of ‘cause or allow a child or vulnerable adult to suffer serious physical harm’ was added to this category in April 2013.</t>
  </si>
  <si>
    <t xml:space="preserve">From April 2017 new classifications 8S (assault with injury on a constable) was introduced. </t>
  </si>
  <si>
    <t>From April 2020 new classification 8T (assault with injury on an Emergency worker) was introduced.</t>
  </si>
  <si>
    <t>Offence classifications 3A and 3B were introduced from 1 April 2008 and had previously been recorded as classification 3.</t>
  </si>
  <si>
    <t>Offence classification 11A was introduced from 1 April 2012 and replaced classifications 11 and 12.</t>
  </si>
  <si>
    <t>In June 2015, as set out in the Serious Crime Act 2015, the offence of Cruelty to children/young persons was amended to include cases where suffering or injury are psychological in nature as well as physical.</t>
  </si>
  <si>
    <t>From April 2020 the offence of 'controlling or coercive behaviour' has been moved out of category 105A into a new separate classification (8U) within the offence group ‘Stalking and Harassment”, therefore data for year ending December 2020 is not comparable to the previous years.</t>
  </si>
  <si>
    <t xml:space="preserve">Modern Slavery (106) was introduced as a separate crime classification in April 2015. During April-July 2015 this classification included all of the offences that were previously recorded under category 72 (Trafficking for sexual exploitation) and some offences that were previously recorded under category 99 (Other indictable or triable-either-way offences). From 31 July 2015, a new set of Modern Slavery Act offences commenced, replacing all the offence codes previously listed under this classification. Modern slavery will be recorded in addition to the most serious additional victim based offence involving the same victim-offender relationship if any such offence is disclosed. </t>
  </si>
  <si>
    <t xml:space="preserve">Prior to year ending March 2009, the police sent combined figures for harassment (8L, 8M) and public fear, alarm and distress (9A, 9B) offences.  For the years ending March 2003 to March 2008, figures for these offence groups are estimated based upon the proportionate split between the offences in year ending March 2009.   </t>
  </si>
  <si>
    <t>Stalking (8Q) was introduced as a separate crime classification in April 2014, following the introduction of the Protection of Freedoms Act 2012 section 111. Before this, stalking offences were included within harassment offences (8L).</t>
  </si>
  <si>
    <t xml:space="preserve">Changes in the Home Office Counting Rules (HOCR), implemented in April 2015, resulted in the recording of two additional harassment offences (Disclosure of private sexual photographs and films with the intent to cause distress or anxiety’ and ‘Sending letters with intent to cause distress or anxiety’; the latter includes any form of electronic communication), not previously counted as notifiable offences under the headline category of violence without injury. There is no available back-series for these additional notifiable offences. Subsequently, from April 2017 these offences were moved into a new classification 8R (malicious communications).
</t>
  </si>
  <si>
    <t>There have been a number of changes to the recording rules for conduct crimes. Prior to 2017 where a conduct crime was reported together with a more serious crime, then the principle crime rule meant that on many occasions the conduct crime, being less serious in terms of sentencing would not be recorded. From April 2018, following a recommendation from HMICFRS the rules changed and stipulated that where stalking or harassment were reported at the same time as more serious crime then both the conduct crime and most serious crime would be recorded. From April 2020 a further rule change was made whereby if a crime of harassment was reported and the victim and suspect had been in an intimate relationship previously then a crime of stalking would be recorded in preference to harassment. Also in 2019 Controlling and coercive behaviour became a notifiable crime and the conduct crime rule applied to this in addition. From May 2023 the rules changed once more and the requirement to record two crimes when one of them was a conduct crime was removed. In its place police are required to assess which is the most serious crime reported in terms of impact and record that. In most cases this will be the conduct crime. The impact of these changes on statistics is difficult to measure as compliance in crime recording in this area has been inconsistent across policing. Reasonably though you would expect to see an increase in recording of harassment and stalking after April 2018. From April 2020 you could expect to see an increase in stalking with a corresponding decrease in harassment and the emergence of controlling coercive behaviour. After May 2023 there should be little or no variance in recording of conduct crimes but a reduction in those crimes often associated with them such as low level assaults, malicious communications and crimes of theft and damage.</t>
  </si>
  <si>
    <t>The Sexual Offences Act 2003, introduced in May 2004, altered the definition and coverage of sexual offences.</t>
  </si>
  <si>
    <t>Prior to year ending March 2010, a small number of offences continued to be recorded relating to offences repealed by the Sexual Offences Act 2003.  While these may have been legitimately recorded for offences committed prior to May 2004 it is also possible that some may have been recorded in these old categories in error, so any changes based on small numbers should be interpreted with caution.</t>
  </si>
  <si>
    <t>Offence codes 19J and 19K were introduced from April 2019 to cover rape or attempted rape by multiple undefined offenders. “Undefined Offender” is only to be used in circumstances where the victim (or person representing the victim) cannot identify individual multiple offenders as being different or distinct.</t>
  </si>
  <si>
    <t>The increase in year ending March 2006 was accounted for by a large number of offences that were dealt with by the Norfolk Constabulary.</t>
  </si>
  <si>
    <t>In April 2015 offence classification 71 was renamed 'Abuse of children through sexual exploitation'. This offence classification was previously named 'Abuse of children through prostitution and pornography'</t>
  </si>
  <si>
    <r>
      <t>Prior to 1</t>
    </r>
    <r>
      <rPr>
        <vertAlign val="superscript"/>
        <sz val="12"/>
        <rFont val="Arial"/>
        <family val="2"/>
      </rPr>
      <t>st</t>
    </r>
    <r>
      <rPr>
        <sz val="12"/>
        <rFont val="Arial"/>
        <family val="2"/>
      </rPr>
      <t xml:space="preserve"> April 2017 the Sexual Grooming classification was restricted to those offences where the offender intentionally met the child or either the victim or the suspect travelled with the intention of meeting. From 1st April 2017, it also includes the criminal offence of anyone aged 18 or over intentionally communicating with a child under 16, where the person acts for a sexual purpose and the communication is sexual or intended to elicit a sexual response.</t>
    </r>
  </si>
  <si>
    <t xml:space="preserve">This offence consists solely of the former offence of 'Indecent Exposure' for years prior to year ending March 2005. This became the offence of 'Exposure' and was included within 'Other miscellaneous sexual offences' from May 2004. </t>
  </si>
  <si>
    <t>Offence classification 88B was split into 88C–E with effect from year ending March 2009. Since that time offences of exposure have been recorded as classification 88E.</t>
  </si>
  <si>
    <t xml:space="preserve">Following the new Online Safety Act 2023, two new sub codes have been added on 31st January 2024.   ‘ 088/15 Sharing intimate photograph or film to cause alarm, distress or humiliation, or for sexual gratification ’ has been added to  ‘88C Other miscellaneous sexual offences”. Previously offences which have been repealed were recorded under ‘8R Malicious Communications,’ these offences will not be comparable to previous year.
Furthermore, new subcode 088/14 ‘Sending photograph etc or film of genitals’ has been added to offence ‘88E Exposure and Voyeurism’. </t>
  </si>
  <si>
    <t>From April 2017 a new classification of burglary offences was introduced. New sub-categories of residential and non-residential burglary have replaced domestic and non-domestic burglary respectively. The new classification of residential burglary now includes all buildings or parts of buildings that are within the boundary of, or form a part of, a dwelling.  Burglary offence codes 28A, 28B, 28C, 28D and 29 have been replaced by offence codes 28E, 28F, 28G, 28H and 29A. Offence codes 30A, 30B and 31, which formed have been replaced by 30C, 30D and 31A</t>
  </si>
  <si>
    <t>https://www.gov.uk/government/statistics/police-recorded-crime-open-data-tables</t>
  </si>
  <si>
    <t>From April 2023 a new classification of residential burglary offences was introduced, new sub-categories, residential (home) and residential (unconnected buildings) have been introduced. The new classification includes a breakdown of residential burglary from the main home and parts of buildings that are within the boundary of a dwelling.  Burglary offence codes 28E, 28F, 28G, 28H and 29A and have been replaced by offence codes 28I, 28J, 28K, 28L, 28M, 28N, 28O, 28P 29B and 29C.  Data for these codes can be found in 'Police recorded crime open data Police Force Area tables from year ending March 2013 onwards.</t>
  </si>
  <si>
    <t>A change in the guidance within Home Office Counting Rules (HOCR) in April 2014 is likely to have led to offences that previously might have been recorded as theft from a vehicle now being recorded as vehicle interference when the motive of the offender was not clear.</t>
  </si>
  <si>
    <t>Includes tampering with a motor vehicle.</t>
  </si>
  <si>
    <t>The large increase in year ending March 2007 was due to the recording of threats made against shareholders of GlaxoSmithKline by animal rights activists.</t>
  </si>
  <si>
    <t>Following a change in the implementation of the Fraud Act 2006, offences involving theft from an automatic machine using a plastic card are now regarded as false representation and recorded under classification 53C.</t>
  </si>
  <si>
    <t>Offence classification 49A was introduced as a separate theft classification in year ending March 2014. Before this, it was recorded under the fraud offence classification 53B. Data for 49A are provided for all years following a special request to forces. In some cases, these have been estimated where forces were unable to provide data.</t>
  </si>
  <si>
    <t>Offence classifications 56A and 56B were introduced from 1 April 2008 and had previously been recorded as classification 56.</t>
  </si>
  <si>
    <t>Offence classifications 58E-58H were amalgamated on 1 April 2012 to form classification 58J.</t>
  </si>
  <si>
    <t>Possession of controlled drugs offences were split with effect from April 2004 into possession of cannabis and possession of drugs other than cannabis.</t>
  </si>
  <si>
    <t>Offence classifications 10A, 10C and 10D were introduced from 1 April 2008 and had previously been recorded as classification 8B.</t>
  </si>
  <si>
    <t>Offence classification 10B was introduced from 1 April 2008.  Possession of firearms offences are those offences where the weapon has not been used during the commission of another offence.</t>
  </si>
  <si>
    <t>These include offences under the Firearms Act 1968 and other Firearms Acts connected with licensing and certification of firearms. These offences are not included in the offences involving firearms statistics. From the year ending March 2022, offence classifications 81 and 90 merged and offence classification 81 was renamed ‘Other Firearm, Knives and Offensive Weapons Offences’ to more accurately reflects the offences it contains</t>
  </si>
  <si>
    <t>Public fear, alarm or distress 9A,  From May 2023,  there has been a change to this code, ‘causing harassment, alarm or distress ( subcode 125/12)’ is no longer a notifiable crime and not counted as part of this crime code.  This previously consisted around 12% of crimes under this code for a subset of forces during 2022/23</t>
  </si>
  <si>
    <t>Offence classifications 62-65 were amalgamated on 1 April 2012 to form classification 62A.</t>
  </si>
  <si>
    <t>These offences were added to the series from 1 April 2003.</t>
  </si>
  <si>
    <t xml:space="preserve">New offences were introduced under the Fraud Act 2006, which came into force on 15 January 2007. </t>
  </si>
  <si>
    <t>Offence classifications 68, 75, 78, 82, 84, 85, 87, 89, 91 and 94 were included with classification 99 with effect from 1 April 2012.</t>
  </si>
  <si>
    <t>The large increase in this offence from year ending March 2009 is mainly due to the recording of fly-tipping by some forces following advice that this offence is notifiable.</t>
  </si>
  <si>
    <t>Wildlife crime (96) was introduced as a separate crime classification in April 2014. This saw a number of offences that were previously recorded under “Other notifiable offences” (99) brought together.</t>
  </si>
  <si>
    <t>Due to the introduction of fly-tipping as an offence under "Other notifiable offences" (99) in April 2014, percentage changes may appear high in certain publications.</t>
  </si>
  <si>
    <t>Some forces have revised their data and totals may therefore not agree with those previously published.</t>
  </si>
  <si>
    <t>The large increase in this offence in year ending March 2006 was due to one large-scale fraud recorded by the Cambridgeshire Constabulary. The increase in year ending March 2008 was due to a fraud recorded by North Yorkshire Police. The large increase in year ending March 2009 was due to large-scale frauds recorded by Gwent Police, Leicestershire Constabulary and the Metropolitan Police. The increase in year ending March 2011 was due to a large-scale fraud recorded by North Yorkshire Police.</t>
  </si>
  <si>
    <t>User Guide to crime statistics for England and Wales</t>
  </si>
  <si>
    <t>Total fraud offences cover crimes recorded by the National Fraud Intelligence Bureau via Action Fraud, Cifas and Financial Fraud Action UK. Action Fraud are responsible for the recording of fraud and computer misuse offences. They took over this process from police forces during a transition process which began in April 2011 and was rolled out to all police forces by March 2013. Due to this change, caution should be applied when comparing data over this transitional period and with earlier years. There were 7 cases in year ending March 2014 where police forces recorded a fraud or computer misuse offence after the transfer of responsibility to Action Fraud.  See the User Guide to crime statistics for England and Wales for more details, including information on the transfer date to Action Fraud for each force.</t>
  </si>
  <si>
    <t>Both sets of industry data from Cifas and UK Finance relate only to fraud affecting those organisations that are part of the respective membership networks. While membership of Cifas and UK Finance has remained fairly stable over the last few years, it is possible that coverage could change as new members join or previous members withdraw, which could impact on overall figures for fraud reported. Prior to year ending March 2012, fraud cases for these organisations were not sent to the NFIB.</t>
  </si>
  <si>
    <t>In July 2017 FFA UK integrated into UK Finance.</t>
  </si>
  <si>
    <t>Fraud Reports published by UK Finance</t>
  </si>
  <si>
    <t>Figures may not match published totals as we have received updated data.</t>
  </si>
  <si>
    <t>For details of population data used to calculate rates for police recorded crime see Section 8 of the User guide to crime statistics for England and Wales</t>
  </si>
  <si>
    <t>England and Wales</t>
  </si>
  <si>
    <t>Some shorthand is used in this table. [x] indicates that data are not available; [u] Indicates the percentage change are not reported because the base number of offences is less than 50.</t>
  </si>
  <si>
    <t xml:space="preserve">                                                                                                                                                                                                       </t>
  </si>
  <si>
    <t>Link to table of contents</t>
  </si>
  <si>
    <t>This worksheet contains one table. Some cells refer to notes which can be found on the notes worksheet.</t>
  </si>
  <si>
    <t>Link to notes page</t>
  </si>
  <si>
    <t>Police recorded crime statistics are published as official statistics, not accredited official statistics</t>
  </si>
  <si>
    <t>Source: Police recorded crime from the Home Office</t>
  </si>
  <si>
    <t>Offence
 code</t>
  </si>
  <si>
    <t>Offence category</t>
  </si>
  <si>
    <t>Apr 2002 to 
 Mar 2003</t>
  </si>
  <si>
    <t>Apr 2003 to 
 Mar 2004</t>
  </si>
  <si>
    <t>Apr 2004 to 
 Mar 2005</t>
  </si>
  <si>
    <t>Apr 2005 to 
 Mar 2006</t>
  </si>
  <si>
    <t>Apr 2006 to 
 Mar 2007</t>
  </si>
  <si>
    <t>Apr 2007 to 
 Mar 2008</t>
  </si>
  <si>
    <t>Apr 2008 to 
 Mar 2009</t>
  </si>
  <si>
    <t>Apr 2009 to 
 Mar 2010</t>
  </si>
  <si>
    <t>Apr 2010 to 
 Mar 2011</t>
  </si>
  <si>
    <t>Apr 2011 to 
 Mar 2012</t>
  </si>
  <si>
    <t>Apr 2012 to 
 Mar 2013</t>
  </si>
  <si>
    <t>Apr 2013 to 
 Mar 2014</t>
  </si>
  <si>
    <t>Apr 2014 to 
 Mar 2015</t>
  </si>
  <si>
    <t>Apr 2015 to 
 Mar 2016</t>
  </si>
  <si>
    <t>Apr 2016 to 
 Mar 2017</t>
  </si>
  <si>
    <t>Apr 2017 to 
 Mar 2018</t>
  </si>
  <si>
    <t>Apr 2018 to 
 Mar 2019</t>
  </si>
  <si>
    <t>Apr 2019 to 
 Mar 2020</t>
  </si>
  <si>
    <t>Apr 2020 to 
 Mar 2021</t>
  </si>
  <si>
    <t>Apr 2021 to 
 Mar 2022</t>
  </si>
  <si>
    <t>Apr 2022 to 
 Mar 2023</t>
  </si>
  <si>
    <t>Apr 2023 to 
 Mar 2024</t>
  </si>
  <si>
    <t>Jun 2024 with Jun 2025 % change</t>
  </si>
  <si>
    <t xml:space="preserve">VICTIM BASED CRIME </t>
  </si>
  <si>
    <t>Murder [note 3]</t>
  </si>
  <si>
    <t>Manslaughter [note 3]</t>
  </si>
  <si>
    <t>4.10</t>
  </si>
  <si>
    <t>Corporate manslaughter</t>
  </si>
  <si>
    <t>[u]</t>
  </si>
  <si>
    <t>Infanticide</t>
  </si>
  <si>
    <t>Homicide [note 3,4,5,6,7,8]</t>
  </si>
  <si>
    <t>Causing death or serious injury by dangerous driving [note 9]</t>
  </si>
  <si>
    <t xml:space="preserve">Causing death by careless driving when under the influence of drink or drugs                                                                               </t>
  </si>
  <si>
    <t>Causing death or serious injury by careless or inconsiderate driving [note 10]</t>
  </si>
  <si>
    <t>4.4/6/8</t>
  </si>
  <si>
    <t>Causing death by dangerous or careless driving</t>
  </si>
  <si>
    <t xml:space="preserve">Causing death by driving: unlicensed or disqualified or uninsured drivers </t>
  </si>
  <si>
    <t>Causing death by aggravated vehicle taking</t>
  </si>
  <si>
    <t>Death or serious injury - unlawful driving [note 10]</t>
  </si>
  <si>
    <t>Attempted murder [note 5, 11]</t>
  </si>
  <si>
    <t>Intentional destruction of viable unborn child</t>
  </si>
  <si>
    <t>More serious wounding or other act endangering life [note 12]</t>
  </si>
  <si>
    <t>5A</t>
  </si>
  <si>
    <t>Wounding [note 12,13]</t>
  </si>
  <si>
    <t>5B</t>
  </si>
  <si>
    <t>Use of substance or object to endanger life [note 12,13]</t>
  </si>
  <si>
    <t>5C</t>
  </si>
  <si>
    <t>Possession of items to endanger life [note 12,13]</t>
  </si>
  <si>
    <t>5D</t>
  </si>
  <si>
    <t>Assault with intent to cause serious harm [note 13]</t>
  </si>
  <si>
    <t>5E</t>
  </si>
  <si>
    <t>Endangering life [note 10, 13]</t>
  </si>
  <si>
    <t>Endangering railway passengers [note 13]</t>
  </si>
  <si>
    <t>Endangering life at sea [note 13]</t>
  </si>
  <si>
    <t>8F</t>
  </si>
  <si>
    <t xml:space="preserve">Inflicting grievous bodily harm (GBH) without intent  [note 14,15] </t>
  </si>
  <si>
    <t>8H</t>
  </si>
  <si>
    <t>Racially or religiously aggravated inflicting GBH without intent [note 14,15]</t>
  </si>
  <si>
    <t>Causing or allowing death or serious physical harm of child or vulnerable person [note 16]</t>
  </si>
  <si>
    <t>8A</t>
  </si>
  <si>
    <t>Other wounding [note 14]</t>
  </si>
  <si>
    <t>8G</t>
  </si>
  <si>
    <t>Actual bodily harm (ABH) and other injury [note 14,15]</t>
  </si>
  <si>
    <t>8D</t>
  </si>
  <si>
    <t>Racially or religiously aggravated other wounding [note 14]</t>
  </si>
  <si>
    <t>8J</t>
  </si>
  <si>
    <t>Racially or religiously aggravated ABH or other injury [note 14,15]</t>
  </si>
  <si>
    <t>8K</t>
  </si>
  <si>
    <t>Poisoning or female genital mutilation [note 14,15]</t>
  </si>
  <si>
    <t>8N</t>
  </si>
  <si>
    <t xml:space="preserve">Assault with injury [note 15] </t>
  </si>
  <si>
    <t>8P</t>
  </si>
  <si>
    <t>Racially or religiously aggravated assault with injury [note 15]</t>
  </si>
  <si>
    <t>8S</t>
  </si>
  <si>
    <t>Assault with injury on a constable [note 17]</t>
  </si>
  <si>
    <t>8T</t>
  </si>
  <si>
    <t>Assault with injury on an emergency worker (other than a constable) [note 18]</t>
  </si>
  <si>
    <t>Threat or conspiracy to murder [note 19]</t>
  </si>
  <si>
    <t>3A</t>
  </si>
  <si>
    <t>Conspiracy to murder [note 19]</t>
  </si>
  <si>
    <t>3B</t>
  </si>
  <si>
    <t>Threats to kill [note 19]</t>
  </si>
  <si>
    <t>Cruelty to and neglect of children [note 20]</t>
  </si>
  <si>
    <t>11A</t>
  </si>
  <si>
    <t>Cruelty to children/young persons [note 20,21]</t>
  </si>
  <si>
    <t>Abandoning a child under the age of two years [note 20]</t>
  </si>
  <si>
    <t>Child abduction</t>
  </si>
  <si>
    <t>Procuring illegal abortion</t>
  </si>
  <si>
    <t>Kidnapping and false imprisonment</t>
  </si>
  <si>
    <t>Assault without injury on a constable</t>
  </si>
  <si>
    <t>105A</t>
  </si>
  <si>
    <t>Assault without Injury [note 22]</t>
  </si>
  <si>
    <t>105B</t>
  </si>
  <si>
    <t>Racially or religiously aggravated assault without injury</t>
  </si>
  <si>
    <t>Modern Slavery [note 23]</t>
  </si>
  <si>
    <t>8L</t>
  </si>
  <si>
    <t>Harassment [note 24,25,26,27]</t>
  </si>
  <si>
    <t>8M</t>
  </si>
  <si>
    <t>Racially or religiously aggravated harassment [note 24]</t>
  </si>
  <si>
    <t>8Q</t>
  </si>
  <si>
    <t>Stalking [note 25,27]</t>
  </si>
  <si>
    <t>8R</t>
  </si>
  <si>
    <t>Malicious communication [note 26]</t>
  </si>
  <si>
    <t>8U</t>
  </si>
  <si>
    <t>Controlling and coercive behaviour [note 22]</t>
  </si>
  <si>
    <t>Stalking and harassment [note 22, 27]</t>
  </si>
  <si>
    <t>TOTAL VIOLENCE AGAINST THE PERSON</t>
  </si>
  <si>
    <t>19A</t>
  </si>
  <si>
    <t>Rape of a female [note 28,29]</t>
  </si>
  <si>
    <t>19C</t>
  </si>
  <si>
    <t>Rape of a female aged 16 or over [note 28]</t>
  </si>
  <si>
    <t>19D</t>
  </si>
  <si>
    <t>Rape of a female child under 16 [note 28]</t>
  </si>
  <si>
    <t>19E</t>
  </si>
  <si>
    <t>Rape of a female child under 13 [note 28]</t>
  </si>
  <si>
    <t>19J</t>
  </si>
  <si>
    <t>Rape of a female - undefined [note 30]</t>
  </si>
  <si>
    <t>19B</t>
  </si>
  <si>
    <t>Rape of a male [note 28, 29]</t>
  </si>
  <si>
    <t>19F</t>
  </si>
  <si>
    <t>Rape of a male aged 16 or over [note 28]</t>
  </si>
  <si>
    <t>19G</t>
  </si>
  <si>
    <t>Rape of a male child under 16 [note 28]</t>
  </si>
  <si>
    <t>19H</t>
  </si>
  <si>
    <t>Rape of a male child under 13 [note 28]</t>
  </si>
  <si>
    <t>19K</t>
  </si>
  <si>
    <t>Rape of a male - undefined [note 30]</t>
  </si>
  <si>
    <t>Rape</t>
  </si>
  <si>
    <t>Buggery [note 28,29]</t>
  </si>
  <si>
    <t>Indecent assault on a male [note 28, 29]</t>
  </si>
  <si>
    <t>17A</t>
  </si>
  <si>
    <t>Sexual assault on a male aged 13 and over  [note 28]</t>
  </si>
  <si>
    <t>17B</t>
  </si>
  <si>
    <t>Sexual assault on a male child under 13  [note 28]</t>
  </si>
  <si>
    <t>Gross indecency between males [note 28, 29]</t>
  </si>
  <si>
    <t>Indecent assault on a female [note 28, 29]</t>
  </si>
  <si>
    <t>20A</t>
  </si>
  <si>
    <t>Sexual assault on a female aged 13 and over  [note 28]</t>
  </si>
  <si>
    <t>20B</t>
  </si>
  <si>
    <t>Sexual assault on a female child under 13  [note 28]</t>
  </si>
  <si>
    <t>Unlawful sexual intercourse with a girl under 13  [note 28]</t>
  </si>
  <si>
    <t>Sexual activity involving a child under 13  [note 28]</t>
  </si>
  <si>
    <t>Unlawful sexual intercourse with a girl under 16 [note 28, 29]</t>
  </si>
  <si>
    <t>22B</t>
  </si>
  <si>
    <t>Sexual activity involving a child under 16  [note 28]</t>
  </si>
  <si>
    <t>22A</t>
  </si>
  <si>
    <t>Causing sexual activity without consent [note 28, 31]</t>
  </si>
  <si>
    <t>Incest or familial sexual offences  [note 28]</t>
  </si>
  <si>
    <t>Abduction of female [note 28, 29]</t>
  </si>
  <si>
    <t>Sexual activity with a person with a mental disorder  [note 28]</t>
  </si>
  <si>
    <t>Abuse of children through sexual exploitation [note 28, 32]</t>
  </si>
  <si>
    <t>Trafficking for sexual exploitation [note 23, 28 ]</t>
  </si>
  <si>
    <t>Abuse of position of trust of a sexual nature  [note 28]</t>
  </si>
  <si>
    <t>Gross indecency with a child [note 28, 29]</t>
  </si>
  <si>
    <t>88A</t>
  </si>
  <si>
    <t>Sexual grooming [note 28, 33]</t>
  </si>
  <si>
    <t>88B</t>
  </si>
  <si>
    <t>Other miscellaneous sexual offences [note 28, 34, 35]</t>
  </si>
  <si>
    <t>88C</t>
  </si>
  <si>
    <t>Other miscellaneous sexual offences [note 28, 35, 36]</t>
  </si>
  <si>
    <t>88D</t>
  </si>
  <si>
    <t>Unnatural sexual offences [note 28, 35]</t>
  </si>
  <si>
    <t>88E</t>
  </si>
  <si>
    <t>Exposure and voyeurism [note 28, 34, 35, 36]</t>
  </si>
  <si>
    <t>Other sexual offences [note 28]</t>
  </si>
  <si>
    <t>TOTAL SEXUAL OFFENCES [note 28]</t>
  </si>
  <si>
    <t>34A</t>
  </si>
  <si>
    <t>Robbery of business property</t>
  </si>
  <si>
    <t>34B</t>
  </si>
  <si>
    <t>Robbery of personal property</t>
  </si>
  <si>
    <t xml:space="preserve">TOTAL ROBBERY </t>
  </si>
  <si>
    <t xml:space="preserve">Domestic burglary [note 37] </t>
  </si>
  <si>
    <t xml:space="preserve">  of which:  distraction burglary</t>
  </si>
  <si>
    <t>Residential burglary (including Home and nonconnected buildings)  [note 37,38]</t>
  </si>
  <si>
    <t xml:space="preserve"> of which: Distraction Burglary  </t>
  </si>
  <si>
    <t xml:space="preserve"> of which: Residential home burglary incl. distraction (new from April 2023) [note 38]</t>
  </si>
  <si>
    <t>of which: Unconnected building Residential burglary incl distraction (new from April 2023) [note 38]</t>
  </si>
  <si>
    <t xml:space="preserve">Non-domestic burglary </t>
  </si>
  <si>
    <t>Non-residential burglary</t>
  </si>
  <si>
    <t>Burglary</t>
  </si>
  <si>
    <t xml:space="preserve">Aggravated vehicle taking </t>
  </si>
  <si>
    <t>Theft from a vehicle [note 39]</t>
  </si>
  <si>
    <t>Theft or unauthorised taking of a motor vehicle</t>
  </si>
  <si>
    <t>Interfering with a motor vehicle [note 39,40]</t>
  </si>
  <si>
    <t>Vehicle offences</t>
  </si>
  <si>
    <t>Theft or unauthorised taking of a pedal cycle</t>
  </si>
  <si>
    <t>Bicycle theft</t>
  </si>
  <si>
    <t>Shoplifting</t>
  </si>
  <si>
    <t>Blackmail [note 41]</t>
  </si>
  <si>
    <t>Theft in a dwelling other than from an automatic machine or meter</t>
  </si>
  <si>
    <t>Theft by an employee</t>
  </si>
  <si>
    <t>Theft of mail</t>
  </si>
  <si>
    <t>Dishonest use of electricity</t>
  </si>
  <si>
    <t>Theft from automatic machine or meter [note 42]</t>
  </si>
  <si>
    <t>Other theft</t>
  </si>
  <si>
    <t>49A</t>
  </si>
  <si>
    <t>Making off without payment [note 43]</t>
  </si>
  <si>
    <t>All other theft offences</t>
  </si>
  <si>
    <t>TOTAL THEFT OFFENCES</t>
  </si>
  <si>
    <t>Arson [note 44]</t>
  </si>
  <si>
    <t>56A</t>
  </si>
  <si>
    <t>Arson endangering life [note 44]</t>
  </si>
  <si>
    <t>56B</t>
  </si>
  <si>
    <t>Arson not endangering life [note 44]</t>
  </si>
  <si>
    <t>Arson</t>
  </si>
  <si>
    <t>58A</t>
  </si>
  <si>
    <t>Criminal damage to a dwelling</t>
  </si>
  <si>
    <t>58B</t>
  </si>
  <si>
    <t>Criminal damage to a building other than a dwelling</t>
  </si>
  <si>
    <t>58C</t>
  </si>
  <si>
    <t>58D</t>
  </si>
  <si>
    <t>Other criminal damage</t>
  </si>
  <si>
    <t>58E</t>
  </si>
  <si>
    <t>Racially or religiously aggravated criminal damage to a dwelling [note 45]</t>
  </si>
  <si>
    <t>58F</t>
  </si>
  <si>
    <t>Racially or religiously aggravated criminal damage to a building other than a dwelling [note 45]</t>
  </si>
  <si>
    <t>58G</t>
  </si>
  <si>
    <t>Racially or religiously aggravated criminal damage to a vehicle [note 45]</t>
  </si>
  <si>
    <t>58H</t>
  </si>
  <si>
    <t>Racially or religiously aggravated other criminal damage [note 45]</t>
  </si>
  <si>
    <t>58J</t>
  </si>
  <si>
    <t>Racially or religiously aggravated criminal damage [note 45]</t>
  </si>
  <si>
    <t>Criminal damage</t>
  </si>
  <si>
    <t>TOTAL CRIMINAL DAMAGE AND ARSON</t>
  </si>
  <si>
    <t>OTHER CRIMES AGAINST SOCIETY</t>
  </si>
  <si>
    <t>92A</t>
  </si>
  <si>
    <t>Trafficking in controlled drugs</t>
  </si>
  <si>
    <t>Trafficking of drugs</t>
  </si>
  <si>
    <t>92B</t>
  </si>
  <si>
    <t>Possession of controlled drugs [note 46]</t>
  </si>
  <si>
    <t>92C</t>
  </si>
  <si>
    <t>Other drug offences</t>
  </si>
  <si>
    <t>92D</t>
  </si>
  <si>
    <t>Possession of controlled drugs (excluding cannabis) [note 46]</t>
  </si>
  <si>
    <t>92E</t>
  </si>
  <si>
    <t>Possession of cannabis [note 46]</t>
  </si>
  <si>
    <t>Possession of drugs</t>
  </si>
  <si>
    <t>TOTAL DRUG OFFENCES</t>
  </si>
  <si>
    <t>8B</t>
  </si>
  <si>
    <t>Possession of weapons [note 47]</t>
  </si>
  <si>
    <t>10A</t>
  </si>
  <si>
    <t>Possession of firearms with intent [note 47]</t>
  </si>
  <si>
    <t>10B</t>
  </si>
  <si>
    <t>Possession of firearms offences [note 48]</t>
  </si>
  <si>
    <t>10C</t>
  </si>
  <si>
    <t>Possession of other weapons [note 47]</t>
  </si>
  <si>
    <t>10D</t>
  </si>
  <si>
    <t>Possession of article with blade or point [note 47]</t>
  </si>
  <si>
    <t>Other knives offences [note 49]</t>
  </si>
  <si>
    <t>TOTAL POSSESSION OF WEAPONS OFFENCES</t>
  </si>
  <si>
    <t>9A</t>
  </si>
  <si>
    <t>Public fear, alarm or distress [note 24,25,50]</t>
  </si>
  <si>
    <t>9B</t>
  </si>
  <si>
    <t>Racially or religiously aggravated public fear, alarm or distress [note 24,25]</t>
  </si>
  <si>
    <t>Treason [note 51]</t>
  </si>
  <si>
    <t>62A</t>
  </si>
  <si>
    <t>Violent disorder [note 51]</t>
  </si>
  <si>
    <t>Treason felony [note 51]</t>
  </si>
  <si>
    <t>Riot [note 51]</t>
  </si>
  <si>
    <t>Other offences against the State or public order</t>
  </si>
  <si>
    <t>TOTAL PUBLIC ORDER OFFENCES</t>
  </si>
  <si>
    <t>Concealing an infant death close to birth</t>
  </si>
  <si>
    <t>Exploitation of prostitution [note 28]</t>
  </si>
  <si>
    <t>Bigamy</t>
  </si>
  <si>
    <t>Soliciting for prostitution [note 28]</t>
  </si>
  <si>
    <t>Going equipped for stealing, etc.</t>
  </si>
  <si>
    <t>33A</t>
  </si>
  <si>
    <t>Making, supplying or possessing articles for use in fraud</t>
  </si>
  <si>
    <t>Profiting from or concealing proceeds of crime [note 52]</t>
  </si>
  <si>
    <t>53H</t>
  </si>
  <si>
    <t>Making or supplying articles for use in fraud [note 53]</t>
  </si>
  <si>
    <t>53J</t>
  </si>
  <si>
    <t>Possession of articles for use in fraud [note 53]</t>
  </si>
  <si>
    <t>Handling stolen goods</t>
  </si>
  <si>
    <t>Threat etc. to commit criminal damage</t>
  </si>
  <si>
    <t>Forgery or use of drug prescription</t>
  </si>
  <si>
    <t>Other forgery</t>
  </si>
  <si>
    <t>61A</t>
  </si>
  <si>
    <t>Possession of false documents</t>
  </si>
  <si>
    <t>Perjury</t>
  </si>
  <si>
    <t>Libel [note 54]</t>
  </si>
  <si>
    <t>Offender Management Act offences</t>
  </si>
  <si>
    <t>Betting, gaming and lotteries [note 54]</t>
  </si>
  <si>
    <t>Aiding suicide</t>
  </si>
  <si>
    <t>Immigration offences [note 54]</t>
  </si>
  <si>
    <t>Perverting the course of justice</t>
  </si>
  <si>
    <t>Absconding from lawful custody</t>
  </si>
  <si>
    <t>Customs and Revenue offences [note 54]</t>
  </si>
  <si>
    <t>Bail offences</t>
  </si>
  <si>
    <t>Trade descriptions, etc [note 54]</t>
  </si>
  <si>
    <t>Health and Safety offences [note 54]</t>
  </si>
  <si>
    <t>Obscene publications, etc and protected sexual material</t>
  </si>
  <si>
    <t>Protection from eviction [note 54]</t>
  </si>
  <si>
    <t>Adulteration of food [note 54]</t>
  </si>
  <si>
    <t>Public health offences [note 54, 55]</t>
  </si>
  <si>
    <t>Planning laws [note 54]</t>
  </si>
  <si>
    <t>Disclosure, obstruction, false or misleading statements etc</t>
  </si>
  <si>
    <t>Wildlife crime [note 56]</t>
  </si>
  <si>
    <t>Other indictable or triable-either-way offences [note 54, 56, 57]</t>
  </si>
  <si>
    <t>Dangerous driving</t>
  </si>
  <si>
    <t>Fraud, forgery associated with vehicle driver records</t>
  </si>
  <si>
    <t>TOTAL MISCELLANEOUS CRIMES AGAINST SOCIETY</t>
  </si>
  <si>
    <t>TOTAL RECORDED CRIME - ALL OFFENCES EXCLUDING FRAUD AND COMPUTER MISUSE  [note 58]</t>
  </si>
  <si>
    <t>Fraud by company director [note 59]</t>
  </si>
  <si>
    <t xml:space="preserve">False accounting </t>
  </si>
  <si>
    <t>53A</t>
  </si>
  <si>
    <t>Cheque and credit card fraud (pre Fraud Act 2006) [note 53]</t>
  </si>
  <si>
    <t>53B</t>
  </si>
  <si>
    <t>Preserved other fraud and repealed fraud offences (pre-Fraud Act 2006) [note 43, 53]</t>
  </si>
  <si>
    <t>53C</t>
  </si>
  <si>
    <t>Fraud by false representation: cheque, plastic card and online bank accounts [note 42, 53]</t>
  </si>
  <si>
    <t>53D</t>
  </si>
  <si>
    <t>Fraud by false representation: other frauds [note 53]</t>
  </si>
  <si>
    <t>53E</t>
  </si>
  <si>
    <t>Fraud by failing to disclose information [note 53]</t>
  </si>
  <si>
    <t>53F</t>
  </si>
  <si>
    <t>Fraud by abuse of position [note 53]</t>
  </si>
  <si>
    <t>53G</t>
  </si>
  <si>
    <t>Obtaining services dishonestly [note 53]</t>
  </si>
  <si>
    <t xml:space="preserve">Bankruptcy and insolvency offences </t>
  </si>
  <si>
    <t>TOTAL FRAUD OFFENCES RECORDED BY THE POLICE [note 60]</t>
  </si>
  <si>
    <t>Fraud and computer misuse offences recorded by Action fraud  [note 60, 61,62]</t>
  </si>
  <si>
    <t>Fraud offences referred to NFIB by Cifas [note 61, 63, 64]</t>
  </si>
  <si>
    <t>Fraud offences referred to NFIB by UK Finance [note 61 ,62, 64, 65, 66]</t>
  </si>
  <si>
    <t>TOTAL FRAUD  AND COMPUTER MISUSE OFFENCES [note 61]</t>
  </si>
  <si>
    <t>TOTAL RECORDED CRIME – ALL OFFENCES INCLUDING FRAUD AND COMPUTER MISUSE [note 58]</t>
  </si>
  <si>
    <t>Some shorthand is used in this table. [x] indicates that data are not available</t>
  </si>
  <si>
    <t>This worksheet contains one table. Some cells refer to notes which can be found on the A5 notes worksheet.</t>
  </si>
  <si>
    <t>Offence code</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</si>
  <si>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</si>
  <si>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</si>
  <si>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</si>
  <si>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</si>
  <si>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</si>
  <si>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</si>
  <si>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</si>
  <si>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</si>
  <si>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</si>
  <si>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</si>
  <si>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</si>
  <si>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</si>
  <si>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</si>
  <si>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</si>
  <si>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</si>
  <si>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</si>
  <si>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</si>
  <si>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</si>
  <si>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</si>
  <si>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</si>
  <si>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</si>
  <si>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</si>
  <si>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</si>
  <si>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</si>
  <si>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Death or serious injury - unlawful driving</t>
  </si>
  <si>
    <t>Fraud offences referred to NFIB by UK Finance [note 61 ,62, 64, 65, 66, 67]</t>
  </si>
  <si>
    <t>TOTAL FRAUD  AND COMPUTER MISUSE OFFENCES [note 61,67]</t>
  </si>
  <si>
    <t>Summary Table A6: Police recorded crimes - rates, numbers and percentage changes [note 2]</t>
  </si>
  <si>
    <t>England and Wales, year ending June 2025</t>
  </si>
  <si>
    <t>Offence type [note 3]</t>
  </si>
  <si>
    <t xml:space="preserve">Rate per 1,000 population
Jul 2024 to
 Jun 2025
</t>
  </si>
  <si>
    <t>Number of recorded offences
Jul 2024 to
 Jun 2025</t>
  </si>
  <si>
    <t xml:space="preserve">Jul 2024 to
 Jun 2025 with Apr 2014 to
 Mar 2015
% change </t>
  </si>
  <si>
    <t xml:space="preserve">Jul 2024 to
 Jun 2025 with previous year
 % change </t>
  </si>
  <si>
    <t>VICTIM-BASED CRIME</t>
  </si>
  <si>
    <t>Violence against the person offences</t>
  </si>
  <si>
    <t xml:space="preserve">     Homicide</t>
  </si>
  <si>
    <t xml:space="preserve">        Death or serious injury - unlawful driving [note 10]</t>
  </si>
  <si>
    <t xml:space="preserve">     Violence with injury</t>
  </si>
  <si>
    <t xml:space="preserve">     Violence without injury</t>
  </si>
  <si>
    <t xml:space="preserve">        Stalking and harassment [note 27]</t>
  </si>
  <si>
    <t>Sexual offences</t>
  </si>
  <si>
    <t xml:space="preserve">     Rape</t>
  </si>
  <si>
    <t xml:space="preserve">     Other sexual offences</t>
  </si>
  <si>
    <t>Robbery offences</t>
  </si>
  <si>
    <t>Theft offences</t>
  </si>
  <si>
    <t xml:space="preserve">     Burglary [note 38]</t>
  </si>
  <si>
    <t xml:space="preserve">     Vehicle offences</t>
  </si>
  <si>
    <t xml:space="preserve">     Theft from the person</t>
  </si>
  <si>
    <t xml:space="preserve">     Bicycle theft</t>
  </si>
  <si>
    <t xml:space="preserve">     Shoplifting</t>
  </si>
  <si>
    <t xml:space="preserve">     All other theft offences</t>
  </si>
  <si>
    <t>Criminal damage and arson</t>
  </si>
  <si>
    <t>Drug offences</t>
  </si>
  <si>
    <t>Possession of weapons offences</t>
  </si>
  <si>
    <t>Public order offences</t>
  </si>
  <si>
    <t xml:space="preserve">Miscellaneous crimes against society </t>
  </si>
  <si>
    <t>TOTAL RECORDED CRIME - ALL OFFENCES EXCLUDING FRAUD AND COMPUTER MISUSE</t>
  </si>
  <si>
    <t>TOTAL FRAUD AND COMPUTER MISUSE OFFENCES [note 60]</t>
  </si>
  <si>
    <t xml:space="preserve">TOTAL RECORDED CRIME - ALL OFFENCES INCLUDING FRAUD AND COMPUTER MISUSE </t>
  </si>
  <si>
    <t>Apr 2012 to Mar 2013</t>
  </si>
  <si>
    <t>Apr 2017 to
 Mar 2018</t>
  </si>
  <si>
    <t>Apr 2018 to
 Mar 2019</t>
  </si>
  <si>
    <t>Apr 2019 to
Mar 2020</t>
  </si>
  <si>
    <t>Apr 2020 to
Mar 2021</t>
  </si>
  <si>
    <t>Apr 2021 to
Mar 2022</t>
  </si>
  <si>
    <t>Apr 2022 to 
 Mar 2024</t>
  </si>
  <si>
    <t>Apr 2024 to 
 Mar 2025</t>
  </si>
  <si>
    <t>Jul 2023 to 
 Jun 2024</t>
  </si>
  <si>
    <t>Jul 2024 to 
 Jun 2025</t>
  </si>
  <si>
    <t>Jun 2024 with Jun 2025
 % change</t>
  </si>
  <si>
    <t>Violence against the person</t>
  </si>
  <si>
    <t xml:space="preserve">        Death or serious injury - unlawful driving</t>
  </si>
  <si>
    <t>Robbery</t>
  </si>
  <si>
    <t xml:space="preserve">     Robbery of business property</t>
  </si>
  <si>
    <t xml:space="preserve">     Robbery of personal property</t>
  </si>
  <si>
    <t xml:space="preserve">     Burglary</t>
  </si>
  <si>
    <t xml:space="preserve">         Domestic burglary [note 37]</t>
  </si>
  <si>
    <t xml:space="preserve">         Non-domestic burglary</t>
  </si>
  <si>
    <t xml:space="preserve">        Residential burglary (including Home and nonconnected buildings) [note 37]</t>
  </si>
  <si>
    <t xml:space="preserve">        Non-residential burglary </t>
  </si>
  <si>
    <t xml:space="preserve">         Theft of a motor vehicle</t>
  </si>
  <si>
    <t xml:space="preserve">         Theft from a vehicle</t>
  </si>
  <si>
    <t xml:space="preserve">         Vehicle interference</t>
  </si>
  <si>
    <t xml:space="preserve">     Arson</t>
  </si>
  <si>
    <t xml:space="preserve">     Criminal damage</t>
  </si>
  <si>
    <t xml:space="preserve">    Trafficking of drugs</t>
  </si>
  <si>
    <t xml:space="preserve">    Possession of drugs</t>
  </si>
  <si>
    <t>Miscellaneous crimes against society</t>
  </si>
  <si>
    <t>TOTAL FRAUD AND COMPUTER MISUSE OFFENCES [note 61]</t>
  </si>
  <si>
    <t xml:space="preserve">This worksheet contains 7 tables presented vertically with one blank row between each table. </t>
  </si>
  <si>
    <t>Notes for Table B1</t>
  </si>
  <si>
    <t>Following a methodological change to the handling of repeat victimisation in the CSEW, these data are not comparable with data published before January 2019. For more information see Improving victimisation estimates derived from the Crime Survey for England and Wales</t>
  </si>
  <si>
    <t>Improving victimisation estimates derived from the Crime Survey for England and Wales</t>
  </si>
  <si>
    <t>Owing to possible missing data regarding the relationship between the respondent (victim) and the offender for particular offences, the domestic/acquaintance/stranger breakdown may not sum to the total for all violence.</t>
  </si>
  <si>
    <t>Percentage point changes for domestic violence should be treated with caution because the number of victims interviewed is low.</t>
  </si>
  <si>
    <t>Data for sub-categories will not sum to totals shown for violence because people can be victims of more than one violent crime and have a different relationship to the offender.</t>
  </si>
  <si>
    <t>Notes for Table B2</t>
  </si>
  <si>
    <t>Notes for tables B3, B4</t>
  </si>
  <si>
    <t>Police recorded crime statistics based on data from 43 forces in England and Wales (excluding the British Transport Police).</t>
  </si>
  <si>
    <t>Excludes offences involving the use of conventional air weapons, such as air rifles and offences recorded by British Transport Police. Includes crimes recorded by police where a firearm has been fired, used as a blunt instrument against a person or used as a threat.</t>
  </si>
  <si>
    <t>Over the time period of this data collection, most police forces have made data quality and recording improvements which means data from earlier years are not directly comparable with recent years. Some forces have also revised data, which means data may not match earlier publications.</t>
  </si>
  <si>
    <t>More explicit guidelines for the classification of weapons introduced on 1 April 2004 may have increased the recording of firearm offences, particularly those committed by imitation weapons.</t>
  </si>
  <si>
    <t>Imitation firearms include replica weapons, as well as low-powered weapons which fire small plastic pellets, such as BB guns and soft air weapons.</t>
  </si>
  <si>
    <t>Other firearms include CS gas / pepper spray, stun guns and other weapons.</t>
  </si>
  <si>
    <t>Note for worksheets B5, B6, B7</t>
  </si>
  <si>
    <t xml:space="preserve">Police recorded knife or sharp instrument offences data from 43 police forces in England and Wales, plus British Transport Police. These data are submitted via an additional special collection. Proportions of offences involving the use of a knife or sharp instrument presented in this table are calculated based on figures submitted in this special collection. Other offences exist that are not shown in this table that may include the use of a knife or sharp instrument. </t>
  </si>
  <si>
    <t>Figures in this table are based on a new methodology (the National Data Quality Improvement Service) for identifying whether an offence included a knife or sharp instrument or not. By March 2025, 41 police forces had switched to NDQIS. Further details can be found in a Methodological Report.</t>
  </si>
  <si>
    <t>Methodology report Police recorded offences involving knives or sharp instruments: methodology changes</t>
  </si>
  <si>
    <t>The Metropolitan Police Service have reviewed their recording of knife or sharp instrument offences from April 2024 onwards. This revealed over counting for some crime types and under counting for others. This resulted in a small decrease in the number of overall offences. Records have been corrected and data may not match earlier publications. Previous data has not been revised, and the data is therefore not directly comparable with previous years.</t>
  </si>
  <si>
    <t xml:space="preserve">Changes to offence codes in April 2012 mean the category of assault with injury and assault with intent to cause serious harm is not directly comparable with previous years. Appendix table A4 contains more details.	</t>
  </si>
  <si>
    <t xml:space="preserve">Sexual assault includes indecent assault on a male/female and sexual assault on a male/female (all ages).	</t>
  </si>
  <si>
    <t xml:space="preserve">Over the time period of this data collection, most police forces have made data quality and recording improvements which means data from earlier years are not directly comparable with recent years. Some forces have also revised data, which means data may not match earlier publications. Forces who have made notable revisions to their data are: 
Avon and Somerset, Essex, Norfolk and Suffolk; data for recent years are not comparable prior to the year ending March 2018
Northumbria and Surrey; data for recent years are not comparable prior to the year ending March 2017
Thames Valley; data for recent years are not comparable prior to the year ending March 2016
Sussex; data for recent years are not comparable prior to the year ending March 2015 </t>
  </si>
  <si>
    <t xml:space="preserve">Greater Manchester police reviewed their recording of knife or sharp instrument offences in December 2017. This revealed that they were under-counting these offences. Following this review, there has been a sharp increase in the number of knife or sharp instrument offences recorded by GMP in January to December 2018 compared with previous quarters. Previous data have not been revised and the data are therefore not comparable.  Due to this, data from GMP have been excluded from table B6.													</t>
  </si>
  <si>
    <t>Notes for table B8</t>
  </si>
  <si>
    <t>Admissions based on admissions episode. A finished admission episode (FAE) is the first period of admitted patient care under one consultant within one healthcare provider. FAEs are counted against the year or month in which the admission episode finishes. Admissions do not represent the number of patients, as a person may have more than one admission within the period.</t>
  </si>
  <si>
    <t xml:space="preserve">Inpatients only. </t>
  </si>
  <si>
    <t>The following ICD-10 coding has been used to define assault with a sharp object: X99 Assault by sharp object</t>
  </si>
  <si>
    <t>Changes to the figures over time need to be interpreted in the context of improvements in data quality and coverage, improvements in coverage of independent sector activity and changes in NHS practice. For example, apparent reductions in activity may be due to a number of procedures which may now be undertaken in outpatient settings. Conversely, apparent increases in activity may be due to improved recording of diagnosis or procedure information.</t>
  </si>
  <si>
    <t xml:space="preserve">Data for year ending June 2025 are provisional and may be incomplete or contain errors for which no adjustments have yet been made.  Counts produced from provisional data are likely to be lower than those generated for the same period in the final data. </t>
  </si>
  <si>
    <t>Based on English providers - includes activity for patients treated in NHS hospitals in England and will include England residents and also any non-English residents treated in England.</t>
  </si>
  <si>
    <t>Totals will not sum due to a number of unknown ages within each year.</t>
  </si>
  <si>
    <t>Based on Welsh providers - includes activity for patients treated in NHS hospitals in Wales and will include Welsh residents and also any non-Welsh residents treated in Wales.</t>
  </si>
  <si>
    <t>Notes for worksheet B9</t>
  </si>
  <si>
    <t>Domestic abuse related crimes are defined as any incidence of threatening behaviour, violence or abuse (psychological, physical, sexual, financial or emotional) between adults, aged 16 and over, who are or have been intimate partners or family members, regardless of gender or sexuality.</t>
  </si>
  <si>
    <t xml:space="preserve">Police forces have made extensive data quality and recording improvements in their recording of domestic related-abuse offences since the collection began in April 2015. Due to this, the figures do not provide a reliable trend in these crimes. </t>
  </si>
  <si>
    <t xml:space="preserve">From April 2023, police forces began using a new methodology (the National Data Quality Improvement Service; NDQIS) to help identify whether an offence was domestic abuse-related or not. By March 2025, 35 forces have switched to using NDQIS and further forces will be moving to the new methodology in future releases. </t>
  </si>
  <si>
    <r>
      <t>The new methodology will lead to an increase in offences identified as being domestic abuse-related. Analysis of data from 8 forces (</t>
    </r>
    <r>
      <rPr>
        <b/>
        <sz val="12"/>
        <color theme="1"/>
        <rFont val="Arial"/>
        <family val="2"/>
      </rPr>
      <t>Avon and Somerset, Bedfordshire, Durham, Hertfordshire, Kent, Norfolk, South Wales and Suffolk</t>
    </r>
    <r>
      <rPr>
        <sz val="12"/>
        <color theme="1"/>
        <rFont val="Arial"/>
        <family val="2"/>
      </rPr>
      <t>)</t>
    </r>
    <r>
      <rPr>
        <sz val="12"/>
        <rFont val="Arial"/>
        <family val="2"/>
      </rPr>
      <t xml:space="preserve"> show that the number of additional offences that were identified as being domestic abuse-related for the YE March 2024 was 3%. Due to the change in methodology, caution should be applied when comparing data for the latest year as they are not directly comparable to previous years.</t>
    </r>
  </si>
  <si>
    <t>Following the implementation of a new IT system in July 2019, Greater Manchester Police have been previously unable to supply data from the period of July 2019 to March 2020. Figures for Greater Manchester are now included in the National totals presented in this table. Comparisons made with previous versions of this table will display noticeable differences due to the exclusion of Greater Manchester in prior publications.</t>
  </si>
  <si>
    <t>Notes for table B10</t>
  </si>
  <si>
    <t xml:space="preserve">Figures given for all sexual offences as age of victim data were not available for all forces. </t>
  </si>
  <si>
    <t>Recent offences are defined as those recorded by the police within one year of the offence taking place. Non-recent refer to any offence when the time between the offence and recording was greater than a year</t>
  </si>
  <si>
    <t>Data cover the 43 Police Forces who provided data over the period, excluding  Humberside.</t>
  </si>
  <si>
    <t>Includes offence codes 19F &amp; 19C</t>
  </si>
  <si>
    <t>Includes offence codes 21, 71, 73, 17B, 19D, 19E, 19G, 19H, 20B, 22B and 88A</t>
  </si>
  <si>
    <t>This worksheet contains eight tables. Two tables wide vertically and four tables horizontal, with a blank cell in between. Some cells refer to notes which can be found on the notes worksheet.</t>
  </si>
  <si>
    <t>Table B1a: Trends in the offender relationship of CSEW violence, number of incidents (1,000s)</t>
  </si>
  <si>
    <t>Table B1b: Trends in CSEW number of incidents (1,000s), year ending June 2025 compared to selected years, with percentage change and statistical significance of change</t>
  </si>
  <si>
    <t>Offender relationship</t>
  </si>
  <si>
    <t>Apr 2011 to Mar 2012 
[note 8]</t>
  </si>
  <si>
    <t xml:space="preserve">   Domestic violence</t>
  </si>
  <si>
    <t xml:space="preserve">   Domestic violence[note 8]</t>
  </si>
  <si>
    <t xml:space="preserve">   Acquaintance</t>
  </si>
  <si>
    <t xml:space="preserve">   Stranger</t>
  </si>
  <si>
    <t>Table B1c: Trends in the offender relationship of CSEW violence, rate per 1,000 people aged 16 and over</t>
  </si>
  <si>
    <t>Table B1d: Trends in CSEW rate per 1,000 people aged 16 and over, year ending June 2025 compared to selected years, with percentage change and statistical significance of change</t>
  </si>
  <si>
    <t>VIOLENCE [note 5]</t>
  </si>
  <si>
    <t>Table B1e: Trends in the offender relationship of CSEW violence, percentages of people aged 16 and over, victims once or more (prevalence)</t>
  </si>
  <si>
    <t>Table B1f: Trends in CSEW percentages of people aged 16 and over, victims once or more, year ending June 2025 compared to selected years, with percentage point change and statistical significance of change</t>
  </si>
  <si>
    <t>Table B1g: Trends in the offender relationship of CSEW violence, number of victims once or more (1,000s)</t>
  </si>
  <si>
    <t>Table B1h: Trends in CSEW number of victims once or more (1,000s), year ending June 2025 compared to selected years, with percentage change and statistical significance of change</t>
  </si>
  <si>
    <t>VIOLENCE [note 9]</t>
  </si>
  <si>
    <t>England and Wales, year ending June 2025 compared with selected periods from year ending March 2015</t>
  </si>
  <si>
    <t>Some shorthand is used in this table. [z] indicates not applicable</t>
  </si>
  <si>
    <t>Firearm offences</t>
  </si>
  <si>
    <t>Apr 2014 to 
Mar 2015</t>
  </si>
  <si>
    <t>Apr 2019 to 
Mar 2020</t>
  </si>
  <si>
    <t>Jul 2023 to
 Jun 2024</t>
  </si>
  <si>
    <t>Jul 2024 to
 Jun 2025</t>
  </si>
  <si>
    <t>Number of offences</t>
  </si>
  <si>
    <t>Rate per 1,000,000 population</t>
  </si>
  <si>
    <t xml:space="preserve">June 2025 % change compared with: </t>
  </si>
  <si>
    <t>[z]</t>
  </si>
  <si>
    <t>England and Wales, year ending March 2003 to year ending June 2025</t>
  </si>
  <si>
    <t xml:space="preserve">Principal weapon </t>
  </si>
  <si>
    <t>Apr 2002 to
 Mar 2003</t>
  </si>
  <si>
    <t>Apr 2003 to
 Mar 2004</t>
  </si>
  <si>
    <t>Apr 2004 to
 Mar 2005</t>
  </si>
  <si>
    <t>Apr 2005 to
 Mar 2006</t>
  </si>
  <si>
    <t>Apr 2006 to
 Mar 2007</t>
  </si>
  <si>
    <t>Apr 2007 to
 Mar 2008</t>
  </si>
  <si>
    <t>Apr 2008 to
 Mar 2009</t>
  </si>
  <si>
    <t>Apr 2009 to
 Mar 2010</t>
  </si>
  <si>
    <t>Apr 2010 to
 Mar 2011</t>
  </si>
  <si>
    <t>Apr 2011 to
 Mar 2012</t>
  </si>
  <si>
    <t>Apr 2012 to
 Mar 2013</t>
  </si>
  <si>
    <t>Apr 2013 to
 Mar 2014</t>
  </si>
  <si>
    <t>Apr 2014 to
Mar 2015</t>
  </si>
  <si>
    <t>Apr 2015 to 
Mar 2016</t>
  </si>
  <si>
    <t>Apr 2016 to 
Mar 2017</t>
  </si>
  <si>
    <t>Apr 2017 to 
Mar 2018</t>
  </si>
  <si>
    <t>Apr  2018 to
 Mar  2019</t>
  </si>
  <si>
    <t xml:space="preserve">Apr 2019 to
 Mar 2020 </t>
  </si>
  <si>
    <t>Apr 2020 to 
Mar 2021</t>
  </si>
  <si>
    <t>Apr 2021 to 
Mar 2022</t>
  </si>
  <si>
    <t>Apr 2022 to 
Mar 2023</t>
  </si>
  <si>
    <t>YE Jun 2025
 compared with previous year
 % change</t>
  </si>
  <si>
    <t>Shotguns</t>
  </si>
  <si>
    <t>Handguns</t>
  </si>
  <si>
    <t>Rifles</t>
  </si>
  <si>
    <t>Unidentified firearms</t>
  </si>
  <si>
    <t>Other firearms [note 6]</t>
  </si>
  <si>
    <t>All firearms</t>
  </si>
  <si>
    <t xml:space="preserve">England and Wales  year ending March 2020 to year ending June 2025 </t>
  </si>
  <si>
    <t>This worksheet contains two tables presented horizontally with one blank column in between each table. Some cells refer to notes which can be found on the notes worksheet.</t>
  </si>
  <si>
    <t>Link to Notes</t>
  </si>
  <si>
    <t>Table B5a: Number of selected violent and sexual offences involving a knife or sharp instrument recorded by the police</t>
  </si>
  <si>
    <t>Table B5b: Proportion of selected violent and sexual offences involving a knife or sharp instrument</t>
  </si>
  <si>
    <t>Selected offences</t>
  </si>
  <si>
    <t>Apr 2019 to
 Mar 2020</t>
  </si>
  <si>
    <t>Apr 2020 to
 Mar 2021</t>
  </si>
  <si>
    <t>Apr 2021 to
 Mar 2022</t>
  </si>
  <si>
    <t>Jul 2023 to 
Jun 2024</t>
  </si>
  <si>
    <t>Jul 2024 to 
Jun 2025</t>
  </si>
  <si>
    <t>Jul 2024 to Jun 2025 compared with previous year % change</t>
  </si>
  <si>
    <t>Apr 2019 to Mar 2020 (%)</t>
  </si>
  <si>
    <t>Apr 2020 to Mar 2021 (%)</t>
  </si>
  <si>
    <t>Apr 2021 to Mar 2022 (%)</t>
  </si>
  <si>
    <t>Apr 2022 to Mar 2023 (%)</t>
  </si>
  <si>
    <t>Jul 2023 to Jun 2024 (%)</t>
  </si>
  <si>
    <t>Jul 2024 to Jun 2025 (%)</t>
  </si>
  <si>
    <t>Attempted murder</t>
  </si>
  <si>
    <t>Threats to kill</t>
  </si>
  <si>
    <t>Sexual assault [note 5]</t>
  </si>
  <si>
    <t>Total selected offences</t>
  </si>
  <si>
    <t>Homicide [note 6]</t>
  </si>
  <si>
    <t>Total selected offences including homicide</t>
  </si>
  <si>
    <t>Worksheet B6:  Number and proportion of selected violent and sexual offences involving a knife or sharp instrument and percentage change, recorded by the police [notes 1, 2, 3, 7, 8]</t>
  </si>
  <si>
    <t>England and Wales (excluding Greater Manchester Police) year ending March 2011 to year ending June 2025</t>
  </si>
  <si>
    <t>This worksheet contains two tables presented vertically with one blank row in between each table. Some cells refer to notes which can be found on the notes worksheet.</t>
  </si>
  <si>
    <t>Table B6a:  Number of selected violent and sexual offences involving a knife or sharp instrument recorded by the police (excluding Greater Manchester police)</t>
  </si>
  <si>
    <t>Apr 2010 to 
Mar 2011</t>
  </si>
  <si>
    <t>Apr 2011 to 
Mar 2012</t>
  </si>
  <si>
    <t>Apr 2012 to 
Mar 2013</t>
  </si>
  <si>
    <t>Apr 2013 to 
Mar 2014</t>
  </si>
  <si>
    <t>Apr 2018 to 
Mar 2019</t>
  </si>
  <si>
    <t>Apr 2019 to Mar 2020</t>
  </si>
  <si>
    <t>Apr 2020 to Mar 2021</t>
  </si>
  <si>
    <t>Apr 2021 to Mar 2022</t>
  </si>
  <si>
    <t>Assault with injury and assault with intent to cause serious harm [note 4]</t>
  </si>
  <si>
    <t>Total selected offences including homicide (inc GMP)</t>
  </si>
  <si>
    <t>Total selected offences including homicide (excl GMP) - rate per million population</t>
  </si>
  <si>
    <t>Table B6b:  Proportion of selected violent and sexual offences involving a knife or sharp instrument recorded by the police (excluding Greater Manchester Police)</t>
  </si>
  <si>
    <t>Apr 2010 to 
Mar 2011
(%)</t>
  </si>
  <si>
    <t>Apr 2011 to 
Mar 2012 
(%)</t>
  </si>
  <si>
    <t>Apr 2012 to 
Mar 2013
(%)</t>
  </si>
  <si>
    <t>Apr 2013 to 
Mar 2014
(%)</t>
  </si>
  <si>
    <t>Apr 2014 to 
Mar 2015
(%)</t>
  </si>
  <si>
    <t>Apr 2015 to 
Mar 2016
(%)</t>
  </si>
  <si>
    <t>Apr 2016 to 
Mar 2017
(%)</t>
  </si>
  <si>
    <t>Apr 2017 to 
Mar 2018
(%)</t>
  </si>
  <si>
    <t>Apr 2018 to 
Mar 2019
(%)</t>
  </si>
  <si>
    <t>Apr 2019 to Mar 2020
 (%)</t>
  </si>
  <si>
    <t>Worksheet B7:  Number and proportion of selected violent and sexual offences involving a knife or sharp instrument [notes 1, 8, 9]</t>
  </si>
  <si>
    <t>Greater Manchester Police, year ending March 2011 to year ending June 2025</t>
  </si>
  <si>
    <t>Table B7a: Number of selected violent and sexual offences involving a knife or sharp instrument, Greater Manchester Police</t>
  </si>
  <si>
    <t>Total selected offences including homicide - rate per million population</t>
  </si>
  <si>
    <t>Table B7b:  Proportion of selected violent and sexual offences involving a knife or sharp instrument recorded, Greater Manchester Police</t>
  </si>
  <si>
    <t>Apr 2010 to 
Mar 2011
 (%)</t>
  </si>
  <si>
    <t>Apr 2011 to 
Mar 2012
 (%)</t>
  </si>
  <si>
    <t>Apr 2012 to 
Mar 2013
 (%)</t>
  </si>
  <si>
    <t>Apr 2013 to 
Mar 2014
 (%)</t>
  </si>
  <si>
    <t>Apr 2014 to 
Mar 2015 
(%)</t>
  </si>
  <si>
    <t>Apr 2015 to 
Mar 2016
 (%)</t>
  </si>
  <si>
    <t>Apr 2016 to 
Mar 2017
 (%)</t>
  </si>
  <si>
    <t>Apr 2017 to 
Mar 2018
 (%)</t>
  </si>
  <si>
    <t>Apr 2018 to 
Mar 2019
 (%)</t>
  </si>
  <si>
    <t>This worksheet contains one table. Some cells refer to notes which can be found below the table.</t>
  </si>
  <si>
    <t>Source: Hospital Episode Statistics (HES), NHS Digital and Patient Episode Database for Wales (PEDW), Digital Health and Care Wales (DHCW).</t>
  </si>
  <si>
    <t>Admissions</t>
  </si>
  <si>
    <t>Age group</t>
  </si>
  <si>
    <t xml:space="preserve">Apr 2021 to Mar 2022 </t>
  </si>
  <si>
    <t>Apr 2022
to Mar 2023</t>
  </si>
  <si>
    <t>Jul 2023
to Jun 2024</t>
  </si>
  <si>
    <t>Jul 2024 to Jun 2025 [note 5]</t>
  </si>
  <si>
    <t>Jul 2024 to Jun 2025
 compared with
 previous year
 % change</t>
  </si>
  <si>
    <t>England Admissions [note 6]</t>
  </si>
  <si>
    <t>0 to 24</t>
  </si>
  <si>
    <t>25 and over</t>
  </si>
  <si>
    <t>Total [note 7]</t>
  </si>
  <si>
    <t>Wales Admissions [note 8]</t>
  </si>
  <si>
    <t>Total</t>
  </si>
  <si>
    <t>England and Wales Admissions</t>
  </si>
  <si>
    <t xml:space="preserve">England and Wales, year ending March 2016 to year ending June 2025. </t>
  </si>
  <si>
    <t>Table B9a: Number of offences recorded by the police in England and Wales that were flagged as domestic abuse-related, with percentage change</t>
  </si>
  <si>
    <t>Offence</t>
  </si>
  <si>
    <t xml:space="preserve">Apr 2019 to 
Mar 2020 </t>
  </si>
  <si>
    <t>All offences (excluding fraud)</t>
  </si>
  <si>
    <t>Miscellaneous crimes</t>
  </si>
  <si>
    <t>Other offence types</t>
  </si>
  <si>
    <t>Table B9b: Proportion of offences recorded by the police in England and Wales that were flagged as domestic abuse-related</t>
  </si>
  <si>
    <t xml:space="preserve">Apr 2019 to 
Mar 2020
(%) </t>
  </si>
  <si>
    <t>Apr 2020 to 
Mar 2021
(%)</t>
  </si>
  <si>
    <t>Apr 2021 to 
Mar 2022
(%)</t>
  </si>
  <si>
    <t>Apr 2022 to 
Mar 2023
(%)</t>
  </si>
  <si>
    <t>Jul 2023 to
 Jun 2024
(%)</t>
  </si>
  <si>
    <t>Jul 2024 to
 Jun 2025
(%)</t>
  </si>
  <si>
    <t>England and Wales, year ending March 2017 to year ending June 2025</t>
  </si>
  <si>
    <t>Offences</t>
  </si>
  <si>
    <t>Apr 2016 to
 Mar 2017
(%)</t>
  </si>
  <si>
    <t>Apr 2017 to
 Mar 2018
(%)</t>
  </si>
  <si>
    <t>Apr 2018 to
 Mar 2019
(%)</t>
  </si>
  <si>
    <t>Apr 2019 to
 Mar 2020
(%)</t>
  </si>
  <si>
    <t>Apr 2020 to
 Mar 2021
(%)</t>
  </si>
  <si>
    <t>Apr 2021 to
 Mar 2022
(%)</t>
  </si>
  <si>
    <t>Apr 2022 to
 Mar 2023
(%)</t>
  </si>
  <si>
    <t>All sexual offences - not domestic abuse-related [note 1]</t>
  </si>
  <si>
    <t xml:space="preserve">All sexual offences - domestic abuse-related  [note 1] </t>
  </si>
  <si>
    <t xml:space="preserve">Of which: </t>
  </si>
  <si>
    <t>Notes for tables C1 to C5</t>
  </si>
  <si>
    <t xml:space="preserve">This worksheet contains 5 tables presented vertically with one blank row between each table. </t>
  </si>
  <si>
    <t>Notes for table C1</t>
  </si>
  <si>
    <t>See section 5 of the User guide to crime statistics for England and Wales for more information about the crime types included in this table.</t>
  </si>
  <si>
    <t>User guide to crime statistics for England and Wales</t>
  </si>
  <si>
    <t>Data for sub-categories will not sum to totals shown for headline categories because people can be victims of more than one crime.</t>
  </si>
  <si>
    <t>The 'with loss' categories relating to fraud refer to financial loss, including money stolen and additional charges or costs incurred, as well as loss of property or goods.</t>
  </si>
  <si>
    <t>For the purposes of this analysis, 'All other fraud' refers to advance fee fraud and other fraud combined.</t>
  </si>
  <si>
    <t>Loss through computer viruses is mainly associated with additional charges or costs incurred as a result of the virus (e.g. repair/replacement costs), which are less likely to be fully reimbursed.</t>
  </si>
  <si>
    <t>Notes for table C2</t>
  </si>
  <si>
    <t>This represents incidents where an amount of money or cash had been stolen or taken as a direct result of fraud, regardless of any additional charges or costs incurred (e.g. bank charges, repair costs, replacement costs, etc). Incidents of computer misuse are therefore not included in the analysis.</t>
  </si>
  <si>
    <t>Incidents not resolved at the time of interview.</t>
  </si>
  <si>
    <t>Notes for table C3</t>
  </si>
  <si>
    <t>For more information on the National Fraud Intelligence Bureau (NFIB) see their website.</t>
  </si>
  <si>
    <t>https://www.actionfraud.police.uk/what-is-national-fraud-intelligence-bureau</t>
  </si>
  <si>
    <t>Action Fraud and NFIB collate data for the UK as a whole, the figures presented here for England and Wales are based on victims' postcodes as no information is available on where offences take place (which is often hard to define). For a small proportion of these offences the victim's police force area is unknown, these are also included in the total for England &amp; Wales figures. Offences referred to the NFIB by UK Finance do not (in most cases) have any information on the location of the victim.  UK Finance figures are derived for England and Wales using an adjustment based on the geographic distribution of offences referred by Cifas. Section 5.4 of the User guide to crime statistics for England and Wales contains further information.</t>
  </si>
  <si>
    <t>Section 5.4 of the User guide to crime statistics for England and Wales provides an explanation and examples of fraud offences within each category.</t>
  </si>
  <si>
    <t>Figures may be an underestimate as Cifas' fraud cases are recorded on their database after member businesses have investigated them.</t>
  </si>
  <si>
    <t>Both sets of industry data from Cifas and UK Finance relate only to fraud affecting those organisations that are part of the respective membership networks. It is possible that coverage could change as new members join or previous members withdraw, which could impact on overall figures for fraud reported.</t>
  </si>
  <si>
    <t>Fraud offences referred to the NFIB by industry bodies cover only a subset of fraud types, and in respect of UK Finance, offences relate to Cheque, Plastic Card and Online Bank Accounts (not PSP) only.</t>
  </si>
  <si>
    <t>A PSP is a payment service provider (for example Paypal, World Pay) that is not a bank, dealing in electronic money transfers. Fraud offences perpetrated using PSPs are recorded under 'Online shopping and auctions'.</t>
  </si>
  <si>
    <t>Frauds within the telecoms sector that are reported to Cifas are subject to a lot of fluctuation due to the fact that reports are not always made by some members on a case-by-case basis, i.e. they use a batch reporting system whereby they submit multiple reports in one go which refer to incidents occurring over a period of time.</t>
  </si>
  <si>
    <t>'Other advance fee' includes frauds that cannot be classified under any of the other advance fee payment types such as career opportunity scams, clairvoyant or psychic scams, impersonation of officials, racing tipster scams, work from home and business opportunity scams and vehicle matching scams.</t>
  </si>
  <si>
    <t>Other financial investment' fraud includes frauds that cannot be classified under any of the other financial investment fraud types such as an investment seminar.</t>
  </si>
  <si>
    <t xml:space="preserve">'Other consumer and retail fraud' includes frauds that cannot be classified under any of the other consumer and retail fraud types. </t>
  </si>
  <si>
    <t>'Other regulatory fraud' includes regulators fraud (such as Land Registry, Insider Dealing at the stock exchange, or the Gambling Commission) not covered elsewhere. An example would be the Land Registry receives a fraudulent application to change the ownership of a plot of land.</t>
  </si>
  <si>
    <t>'Other fraud' includes fraud that cannot be classified elsewhere.</t>
  </si>
  <si>
    <t>In recent years, offenders have begun to adapt their methodologies to become increasingly effective at compromising accounts and using these to commit different types of fraud. This has contributed to a substantial rise in reporting. Takeovers of WhatsApp accounts have become the most frequently reported attack type within Social Media Hacking. While this method is by no means new, the volume of reporting has substantially increased. Action Fraud has now published multiple alerts on this method.</t>
  </si>
  <si>
    <t xml:space="preserve">It is possible that there may be some double or triple counting between these sources (Action Fraud, Cifas and UK Finance). Experts believe this duplication to be so small as to have an insignificant effect on crime trends, but there is currently no simple cross-referencing method within NFIB to detect the scale of it. Section 5.4 of the User guide to crime statistics for England and Wales provides more information. </t>
  </si>
  <si>
    <t>Notes for table C4</t>
  </si>
  <si>
    <t>All offences are classed under HOCR as NFIB5A, cheque, plastic card and online bank accounts (non PSP). The categories they have been split into are UK Finance's breakdowns.</t>
  </si>
  <si>
    <t xml:space="preserve">The total number of offences here is including all offences that are also included in the FISS dataset. </t>
  </si>
  <si>
    <t>The long term decrease in ‘Card not Received’ offences is attributed to banks issuing cards with longer expiry dates.</t>
  </si>
  <si>
    <t>Counterfeit card fraud has been getting more difficult since the introduction of Chip and PIN technology.</t>
  </si>
  <si>
    <t>Remote purchase fraud includes telephone, internet and mail order fraud.</t>
  </si>
  <si>
    <t xml:space="preserve">Account takeover has been renamed to Card ID theft to more accurately reflect the data captured in this category which includes third party application fraud and account takeover. Figures presented in this table continue to be comparable with previously published figures. </t>
  </si>
  <si>
    <t>The long term increase in card ID theft is thought to be a result of the increased amount of personal information fraudsters are targeting in channels outside of the banks' controls, such as social media.</t>
  </si>
  <si>
    <t>The long-term downward trend of cheque fraud is likely to have been driven by the continued fall in the use of cheques.</t>
  </si>
  <si>
    <t>Remote banking fraud includes telephone and internet banking.</t>
  </si>
  <si>
    <t xml:space="preserve">Remote banking fraud rose to record highs during the pandemic, reflecting the greater number of people now regularly using internet, telephone and mobile banking, and the attempts by fraudsters to take advantage of this. It is now returning to pre-pandemic levels. The UK Finance report, 'Fraud - The Facts 2021' contains further information. </t>
  </si>
  <si>
    <t>Fraud - the Facts 2021</t>
  </si>
  <si>
    <t>UK Finance identified an issue with its Authorised Push Payment dataset so data prior to 2020 has been excluded. Updated figures have been provided from January 2020 onwards.</t>
  </si>
  <si>
    <t>Notes for table C5</t>
  </si>
  <si>
    <t xml:space="preserve">In April 2015, it became mandatory for all forces to return quarterly information on the number of crimes flagged as being committed online (in full or in part). Work is still ongoing with forces to improve the quality of the data submitted in this collection. </t>
  </si>
  <si>
    <t>There are some large variations in the proportion of offences flagged by each force depending on crime type and there is anecdotal evidence to suggest that the flag is currently underused.  Going forward, with improved identification of online related offences, the proportion of all offences flagged as being online related is likely to increase.</t>
  </si>
  <si>
    <t xml:space="preserve">Six new offence subcodes were introduced in January 2024 as part of the Online Safety Act 2023. </t>
  </si>
  <si>
    <t>Online Safety Act 2023</t>
  </si>
  <si>
    <t>England and Wales, year ending June 2025 CSEW</t>
  </si>
  <si>
    <t xml:space="preserve">Source: Crime Survey for England and Wales (CSEW) from the Office for National Statistics </t>
  </si>
  <si>
    <t>Offence group
[note 1]</t>
  </si>
  <si>
    <t>Number of incidents (thousands)
[note 2]</t>
  </si>
  <si>
    <t>Rate per 1,000 people aged 16 years and over</t>
  </si>
  <si>
    <t>Number of victims aged 16 years and over (thousands)
[note 3]</t>
  </si>
  <si>
    <t>Percentage victims aged 16 years and over once or more
[note 3]</t>
  </si>
  <si>
    <t>FRAUD [note 4]</t>
  </si>
  <si>
    <t xml:space="preserve">   With loss, no or only partial reimbursement</t>
  </si>
  <si>
    <t xml:space="preserve">   With loss, fully reimbursed</t>
  </si>
  <si>
    <t xml:space="preserve">   Without loss</t>
  </si>
  <si>
    <t xml:space="preserve">      With loss, no or only partial reimbursement</t>
  </si>
  <si>
    <t xml:space="preserve">      With loss, fully reimbursed</t>
  </si>
  <si>
    <t xml:space="preserve">      Without loss</t>
  </si>
  <si>
    <t>Consumer and retail fraud</t>
  </si>
  <si>
    <t>All other fraud [note 5]</t>
  </si>
  <si>
    <t>COMPUTER MISUSE</t>
  </si>
  <si>
    <t xml:space="preserve">   Computer virus [note 6]</t>
  </si>
  <si>
    <t xml:space="preserve">   Unauthorised access to personal information (including hacking)</t>
  </si>
  <si>
    <t>Table C2: Reimbursement of money lost to victims of fraud, by offence type, [note 1]</t>
  </si>
  <si>
    <t>Was the money that was taken:</t>
  </si>
  <si>
    <t>Fraud %
[note 2]</t>
  </si>
  <si>
    <t>Bank and credit account fraud %
[note 2]</t>
  </si>
  <si>
    <t>Consumer and retail fraud %
[note 2]</t>
  </si>
  <si>
    <t>Refunded in full</t>
  </si>
  <si>
    <t>Partially refunded</t>
  </si>
  <si>
    <t>Not refunded at all</t>
  </si>
  <si>
    <t>Not yet resolved [note 3]</t>
  </si>
  <si>
    <t>Unweighted base - number of incidents</t>
  </si>
  <si>
    <t xml:space="preserve">England and Wales, year ending June 2024 and year ending June 2025 </t>
  </si>
  <si>
    <t>Fraud data are published as official statistics, not accredited official statistics</t>
  </si>
  <si>
    <t>This worksheet contains one table. Some cells refer to notes which can be found on the Table A5 notes worksheet.</t>
  </si>
  <si>
    <t>Some shorthand is used in this table. [x] indicates the data are not available; [u] Indicates the percentage change are not reported because the base number of offences is less than 50.</t>
  </si>
  <si>
    <t>Source: Action Fraud, National Fraud Intelligence Bureau</t>
  </si>
  <si>
    <t>Reporting body and fraud and computer misuse type [note 3]</t>
  </si>
  <si>
    <t>Action Fraud
 Jul 2023 to 
Jun 2024
 [note 2]</t>
  </si>
  <si>
    <t>Action Fraud
 Jul 2024 to 
Jun 2025
 [note 2]</t>
  </si>
  <si>
    <t>Cifas
 Jul 2023 to 
Jun 2024
 [note 4,5]</t>
  </si>
  <si>
    <t>Cifas
 Jul 2024 to 
Jun 2025
[note 4,5]</t>
  </si>
  <si>
    <t>UK Finance
 Jul 2023 to 
Jun 2024
[note 2,5,6,7]</t>
  </si>
  <si>
    <t>UK Finance
 Jul 2024 to 
Jun 2025
[note 2,5,6,7]</t>
  </si>
  <si>
    <t>Total
Jul 2023 to 
Jun 2024</t>
  </si>
  <si>
    <t>Total
Jul 2024 to 
Jun 2025</t>
  </si>
  <si>
    <t xml:space="preserve">  Action Fraud
 years % change
  [note 2]</t>
  </si>
  <si>
    <t>Cifas
 years % change
 [note 4,5]</t>
  </si>
  <si>
    <t>UK Finance
years % change
[note 2,5,6,7]</t>
  </si>
  <si>
    <t xml:space="preserve">Total years
 % change
</t>
  </si>
  <si>
    <t>Banking and credit industry fraud</t>
  </si>
  <si>
    <t>Cheque, plastic card and online bank accounts (not PSP)[note 8]</t>
  </si>
  <si>
    <t>Application fraud (excluding mortgages)</t>
  </si>
  <si>
    <t xml:space="preserve">Mortgage related fraud </t>
  </si>
  <si>
    <t>Mandate fraud</t>
  </si>
  <si>
    <t>Dishonestly retaining a wrongful credit</t>
  </si>
  <si>
    <t>Business trading fraud</t>
  </si>
  <si>
    <t>Insurance fraud</t>
  </si>
  <si>
    <t>Insurance related fraud</t>
  </si>
  <si>
    <t>Insurance broker fraud</t>
  </si>
  <si>
    <t>Telecom industry fraud (misuse of contracts)[note 9,10]</t>
  </si>
  <si>
    <t>All charity fraud</t>
  </si>
  <si>
    <t>Charity fraud</t>
  </si>
  <si>
    <t>Fraudulent applications for grants from charities or lottery fund organisations</t>
  </si>
  <si>
    <t>Advance fee payments</t>
  </si>
  <si>
    <t>"419" Advance fee fraud</t>
  </si>
  <si>
    <t>Lottery scams</t>
  </si>
  <si>
    <t>Counterfeit cashiers' cheques and bankers drafts</t>
  </si>
  <si>
    <t>Dating scam</t>
  </si>
  <si>
    <t>Fraud recovery</t>
  </si>
  <si>
    <t>Inheritance fraud</t>
  </si>
  <si>
    <t>Rental fraud</t>
  </si>
  <si>
    <t>Other advance fee frauds [note 11]</t>
  </si>
  <si>
    <t>Lender loan fraud</t>
  </si>
  <si>
    <t>Financial investments</t>
  </si>
  <si>
    <t>Share/bond sales or boiler room fraud</t>
  </si>
  <si>
    <t>Pyramid or Ponzi schemes</t>
  </si>
  <si>
    <t>Prime bank guarantees</t>
  </si>
  <si>
    <t>Time shares and holiday club fraud</t>
  </si>
  <si>
    <t>Other financial investment [note 12]</t>
  </si>
  <si>
    <t>Online shopping and auctions</t>
  </si>
  <si>
    <t>Consumer phone fraud</t>
  </si>
  <si>
    <t>Door to door sales and bogus tradespeople</t>
  </si>
  <si>
    <t>Other consumer and retail fraud [note 13]</t>
  </si>
  <si>
    <t>Computer software service fraud</t>
  </si>
  <si>
    <t xml:space="preserve">Ticket fraud </t>
  </si>
  <si>
    <t>Retail fraud</t>
  </si>
  <si>
    <t>Corporate fraud</t>
  </si>
  <si>
    <t>Corporate employee fraud</t>
  </si>
  <si>
    <t>Corporate procurement fraud</t>
  </si>
  <si>
    <t>Pension fraud</t>
  </si>
  <si>
    <t>Pension fraud by pensioners (or their estate)</t>
  </si>
  <si>
    <t>Pension fraud committed on pensioners</t>
  </si>
  <si>
    <t>Pension liberation fraud</t>
  </si>
  <si>
    <t>False accounting</t>
  </si>
  <si>
    <t>Bankruptcy and insolvency</t>
  </si>
  <si>
    <t>Passport application fraud</t>
  </si>
  <si>
    <t>Department of Work and Pensions (DWP) fraud</t>
  </si>
  <si>
    <t>Fraudulent applications for grants from government funded organisations</t>
  </si>
  <si>
    <t>HM Revenue and Customs (HMRC) fraud</t>
  </si>
  <si>
    <t>Other regulatory fraud [note 14]</t>
  </si>
  <si>
    <t>Fraud by failing to disclose information</t>
  </si>
  <si>
    <t>Fraud by abuse of position</t>
  </si>
  <si>
    <t>DVLA Driving Licence Application Fraud</t>
  </si>
  <si>
    <t>Other fraud (not covered elsewhere) [note 15]</t>
  </si>
  <si>
    <t>Total Fraud Offences</t>
  </si>
  <si>
    <t>Computer viruses/malware</t>
  </si>
  <si>
    <t>Denial of service attack</t>
  </si>
  <si>
    <t>Denial of service attack (extortion)</t>
  </si>
  <si>
    <t>Hacking - server</t>
  </si>
  <si>
    <t>Hacking - personal</t>
  </si>
  <si>
    <t>Hacking - social media and email [note 16]</t>
  </si>
  <si>
    <t>Hacking - PBX/dial through</t>
  </si>
  <si>
    <t>Hacking (extortion)</t>
  </si>
  <si>
    <t>Total Computer Misuse Offences</t>
  </si>
  <si>
    <t>Total Fraud and computer misuse offences recorded [note 17]</t>
  </si>
  <si>
    <t>United Kingdom, year ending March 2011 to year ending June 2025</t>
  </si>
  <si>
    <t>Some shorthand is used in this table. [x] indicates that data are unavailable.</t>
  </si>
  <si>
    <t>Source: UK Finance</t>
  </si>
  <si>
    <t>UK Finance FRAUD (CAMIS)
Payment types</t>
  </si>
  <si>
    <t>Apr 2014 to
 Mar 2015</t>
  </si>
  <si>
    <t>Apr 2015 to
 Mar 2016</t>
  </si>
  <si>
    <t>Plastic Card Fraud</t>
  </si>
  <si>
    <t xml:space="preserve">  Lost and Stolen</t>
  </si>
  <si>
    <t xml:space="preserve">  Card not Received [note 3]</t>
  </si>
  <si>
    <t xml:space="preserve">  Counterfeit Card [note 4]</t>
  </si>
  <si>
    <t xml:space="preserve">  Remote Purchase Fraud [note 5]</t>
  </si>
  <si>
    <t xml:space="preserve">  Card ID theft [note 6][note 7]</t>
  </si>
  <si>
    <t>Cheque Fraud [note 8]</t>
  </si>
  <si>
    <t>Remote Banking Fraud [note 9][note 10]</t>
  </si>
  <si>
    <t>Authorised Push Payment [note 11]</t>
  </si>
  <si>
    <t>TOTAL (excluding Authorised Push Payment)</t>
  </si>
  <si>
    <t>TOTAL (including Authorised Push Payment) [note 11]</t>
  </si>
  <si>
    <t>Offence codes in grouping</t>
  </si>
  <si>
    <t>Grouping</t>
  </si>
  <si>
    <t>Number of offences flagged as online crime</t>
  </si>
  <si>
    <t>Proportion of total offences flagged as online crime (%)</t>
  </si>
  <si>
    <t>8L, 8M, 8Q, 8R</t>
  </si>
  <si>
    <t>Harassment and stalking</t>
  </si>
  <si>
    <t>Obscene publications</t>
  </si>
  <si>
    <t>17B, 19D 19E, 19G, 19H, 20B, 21, 22B, 71, 73, 88A</t>
  </si>
  <si>
    <t>Child sexual offences</t>
  </si>
  <si>
    <t>Blackmail</t>
  </si>
  <si>
    <t>1, 2, 3A, 3B, 4.1, 4.10, 4.2, 4.3, 4.4, 4.6, 4.7, 4.8, 4.9, 5D, 5E, 8N, 8P, 8S, 8T, 8U, 11A, 13, 14, 36, 37.1, 104, 105A, 105B, 106</t>
  </si>
  <si>
    <t>Other violence against the person offences</t>
  </si>
  <si>
    <t>9A, 9B, 62A, 66</t>
  </si>
  <si>
    <t>17A, 19C, 19F, 19J, 19K, 20A, 22A, 23, 70, 88C, 88D, 88E</t>
  </si>
  <si>
    <t>Sexual offences (exc. child sexual offences)</t>
  </si>
  <si>
    <t>56A, 56B, 58A, 58B, 58C, 58D, 58J</t>
  </si>
  <si>
    <t xml:space="preserve">Criminal damage and arson </t>
  </si>
  <si>
    <t xml:space="preserve">All other offence codes </t>
  </si>
  <si>
    <t>Other offences</t>
  </si>
  <si>
    <t>Notes for tables D1 to D6</t>
  </si>
  <si>
    <t>Notes for worksheet D1</t>
  </si>
  <si>
    <t>Respondents can experience more than one type of anti-social behaviour, so percentages will not sum to the total that experienced/witnessed anti-social behaviour in their local area.</t>
  </si>
  <si>
    <t>Includes inconvenient/illegal parking; abandoned vehicles; speeding cars/motorcycles; car revving; joyriding, etc.</t>
  </si>
  <si>
    <t>Includes repeated/inappropriate use of fireworks; youths kicking/throwing balls in inappropriate areas; cycling/skateboarding in pedestrian areas or obstructing pavements; people throwing stones/bottles/eggs, etc.</t>
  </si>
  <si>
    <t>Notes for worksheet D2</t>
  </si>
  <si>
    <t>CSEW respondents were asked about their current perceptions of anti-social behaviour problems during their interview, so all year-labels identify the period in which the interview took place.</t>
  </si>
  <si>
    <t xml:space="preserve">Statistically significant change at the 5% level is indicated by [s]. [ns] Denotes the change was not significant at the 5% level. For more information on statistical significance, see the User Guide. </t>
  </si>
  <si>
    <t xml:space="preserve">This measure is derived from responses to the seven individual anti-social behaviour strands as described in Chapter 5 of the User Guide. </t>
  </si>
  <si>
    <t>Respondents can perceive more than one type of anti-social behaviour, so percentages will not sum to the total that perceived high level anti-social behaviour in their local area.</t>
  </si>
  <si>
    <t xml:space="preserve">Unweighted bases refer to the question relating to people using or dealing drugs. Other bases will be similar. </t>
  </si>
  <si>
    <t>Notes for table D3</t>
  </si>
  <si>
    <t>Due to the suspension of the CSEW during the Coronavirus (COVID-19) pandemic, data are not available for the year ending March 2021 and the year ending March 2022.</t>
  </si>
  <si>
    <t xml:space="preserve">For more information on statistical significance, see the User Guide. </t>
  </si>
  <si>
    <t>Notes for tables D4 and D5</t>
  </si>
  <si>
    <t>Following a different approach to recording anti-social behaviour incidents data, figures from year ending March 2012 onwards are not directly comparable with previous years; Chapter 5 of the User guide provides more information.</t>
  </si>
  <si>
    <t>Total police recorded crime figures include British Transport Police.</t>
  </si>
  <si>
    <t>British Transport Police figures are not available prior to April 2012.</t>
  </si>
  <si>
    <t>Figures include British Transport Police.</t>
  </si>
  <si>
    <t>Some shorthand is used in this table. [s] Denotes the change is significant at the 5% level. [ns] Denotes the change was not significant at the 5% level.</t>
  </si>
  <si>
    <t>This worksheet contains two tables presented horizontally with one blank column in between each table. Some cells refer to notes which can be found on the notes page.</t>
  </si>
  <si>
    <r>
      <rPr>
        <b/>
        <sz val="12"/>
        <rFont val="Arial"/>
        <family val="2"/>
      </rPr>
      <t>Table D1a: Crime Survey for England and Wales (England and Wales) experiences of anti-social behaviour</t>
    </r>
    <r>
      <rPr>
        <sz val="12"/>
        <rFont val="Arial"/>
        <family val="2"/>
      </rPr>
      <t xml:space="preserve"> </t>
    </r>
  </si>
  <si>
    <r>
      <rPr>
        <b/>
        <sz val="12"/>
        <rFont val="Arial"/>
        <family val="2"/>
      </rPr>
      <t>Table D1b: Crime Survey for England and Wales (England) experiences of anti-social behaviour</t>
    </r>
    <r>
      <rPr>
        <sz val="12"/>
        <rFont val="Arial"/>
        <family val="2"/>
      </rPr>
      <t xml:space="preserve"> </t>
    </r>
  </si>
  <si>
    <t>Types of anti-social behaviour experienced/witnessed
[note 3]</t>
  </si>
  <si>
    <t>Personally experienced/witnessed anti-social behaviour in local area</t>
  </si>
  <si>
    <t>[ns]</t>
  </si>
  <si>
    <t>Groups hanging around on the streets</t>
  </si>
  <si>
    <t>People using or dealing drugs</t>
  </si>
  <si>
    <t>Drink related behaviour</t>
  </si>
  <si>
    <t>Litter, rubbish or dog-fouling</t>
  </si>
  <si>
    <t>Loud music or other noise</t>
  </si>
  <si>
    <t>People being intimidated, verbally abused or harassed</t>
  </si>
  <si>
    <t>Vandalism, criminal damage or graffiti</t>
  </si>
  <si>
    <t>Nuisance neighbours</t>
  </si>
  <si>
    <t>Begging, vagrancy or homeless people</t>
  </si>
  <si>
    <t>Out of control or dangerous dogs</t>
  </si>
  <si>
    <t>Other anti-social behaviour</t>
  </si>
  <si>
    <t>People committing inappropriate or indecent sexual acts in public</t>
  </si>
  <si>
    <t>Unweighted base- number of people aged 16 and over</t>
  </si>
  <si>
    <r>
      <rPr>
        <b/>
        <sz val="12"/>
        <rFont val="Arial"/>
        <family val="2"/>
      </rPr>
      <t>England and Wales, year ending June 2025 compared with selected periods from year ending December 1996</t>
    </r>
    <r>
      <rPr>
        <sz val="12"/>
        <rFont val="Arial"/>
        <family val="2"/>
      </rPr>
      <t xml:space="preserve"> </t>
    </r>
  </si>
  <si>
    <r>
      <rPr>
        <b/>
        <sz val="12"/>
        <rFont val="Arial"/>
        <family val="2"/>
      </rPr>
      <t>Table D2a: Crime Survey for England and Wales (England and Wales) trends in the anti-social behaviour indicators</t>
    </r>
    <r>
      <rPr>
        <sz val="12"/>
        <rFont val="Arial"/>
        <family val="2"/>
      </rPr>
      <t xml:space="preserve"> </t>
    </r>
  </si>
  <si>
    <r>
      <rPr>
        <b/>
        <sz val="12"/>
        <rFont val="Arial"/>
        <family val="2"/>
      </rPr>
      <t>Table D2b: Crime Survey for England and Wales (England) trends in the anti-social behaviour indicators</t>
    </r>
    <r>
      <rPr>
        <sz val="12"/>
        <rFont val="Arial"/>
        <family val="2"/>
      </rPr>
      <t xml:space="preserve"> </t>
    </r>
  </si>
  <si>
    <t>Jan 1996 to Dec 1996</t>
  </si>
  <si>
    <t>Apr 2014 to Mar 2015
[note 4]</t>
  </si>
  <si>
    <t>Rubbish or litter lying around</t>
  </si>
  <si>
    <t>Teenagers hanging around on the streets</t>
  </si>
  <si>
    <t>Vandalism, graffiti and other deliberate damage to property</t>
  </si>
  <si>
    <t>Noisy neighbours or loud parties</t>
  </si>
  <si>
    <t>Table D3: Trends in the perception of anti-social behaviour (ASB) in the local area, people aged 16 and over [note 1]</t>
  </si>
  <si>
    <t>England and Wales, year ending March 2013 to year ending June 2025</t>
  </si>
  <si>
    <t xml:space="preserve">Some shorthand is used in this table. [s] Denotes the change was significant at the 5% level. 							</t>
  </si>
  <si>
    <t>Source: Crime Survey for England and Wales from the Office for National Statistics</t>
  </si>
  <si>
    <t xml:space="preserve">Percentage saying ASB is a very/fairly
big problem in their area </t>
  </si>
  <si>
    <t xml:space="preserve">Apr 2012 to Mar 2013
(%)
</t>
  </si>
  <si>
    <t xml:space="preserve">Apr 2013 to Mar 2014
(%)
</t>
  </si>
  <si>
    <r>
      <t xml:space="preserve">Apr 2014 to Mar 2015
(%)
</t>
    </r>
    <r>
      <rPr>
        <sz val="12"/>
        <color theme="1"/>
        <rFont val="Arial"/>
        <family val="2"/>
      </rPr>
      <t xml:space="preserve"> </t>
    </r>
    <r>
      <rPr>
        <b/>
        <sz val="12"/>
        <color theme="1"/>
        <rFont val="Arial"/>
        <family val="2"/>
      </rPr>
      <t xml:space="preserve"> </t>
    </r>
  </si>
  <si>
    <t xml:space="preserve">Apr 2015 to Mar 2016
(%)
</t>
  </si>
  <si>
    <t xml:space="preserve">Apr 2016 to Mar 2017
(%)
 </t>
  </si>
  <si>
    <t xml:space="preserve">Apr 2017 to Mar 2018
(%)
 </t>
  </si>
  <si>
    <t xml:space="preserve">Apr 2018 to Mar 2019
(%)
</t>
  </si>
  <si>
    <t xml:space="preserve">Apr 2019 to Mar 2020
(%)
</t>
  </si>
  <si>
    <t>Very/Fairly big problem</t>
  </si>
  <si>
    <t xml:space="preserve">England and Wales </t>
  </si>
  <si>
    <t>Police recorded crime and ASB data are published as official statistics, not accredited official statistics</t>
  </si>
  <si>
    <t>Link to contents page</t>
  </si>
  <si>
    <t>Source: Total recorded crime: Police recorded crime from the Home Office, ASB incidents: years ending March 2008 to March 2010 - National Policing Improvement Agency (NPIA); year ending March 2011 - His Majesty's Inspectorate of Constabulary and Fire &amp; Rescue services (HMICFRS); from year ending March 2012 onwards - Home Office</t>
  </si>
  <si>
    <t>Police recorded crime and anti-social behaviour</t>
  </si>
  <si>
    <t>Apr 2007 to 
Mar 2008</t>
  </si>
  <si>
    <t>Apr 2008 to 
Mar 2009</t>
  </si>
  <si>
    <t>Apr 2009 to 
Mar 2010</t>
  </si>
  <si>
    <t>Apr 2022 to
 Mar 2023</t>
  </si>
  <si>
    <t>Total recorded crime (including fraud and computer misuse)</t>
  </si>
  <si>
    <t>ASB incidents excluding BTP</t>
  </si>
  <si>
    <t>ASB incidents including BTP</t>
  </si>
  <si>
    <t>Table D5: Categories of anti-social behaviour incidents in England and Wales year ending June 2025 [note 4]</t>
  </si>
  <si>
    <t>ASB data are published as official statistics, not accredited official statistics</t>
  </si>
  <si>
    <t>Source: ASB incidents from the Home Office</t>
  </si>
  <si>
    <t>Category</t>
  </si>
  <si>
    <t>Percentage</t>
  </si>
  <si>
    <t>Nuisance</t>
  </si>
  <si>
    <t>Personal</t>
  </si>
  <si>
    <t>Environmental</t>
  </si>
  <si>
    <t>Worksheet D6: Number and incidence rates of Non-notifiable convictions/ Penalty Notices for Disorder, including percentage change[note 1]</t>
  </si>
  <si>
    <t>England and Wales, years ending March 2014, December 2023 and December 2024</t>
  </si>
  <si>
    <t>This worksheet contains two tables presented horizontally with one blank row in between each table. Some cells refer to notes which can be found on the notes worksheet</t>
  </si>
  <si>
    <t>Source: Ministry of Justice, March 2018 and December 2024, Criminal Justice System statistics (Tables Q1.2, Q2.1, Q3.4)</t>
  </si>
  <si>
    <t>Table D6a: Non-notifiable convictions and Penalty Notices for Disorder - number and incidence rates</t>
  </si>
  <si>
    <t xml:space="preserve">Table D6b: Non-notifiable convictions/ Penalty Notices for Disorder - percentage change </t>
  </si>
  <si>
    <t>Non-notifiable offences</t>
  </si>
  <si>
    <t>Apr 2013 to Mar 2014 
[note 2]</t>
  </si>
  <si>
    <t>Jan 2023 to Dec 2023</t>
  </si>
  <si>
    <t>Jan 2024 to Dec 2024</t>
  </si>
  <si>
    <t>Jan 2024 to Dec 2024 compared with Apr 2013 to Mar 2014
 [note 2]</t>
  </si>
  <si>
    <t>Jan 2024 to Dec 2024 compared with Jan 2023 to Dec 2023</t>
  </si>
  <si>
    <t>Non-notifiable convictions (thousands)[note 3][note 4]</t>
  </si>
  <si>
    <t>Incidence rate (per 1,000 population)[note 5]</t>
  </si>
  <si>
    <t>Non-notifiable Penalty Notices for Disorder (thousands)[note 6][note 7]</t>
  </si>
  <si>
    <t xml:space="preserve">This worksheet contains 3 tables presented vertically with one blank row between each table. </t>
  </si>
  <si>
    <t>Notes for worksheet E1</t>
  </si>
  <si>
    <t>Data may not match previously published estimates as they are calculated using the latest 12-month datasets available and weighting will vary depending on the dataset used.</t>
  </si>
  <si>
    <t>User guide to crime statistics for England and Wales: March 2024.</t>
  </si>
  <si>
    <t>Notes for table E2</t>
  </si>
  <si>
    <t>Notes for table E3</t>
  </si>
  <si>
    <t xml:space="preserve">Corruption offences have been defined as the following;
Offences of bribing another person contrary to s1 of the Bribery Act 2010 (99/7), 
Offences relating to being bribed contrary to s2 of the Bribery Act 2010 (99/8), 
Bribery of a foreign public official contrary to s6 of the Bribery Act 2010 (99/9), 
Failure of a commercial organisation to prevent bribery contrary to s7 of the Bribery Act 2010 (99/10), 
Misconduct in a public office (99/12).
 </t>
  </si>
  <si>
    <t>Due to small numbers, any differences should be interpreted with caution.</t>
  </si>
  <si>
    <r>
      <t xml:space="preserve">Please note the following force has been excluded from the data set for the relevant time periods;
</t>
    </r>
    <r>
      <rPr>
        <b/>
        <sz val="12"/>
        <color theme="1"/>
        <rFont val="Arial"/>
        <family val="2"/>
      </rPr>
      <t>Humberside</t>
    </r>
    <r>
      <rPr>
        <sz val="12"/>
        <rFont val="Arial"/>
        <family val="2"/>
      </rPr>
      <t xml:space="preserve"> police have been unable to supply data via the Home Office Data Hub from year ending March 2023.</t>
    </r>
  </si>
  <si>
    <t>40 of the 43 territorial forces in England and Wales provided data covering these crimes. It’s not possible to say whether the other three forces recorded crimes of this type but didn’t provide information or simply didn’t record any such crimes as none were reported.</t>
  </si>
  <si>
    <t xml:space="preserve">England and Wales, last twelve quarters to year ending June 2025 </t>
  </si>
  <si>
    <t>Offence group
[note 3]</t>
  </si>
  <si>
    <t>Jul to Sep 2022</t>
  </si>
  <si>
    <t>Oct to Dec 2022</t>
  </si>
  <si>
    <t>Jan to Mar 2023</t>
  </si>
  <si>
    <t>Apr to Jun 2023</t>
  </si>
  <si>
    <t>Jul to Sep 2023</t>
  </si>
  <si>
    <t>Oct to Dec 2023</t>
  </si>
  <si>
    <t>Jan to Mar 2024</t>
  </si>
  <si>
    <t>Apr to Jun 2024</t>
  </si>
  <si>
    <t>Jul to Sep 2024</t>
  </si>
  <si>
    <t>Oct to Dec 2024</t>
  </si>
  <si>
    <t>Jan to Mar 2025</t>
  </si>
  <si>
    <t>Apr to Jun 2025</t>
  </si>
  <si>
    <t>Violence</t>
  </si>
  <si>
    <t>Other theft of personal property</t>
  </si>
  <si>
    <t>Unweighted base - number of people</t>
  </si>
  <si>
    <t>All burglary</t>
  </si>
  <si>
    <t>Other household theft</t>
  </si>
  <si>
    <t>Vehicle-related theft</t>
  </si>
  <si>
    <t>ALL CSEW CRIME EXCLUDING FRAUD AND COMPUTER MISUSE</t>
  </si>
  <si>
    <t>All CSEW crime including fraud and computer misuse</t>
  </si>
  <si>
    <t>Table E2a: Number of offences recorded by the police in England and Wales that were flagged as domestic abuse-related, by quarter, with percentage changes</t>
  </si>
  <si>
    <t>Jul 2023 to 
Sep 2023</t>
  </si>
  <si>
    <t>Oct 2023 to
 Dec 2023</t>
  </si>
  <si>
    <t>Jan 2024 to
 Mar 2024</t>
  </si>
  <si>
    <t>Apr 2024 to
Jun 2024</t>
  </si>
  <si>
    <t>Jul 2024 to 
Sep 2024</t>
  </si>
  <si>
    <t>Oct 2024 to
 Dec 2024</t>
  </si>
  <si>
    <t>Jan 2025 to
 Mar 2025</t>
  </si>
  <si>
    <t>Apr 2025 to
Jun 2025</t>
  </si>
  <si>
    <t>Jul to Sep
 2023 and 2024
(% change)</t>
  </si>
  <si>
    <t>Oct to Dec
2023 and 2024
(% change)</t>
  </si>
  <si>
    <t>Jan to Mar
2024 and 2025
(% change)</t>
  </si>
  <si>
    <t>Apr to Jun
2024 and 2025
 (% change)</t>
  </si>
  <si>
    <t>Table E2b: Proportion of offences recorded by the police in England and Wales that were flagged as domestic abuse-related, by quarter</t>
  </si>
  <si>
    <t>Jul 2023 to
 Sep 2023
(%)</t>
  </si>
  <si>
    <t>Oct 2023 to
 Dec 2023
(%)</t>
  </si>
  <si>
    <t>Jan 2023 to
 Mar 2024
(%)</t>
  </si>
  <si>
    <t>Apr 2024 to
 Jun 2024
(%)</t>
  </si>
  <si>
    <t>Jul 2024 to
 Sep 2024
(%)</t>
  </si>
  <si>
    <t>Oct 2024 to
 Dec 2024
(%)</t>
  </si>
  <si>
    <t>Jan 2025 to
 Mar 2025
(%)</t>
  </si>
  <si>
    <t>Apr 2025 to 
Jun 2025
(%)</t>
  </si>
  <si>
    <t>Jul 2023 to Sep 2023</t>
  </si>
  <si>
    <t>Oct 2023 to Dec 2023</t>
  </si>
  <si>
    <t>Jan 2024 to Mar 2024</t>
  </si>
  <si>
    <t>Apr 2024 to Jun 2024</t>
  </si>
  <si>
    <t>Jul 2024 to Sep 2024</t>
  </si>
  <si>
    <t>Oct 2024 to Dec 2024</t>
  </si>
  <si>
    <t>Jan 2025 to Mar 2025</t>
  </si>
  <si>
    <t>Offences relating to offering, promising or giving bribes (99/7)</t>
  </si>
  <si>
    <t>Offences relating to requesting, agreeing to receive and accepting bribes (99/8)</t>
  </si>
  <si>
    <t>Commercial organisation - failure to prevent associate bribing another with intent to obtain or retain business or advantage (99/10)</t>
  </si>
  <si>
    <t>Misconduct in a public office (99/12)</t>
  </si>
  <si>
    <t>Total corruption offences</t>
  </si>
  <si>
    <t>Police recorded crime by offence, number of offences and percentage change</t>
  </si>
  <si>
    <t>Police recorded crime by offences (monthly), number of offences and percentage changes</t>
  </si>
  <si>
    <t>Police recorded crimes - rates, numbers and percentage changes</t>
  </si>
  <si>
    <t>Breakdown of selected Violence Against Women and Girls (VAWG) offences</t>
  </si>
  <si>
    <t>Number, rate and percentage change of police recorded offences involving firearms</t>
  </si>
  <si>
    <t>Number and proportion of selected violent and sexual offences involving a knife or sharp instrument and percentage change, recorded by the police (England and Wales Excluding Greater Manchester Police)</t>
  </si>
  <si>
    <t>Number and proportion of selected violent and sexual offences involving a knife or sharp instrument (Greater Manchester Police)</t>
  </si>
  <si>
    <t>Number of hospital admissions in NHS hospitals in England and Wales for assault with sharp objects by age group</t>
  </si>
  <si>
    <t>Offences recorded by the police in England and Wales that were flagged as domestic abuse-related</t>
  </si>
  <si>
    <t>Proportion of sexual offences recorded by the police by whether they were domestic abuse-related or recent or non-recent</t>
  </si>
  <si>
    <t>Fraud and computer misuse by loss (of money or property) - number and rate of incidents and number and percentage of victims aged 16 and over</t>
  </si>
  <si>
    <t>Reimbursement of money lost to victims of fraud, by offence type</t>
  </si>
  <si>
    <t>Fraud and computer misuse number of offences recorded by Action Fraud or referred to the National Fraud Intelligence Bureau (NFIB), with percentage change</t>
  </si>
  <si>
    <t xml:space="preserve"> Number of fraud incidents on all payment types, UK Finance CAMIS database and percentage change</t>
  </si>
  <si>
    <t>Offences recorded by the police in England and Wales which were flagged as online crime (Official Statistics in development)</t>
  </si>
  <si>
    <t>Crime Survey for England and Wales experiences of anti-social behaviour</t>
  </si>
  <si>
    <t xml:space="preserve">Crime Survey for England and Wales trends in the anti-social behaviour indicators </t>
  </si>
  <si>
    <t>Trends in the perception of anti-social behaviour (ASB) in the local area, people aged 16 and over</t>
  </si>
  <si>
    <t>Police recorded crime and anti-social behaviour number of incidents</t>
  </si>
  <si>
    <t>Categories of anti-social behaviour incidents</t>
  </si>
  <si>
    <t>Number and incidence rates of Non-notifiable convictions/ Penalty Notices for Disorder, including percentage change</t>
  </si>
  <si>
    <t>Numbers of CSEW crimes by quarter of interview, people aged 16 and over and households</t>
  </si>
  <si>
    <t>Offences recorded by the police in England and Wales that were flagged as domestic abuse-related, by quarter</t>
  </si>
  <si>
    <t>Corruption offences recorded by the police, by quarter</t>
  </si>
  <si>
    <t>Table B2: Breakdown of selected Violence Against Women and Girls (VAWG) offences [note 1]</t>
  </si>
  <si>
    <t>Controlling and coercive behaviour</t>
  </si>
  <si>
    <t>008/67 - Engage in controlling/coercive behaviour in an intimate / family relationship.</t>
  </si>
  <si>
    <t>Not assigned to a sub offence</t>
  </si>
  <si>
    <t>Exposure and Voyeurism</t>
  </si>
  <si>
    <t>088/09 - Exposure</t>
  </si>
  <si>
    <t>088/10 - Voyeurism</t>
  </si>
  <si>
    <t>088/12 - Voyeurism additional offences (upskirting)</t>
  </si>
  <si>
    <t>088/14 - Send photograph or film of genitals to cause alarm distress or humiliation</t>
  </si>
  <si>
    <t>Harassment</t>
  </si>
  <si>
    <t>008/29 - Breach Of The Conditions Of An Injunction Against Harassment. (Was Breach Of Molestation Order)</t>
  </si>
  <si>
    <t>008/30 - Putting People In Fear Of Violence.</t>
  </si>
  <si>
    <t>008/31 - Breach Of Restraining Order</t>
  </si>
  <si>
    <t>125/68 - Harassment etc. of a person in his home</t>
  </si>
  <si>
    <t>195/94 - Harassment</t>
  </si>
  <si>
    <t>Malicious Communications</t>
  </si>
  <si>
    <t>005/28 - Send communication threatening death or serious harm</t>
  </si>
  <si>
    <t>008/72 - Send indecent or grossly offensive communication to cause distress or anxiety</t>
  </si>
  <si>
    <t>138/52 - Send false communication with intent to cause harm</t>
  </si>
  <si>
    <t>Racially or Religiously Aggravated Harassment</t>
  </si>
  <si>
    <t>008/56 - Racially / religiously aggravated  stalking without violence</t>
  </si>
  <si>
    <t>008/58 - Racially / religiously aggravated  stalking with fear of violence</t>
  </si>
  <si>
    <t>Stalking</t>
  </si>
  <si>
    <t>008/65 - Stalking involving fear of violence.</t>
  </si>
  <si>
    <t>008/66 - Stalking involving serious alarm/distress.</t>
  </si>
  <si>
    <t>008/74 - Breach of Stalking Order/Interim Stalking Order</t>
  </si>
  <si>
    <t>195/12 - Pursue course of conduct in breach of Sec 1 (1) which amounts to stalking.</t>
  </si>
  <si>
    <t xml:space="preserve">This new breakdown of offence codes has some known data quality issues which we are addressing with forces. Those forces that do not currently submit returns via the HO Data Hub may have taken extracts from their record management system at different times for this return and the main offence level one. This can result in slightly different totals at offence level between this dataset and other crime statistics outputs released by ONS and in HO open data tables.
</t>
  </si>
  <si>
    <t>008/71 - Disclose private sexual photographs with intent to cause distress was moved to offence code 8C Other miscellaneous sexual offences' January 2024</t>
  </si>
  <si>
    <t>008/71 - Disclose private sexual photographs with intent to cause distress [note 2]</t>
  </si>
  <si>
    <t>Trends in incidents of CSEW headline crime, people aged 16 and over or households (1,000s)</t>
  </si>
  <si>
    <t>Trends in incidents of CSEW headline crime, people aged 16 and over or households, percentage change and statistical significance of change</t>
  </si>
  <si>
    <t>Trends in incident rates of CSEW headline crime, per 1,000 people aged 16 and over or households</t>
  </si>
  <si>
    <t>Trends in incident rates of CSEW headline crime, people aged 16 and over or households, percentage change and statistical significance of change</t>
  </si>
  <si>
    <t>Trends in CSEW headline crime, percentages of people aged 16 and over or households who were victims once or more (prevalence risks)</t>
  </si>
  <si>
    <t>Trends in CSEW victims of crime, people aged 16 and over or households (1,000s)</t>
  </si>
  <si>
    <t>Trends in CSEW victims of crime, people aged 16 and over or households, percentage change and statistical significance of change</t>
  </si>
  <si>
    <t>Police recorded crime rates, rates per 1,000 population</t>
  </si>
  <si>
    <t>Trends in the offender relationship of CSEW violence, people aged 16 and over, with percentage change and statistical significance of change</t>
  </si>
  <si>
    <t>Number and proportion of selected violent and sexual offences involving a knife or sharp instrument recorded by the police</t>
  </si>
  <si>
    <t>Number of offences recorded by the police in which firearms were reported to have been used, by type of principal weapon and percentage change</t>
  </si>
  <si>
    <t xml:space="preserve">    Fraud [note 9][note 10]</t>
  </si>
  <si>
    <t xml:space="preserve">    Computer misuse [note 9][note 10]</t>
  </si>
  <si>
    <t>England and Wales year ending March 2021 to year ending June 2025</t>
  </si>
  <si>
    <t>ALL CSEW HEADLINE CRIME EXCLUDING FRAUD AND COMPUTER MISUSE [note 19]</t>
  </si>
  <si>
    <t>Some shorthand is used in this table. [x] indicates that data are unavailable. [s] Denotes the change is significant at the 5% level. [ns] Denotes the change was not significant at the 5% level.</t>
  </si>
  <si>
    <t>Homicide offences are those currently recorded by the police as at 18 September 2025 and are subject to revision as cases are dealt with by the police and by the courts, or as further information becomes available.  These figures are taken from the detailed record level Homicide Index (rather than the main police collection for which forces are only required to provide an overall count of homicides, used in Appendix table A4). There may therefore be differences in the total homicides figure used to calculate these proportions and the homicide figure presented in Appendix table A4.</t>
  </si>
  <si>
    <t>Statistically significant change at the 5% level is indicated by [s]. [ns] Denotes the change was not significant at the 5% level. For more information on statistical significance, see the User Guide.</t>
  </si>
  <si>
    <t>The question on people being drunk or rowdy in public places was introduced in 2001.</t>
  </si>
  <si>
    <t>The question on abandoned or burnt-out cars was introduced in 2000.</t>
  </si>
  <si>
    <t>Worksheet D1: Crime Survey for England and Wales experiences of anti-social behaviour, years ending June 2024 and June 2025 [note 1]</t>
  </si>
  <si>
    <t>Types of anti-social behaviour experienced/witnessed
[note 1]</t>
  </si>
  <si>
    <t>Jul 2024 to Jun 2025 compared with Jul 2023 to Jun 2024 Statistically significant difference
[note 2]</t>
  </si>
  <si>
    <t>Vehicle related behaviour[note 3]</t>
  </si>
  <si>
    <t>Inconsiderate behaviour[note 4]</t>
  </si>
  <si>
    <t>Percentage saying there is a very/fairly big problem in their area
[note 2]</t>
  </si>
  <si>
    <t>People being drunk or rowdy in public places [note 6]</t>
  </si>
  <si>
    <t>Abandoned or burnt-out cars [note 7]</t>
  </si>
  <si>
    <t>Unweighted base- number of people aged 16 and over [note 8]</t>
  </si>
  <si>
    <t>People being drunk or rowdy in public places[note 6]</t>
  </si>
  <si>
    <t>Abandoned or burnt-out cars[note 7]</t>
  </si>
  <si>
    <t>Unweighted base- number of people aged 16 and over[note 8]</t>
  </si>
  <si>
    <t>Jul 2024 to Jun 2025 compared with Jul 2023 to Jun 2024 Statistically significant difference
[note 3]</t>
  </si>
  <si>
    <t>Link to notes</t>
  </si>
  <si>
    <t>CSEW headline crime captures a range of personal and household victim-based crime in the interviewer-led parts of the survey, including robbery, theft, criminal damage, fraud, computer misuse and violence with or without injury. Experiences of sexual assault, stalking and harassment are not included but presented separately in our statistics. </t>
  </si>
  <si>
    <t xml:space="preserve">Following the new Online Safety Act 2023, two new sub codes were added on 31st January 2024. ‘088/15 Sharing intimate photograph or film to cause alarm, distress or humiliation, or for sexual gratification’ has been added to ‘88C Other miscellaneous sexual offences'. Previously offences which have been repealed were recorded under ‘8R Malicious Communications’, these offences will not be comparable to previous year. Also, the new subcode 088/14 ‘Sending photograph etc or film of genitals’ was added to offence ‘88E Exposure and Voyeurism’. </t>
  </si>
  <si>
    <t>Link to table of Contents</t>
  </si>
  <si>
    <t>Notes for table D6</t>
  </si>
  <si>
    <t>Convictions in this table are provided on an all offence basis, this counts all offences each person or body is prosecuted or convicted for in a given year separately.</t>
  </si>
  <si>
    <t>Comparisons are made against the year ending March 2014 (10 year comparison).</t>
  </si>
  <si>
    <t>Figures for non-notifiable convictions apply to offenders aged 10 and over.</t>
  </si>
  <si>
    <t>Includes males, females, persons where sex not stated and other offenders, i.e. companies, public bodies, etc.</t>
  </si>
  <si>
    <t>Numbers will be affected by the size of the resident population relative to the transient or visiting populations and may therefore over-represent the number of crimes relative to the real population of potential offenders.</t>
  </si>
  <si>
    <t>Penalty Notices for Disorder issued for higher and lower tier offences. Penalty notices should no longer be available to persons aged under 18 from 8 April 2013, prior to this date they were issued to offenders aged 16 and over.</t>
  </si>
  <si>
    <t>Includes British Transport Police from 2011.</t>
  </si>
  <si>
    <t>Worksheet E2: Offences recorded by the police in England and Wales that were flagged as domestic abuse-related, by quarter, year ending June 2024 to year ending June 2025 [note 1, 2, 3, 4, 5]</t>
  </si>
  <si>
    <t>England and Wales year ending June 2024 to year ending June 2025</t>
  </si>
  <si>
    <t>Table E3: Corruption offences recorded by the police, by quarter [note 1,2,3,4,5]</t>
  </si>
  <si>
    <t>In April 2024, police forces have started to transition to a new automated system of identifying online crime using the National Data Quality Service (NDQIS). Data released after this date are not directly comparable to those for earlier periods. For further information please see Data quality and sources section of the bulletin.</t>
  </si>
  <si>
    <t>UK Finance is always working with member firms to improve the volume of actionable intelligence that can be shared with law enforcement via the National Fraud Intelligence Bureau (NFIB), the increases seen since 2022 are a positive reflection of these continued efforts. Please note however, that the Fraud Reports published by UK Finance should be used to understand the full level of fraud impacting financial institutions on this basis.</t>
  </si>
  <si>
    <t>Crime trends in England and Wales and how we measure them</t>
  </si>
  <si>
    <t>UK Finance is always working with member firms to improve the volume of actionable intelligence that can be shared with law enforcement via the National Fraud Intelligence Bureau (NFIB), the increases seen 2022 are a positive reflection of these continued efforts. Please note however, that the Fraud Reports published by UK Finance should be used to understand the full level of fraud impacting financial institutions on this basis.</t>
  </si>
  <si>
    <t>Adult (aged 16 and over) rape offences - not domestic abuse-related</t>
  </si>
  <si>
    <t>Adult (aged 16 and over) rape offences - domestic abuse-related</t>
  </si>
  <si>
    <t>Trends in CSEW headline crime, percentages of people aged 16 and over or households who were victims once or more (prevalence risks), percentage point change and statistical significance of change</t>
  </si>
  <si>
    <t>Apr 2025 to Jun 2025</t>
  </si>
  <si>
    <t>Table A1a: Trends in incidents of CSEW headline crime, people aged 16 and over or households (1,000s) [notes 1, 2, 3, 4]</t>
  </si>
  <si>
    <t>ALL CSEW HEADLINE CRIME INCLUDING FRAUD AND COMPUTER MISUSE [notes 8, 9, 10, 13]</t>
  </si>
  <si>
    <t>Table A1b: Trends in incidents of CSEW headline crime, people aged 16 and over or households, percentage change and statistical significance of change [notes 1, 2, 3, 4, 14]</t>
  </si>
  <si>
    <t xml:space="preserve">    Fraud [notes 9, 10]</t>
  </si>
  <si>
    <t xml:space="preserve">    Computer misuse [notes 9, 10]</t>
  </si>
  <si>
    <t>ALL CSEW HEADLINE CRIME INCLUDING FRAUD AND COMPUTER MISUSE [notes 9, 10, 16]</t>
  </si>
  <si>
    <t>Table A2a: Trends in incident rates of CSEW headline crime, per 1,000 people aged 16 and over or households [notes 1, 2, 3, 15]</t>
  </si>
  <si>
    <t>Table A2b: Trends in incident rates of CSEW headline crime, people aged 16 and over or households, percentage change and statistical significance of change [notes 1, 2, 3, 15]</t>
  </si>
  <si>
    <t>Table A3a: Trends in CSEW headline crime, percentages of people aged 16 and over or households who were victims once or more (prevalence risks) [notes 1, 2, 3, 17]</t>
  </si>
  <si>
    <t xml:space="preserve">    Computer misuse [note 9, 10]</t>
  </si>
  <si>
    <t>ALL CSEW HEADLINE CRIME INCLUDING FRAUD AND COMPUTER MISUSE [notes 9, 10, 13, 20]</t>
  </si>
  <si>
    <t>Table A3b: Trends in CSEW headline crime, percentages of people aged 16 and over or households who were victims once or more (prevalence risks), percentage point change and statistical significance of change [notes 1, 2, 3, 17]</t>
  </si>
  <si>
    <t>ALL CSEW HEADLINE CRIME INCLUDING FRAUD AND COMPUTER MISUSE [note 9, 10, 13, 20]</t>
  </si>
  <si>
    <t>Table A4a: Trends in CSEW victims of crime, people aged 16 and over or households (1,000s) [notes 1, 2, 3, 4, 20]</t>
  </si>
  <si>
    <t>ALL CSEW HEADLINE CRIME INCLUDING FRAUD AND COMPUTER MISUSE [notes 9, 10, 13, 22]</t>
  </si>
  <si>
    <t>Table A4b: Trends in CSEW victims of crime, people aged 16 and over or households, percentage change and statistical significance of change [notes 1, 2, 3, 4, 20]</t>
  </si>
  <si>
    <t>Table A5a:  Police recorded crime by offence, year ending March 2003 to year ending June 2025 and percentage change between year ending June 2024 and year ending June 2025 [notes 1, 2]</t>
  </si>
  <si>
    <t>Homicide [notes 3, 4, 5, 6, 7, 8]</t>
  </si>
  <si>
    <t>Table A5b:  Police recorded crime by offence, July 2023 to June 2025 [notes 1, 2]</t>
  </si>
  <si>
    <t>Table A7: Police recorded crime rates, rates per 1,000 population from year ending March 2003 to year ending June 2025 [notes 2, 68]</t>
  </si>
  <si>
    <t>Offence group [note 3]</t>
  </si>
  <si>
    <t>Worksheet B1: Trends in the offender relationship of CSEW violence, people aged 16 and over, with percentage change and statistical significance of change, England and Wales [notes 1, 2, 3]</t>
  </si>
  <si>
    <t>VIOLENCE [notes 4, 5]</t>
  </si>
  <si>
    <t>Table B3: Number, rate and percentage change of police recorded offences involving firearms [notes 1, 2]</t>
  </si>
  <si>
    <t>Table B4: Number of offences recorded by the police in which firearms were reported to have been used, by type of principal weapon and percentage change [notes 1, 2, 3]</t>
  </si>
  <si>
    <t>Imitation firearms [notes 4, 5]</t>
  </si>
  <si>
    <t>Worksheet B5: Number and proportion of selected violent and sexual offences involving a knife or sharp instrument recorded by the police [notes 1, 2, 3]</t>
  </si>
  <si>
    <t>Table B8: Number of hospital admissions in NHS hospitals in England and Wales for assault with sharp objects by age group, year ending March 2013 to year ending June 2025 [notes 1, 2, 3, 4]</t>
  </si>
  <si>
    <t>Worksheet B9: Offences recorded by the police in England and Wales that were flagged as domestic abuse-related [notes 1, 2, 3, 4, 5]</t>
  </si>
  <si>
    <t>Table C3: Fraud and computer misuse number of offences recorded by Action Fraud or referred to the National Fraud Intelligence Bureau (NFIB), with percentage change [notes 1, 2]</t>
  </si>
  <si>
    <t>Table C4: Number of fraud incidents on all payment types, UK Finance CAMIS database and percentage change [notes 1, 2]</t>
  </si>
  <si>
    <t>Table C5: Offences recorded by the police in England and Wales which were flagged as online crime, year ending June 2025 (Official Statistics in development) [notes 1, 2, 3, 4, 5]</t>
  </si>
  <si>
    <t>Worksheet D2: Crime Survey for England and Wales trends in the anti-social behaviour indicators [notes 1, 2]</t>
  </si>
  <si>
    <t>High level of perceived anti-social behaviour[notes 4, 5]</t>
  </si>
  <si>
    <t xml:space="preserve">Apr 2023 to Mar 2024
(%)
</t>
  </si>
  <si>
    <t xml:space="preserve">Apr 2024 to Mar 2025
(%)
</t>
  </si>
  <si>
    <t>Jul 2024 to Jun 2025 compared with Apr 2014 to Mar 2015
 [note 2]</t>
  </si>
  <si>
    <t>Jul 2024 to Jun 2025 compared with Jul 2023 to Jun 2024
[note 2]</t>
  </si>
  <si>
    <t>Table D4: Police recorded crime and anti-social behaviour number of incidents, year ending March 2008 to year ending June 2025 [notes 1, 2, 3]</t>
  </si>
  <si>
    <t>Table E1:  Numbers of CSEW crimes by quarter of interview, people aged 16 and over and households  [notes 1, 2]</t>
  </si>
  <si>
    <t>Table title</t>
  </si>
  <si>
    <t xml:space="preserve">All sexual offences - recent [notes 2, 3] </t>
  </si>
  <si>
    <t>All sexual offences - non-recent  [notes 2, 3]</t>
  </si>
  <si>
    <t>Adult (aged 16 and over) rape offences - recent [notes 2, 3, 4]</t>
  </si>
  <si>
    <t>Adult (aged 16 and over) rape offences - not recent [notes 2, 3, 4]</t>
  </si>
  <si>
    <t>Contact child sexual abuse offences - recent [notes 2, 3, 4]</t>
  </si>
  <si>
    <t>Contact child sexual abuse offences -  not recent [notes 2, 3, 4]</t>
  </si>
  <si>
    <t>088/13 - Offences relating to using equipment to film or observe another while breastfeeding</t>
  </si>
  <si>
    <t>Other firearms, knives and offensive weapon offences [note 49]</t>
  </si>
  <si>
    <t>Cifas attribute the increase in telecom industry fraud to a surge in identity fraud and facility takeovers targeting the telecom sector for mobile phones.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</si>
</sst>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
    <numFmt numFmtId="165" formatCode="_(* #,##0.00_);_(* \(#,##0.00\);_(* &quot;-&quot;??_);_(@_)"/>
    <numFmt numFmtId="166" formatCode="_-* #,##0_-;\-* #,##0_-;_-* &quot;-&quot;??_-;_-@_-"/>
    <numFmt numFmtId="167" formatCode="_-[$€-2]* #,##0.00_-;\-[$€-2]* #,##0.00_-;_-[$€-2]* &quot;-&quot;??_-"/>
    <numFmt numFmtId="168" formatCode="#,##0.00_ ;[Red]\-#,##0.00\ "/>
    <numFmt numFmtId="169" formatCode="General_)"/>
  </numFmts>
  <fonts count="93" x14ac:knownFonts="1">
    <font>
      <sz val="11"/>
      <color theme="1"/>
      <name val="Calibri"/>
      <family val="2"/>
      <scheme val="minor"/>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b/>
      <sz val="16"/>
      <name val="Arial"/>
      <family val="2"/>
    </font>
    <font>
      <b/>
      <sz val="14"/>
      <name val="Arial"/>
      <family val="2"/>
    </font>
    <font>
      <sz val="12"/>
      <name val="Arial"/>
      <family val="2"/>
    </font>
    <font>
      <u/>
      <sz val="12"/>
      <color rgb="FF0000FF"/>
      <name val="Arial"/>
      <family val="2"/>
    </font>
    <font>
      <b/>
      <sz val="12"/>
      <name val="Arial"/>
      <family val="2"/>
    </font>
    <font>
      <b/>
      <sz val="14"/>
      <color theme="1"/>
      <name val="Arial"/>
      <family val="2"/>
    </font>
    <font>
      <sz val="11"/>
      <color theme="1"/>
      <name val="Calibri"/>
      <family val="2"/>
      <scheme val="minor"/>
    </font>
    <font>
      <b/>
      <sz val="12"/>
      <color theme="1"/>
      <name val="Arial"/>
      <family val="2"/>
    </font>
    <font>
      <b/>
      <sz val="13"/>
      <name val="Arial"/>
      <family val="2"/>
    </font>
    <font>
      <sz val="10"/>
      <name val="Arial"/>
      <family val="2"/>
    </font>
    <font>
      <sz val="12"/>
      <color rgb="FF000000"/>
      <name val="Arial"/>
      <family val="2"/>
    </font>
    <font>
      <u/>
      <sz val="10"/>
      <color theme="10"/>
      <name val="Arial"/>
      <family val="2"/>
    </font>
    <font>
      <u/>
      <sz val="12"/>
      <color theme="10"/>
      <name val="Arial"/>
      <family val="2"/>
    </font>
    <font>
      <u/>
      <sz val="11"/>
      <color theme="10"/>
      <name val="Calibri"/>
      <family val="2"/>
      <scheme val="minor"/>
    </font>
    <font>
      <sz val="12"/>
      <color indexed="8"/>
      <name val="Arial"/>
      <family val="2"/>
    </font>
    <font>
      <sz val="9"/>
      <name val="Arial"/>
      <family val="2"/>
    </font>
    <font>
      <b/>
      <sz val="13"/>
      <color theme="1"/>
      <name val="Arial"/>
      <family val="2"/>
    </font>
    <font>
      <sz val="14"/>
      <color theme="1"/>
      <name val="Calibri"/>
      <family val="2"/>
      <scheme val="minor"/>
    </font>
    <font>
      <sz val="12"/>
      <color theme="1"/>
      <name val="Calibri"/>
      <family val="2"/>
      <scheme val="minor"/>
    </font>
    <font>
      <b/>
      <sz val="12"/>
      <color rgb="FF000000"/>
      <name val="Arial"/>
      <family val="2"/>
    </font>
    <font>
      <b/>
      <sz val="12"/>
      <color indexed="8"/>
      <name val="Arial"/>
      <family val="2"/>
    </font>
    <font>
      <sz val="11"/>
      <color indexed="8"/>
      <name val="Calibri"/>
      <family val="2"/>
    </font>
    <font>
      <sz val="9"/>
      <color theme="1"/>
      <name val="Arial"/>
      <family val="2"/>
    </font>
    <font>
      <sz val="13"/>
      <name val="Arial"/>
      <family val="2"/>
    </font>
    <font>
      <vertAlign val="superscript"/>
      <sz val="12"/>
      <name val="Arial"/>
      <family val="2"/>
    </font>
    <font>
      <u/>
      <sz val="10"/>
      <color indexed="12"/>
      <name val="Arial"/>
      <family val="2"/>
    </font>
    <font>
      <u/>
      <sz val="12"/>
      <name val="Arial"/>
      <family val="2"/>
    </font>
    <font>
      <b/>
      <sz val="12"/>
      <color theme="1"/>
      <name val="Calibri"/>
      <family val="2"/>
      <scheme val="minor"/>
    </font>
    <font>
      <u/>
      <sz val="11"/>
      <color theme="10"/>
      <name val="Calibri"/>
      <family val="2"/>
    </font>
    <font>
      <sz val="8"/>
      <name val="Calibri"/>
      <family val="2"/>
      <scheme val="minor"/>
    </font>
    <font>
      <sz val="12"/>
      <color rgb="FFFF0000"/>
      <name val="Arial"/>
      <family val="2"/>
    </font>
    <font>
      <b/>
      <sz val="12"/>
      <color rgb="FF444444"/>
      <name val="Arial"/>
      <family val="2"/>
    </font>
    <font>
      <sz val="8"/>
      <name val="Courier"/>
      <family val="3"/>
    </font>
    <font>
      <b/>
      <sz val="13"/>
      <color theme="3"/>
      <name val="Calibri"/>
      <family val="2"/>
      <scheme val="minor"/>
    </font>
    <font>
      <sz val="11"/>
      <color theme="1"/>
      <name val="Arial"/>
      <family val="2"/>
    </font>
    <font>
      <sz val="11"/>
      <color rgb="FF000000"/>
      <name val="Calibri"/>
      <family val="2"/>
    </font>
    <font>
      <sz val="14"/>
      <name val="Arial"/>
      <family val="2"/>
    </font>
    <font>
      <b/>
      <sz val="15"/>
      <color theme="3"/>
      <name val="Arial"/>
      <family val="2"/>
    </font>
    <font>
      <b/>
      <sz val="13"/>
      <color theme="3"/>
      <name val="Arial"/>
      <family val="2"/>
    </font>
    <font>
      <sz val="14"/>
      <color theme="1"/>
      <name val="Arial"/>
      <family val="2"/>
    </font>
    <font>
      <b/>
      <sz val="11"/>
      <color rgb="FFFF0000"/>
      <name val="Arial"/>
      <family val="2"/>
    </font>
    <font>
      <sz val="12"/>
      <color rgb="FF444444"/>
      <name val="Arial"/>
      <family val="2"/>
    </font>
    <font>
      <u/>
      <sz val="11"/>
      <color theme="1"/>
      <name val="Calibri"/>
      <family val="2"/>
      <scheme val="minor"/>
    </font>
    <font>
      <u/>
      <sz val="12"/>
      <color rgb="FF0563C1"/>
      <name val="Arial"/>
      <family val="2"/>
    </font>
    <font>
      <sz val="10"/>
      <color theme="1"/>
      <name val="Arial"/>
      <family val="2"/>
    </font>
    <font>
      <sz val="8"/>
      <name val="Arial"/>
      <family val="2"/>
    </font>
    <font>
      <u/>
      <sz val="12"/>
      <color indexed="12"/>
      <name val="Arial"/>
      <family val="2"/>
    </font>
    <font>
      <u/>
      <sz val="7"/>
      <color theme="10"/>
      <name val="Arial"/>
      <family val="2"/>
    </font>
    <font>
      <sz val="8"/>
      <color indexed="9"/>
      <name val="Arial"/>
      <family val="2"/>
    </font>
    <font>
      <u/>
      <sz val="8"/>
      <color indexed="12"/>
      <name val="Arial"/>
      <family val="2"/>
    </font>
    <font>
      <u/>
      <sz val="20"/>
      <name val="Arial"/>
      <family val="2"/>
    </font>
    <font>
      <b/>
      <sz val="8"/>
      <color indexed="9"/>
      <name val="Arial"/>
      <family val="2"/>
    </font>
    <font>
      <b/>
      <sz val="8"/>
      <color indexed="18"/>
      <name val="Arial"/>
      <family val="2"/>
    </font>
    <font>
      <sz val="8"/>
      <color indexed="18"/>
      <name val="Arial"/>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u/>
      <sz val="10"/>
      <color indexed="30"/>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000000"/>
      <name val="Calibri"/>
      <family val="2"/>
      <scheme val="minor"/>
    </font>
    <font>
      <sz val="10"/>
      <color rgb="FF000000"/>
      <name val="Arial"/>
      <family val="2"/>
    </font>
    <font>
      <b/>
      <sz val="15"/>
      <color theme="3"/>
      <name val="Calibri"/>
      <family val="2"/>
      <scheme val="minor"/>
    </font>
    <font>
      <u/>
      <sz val="12"/>
      <color theme="10"/>
      <name val="Arial"/>
    </font>
  </fonts>
  <fills count="49">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theme="0"/>
        <bgColor indexed="9"/>
      </patternFill>
    </fill>
    <fill>
      <patternFill patternType="solid">
        <fgColor indexed="9"/>
        <bgColor indexed="9"/>
      </patternFill>
    </fill>
    <fill>
      <patternFill patternType="solid">
        <fgColor rgb="FFFFFFFF"/>
        <bgColor rgb="FF000000"/>
      </patternFill>
    </fill>
    <fill>
      <patternFill patternType="solid">
        <fgColor theme="0"/>
        <bgColor rgb="FF000000"/>
      </patternFill>
    </fill>
    <fill>
      <patternFill patternType="solid">
        <fgColor theme="0"/>
        <bgColor theme="0"/>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16"/>
      </patternFill>
    </fill>
    <fill>
      <patternFill patternType="solid">
        <fgColor indexed="17"/>
      </patternFill>
    </fill>
    <fill>
      <patternFill patternType="solid">
        <fgColor indexed="43"/>
      </patternFill>
    </fill>
    <fill>
      <patternFill patternType="solid">
        <fgColor indexed="48"/>
      </patternFill>
    </fill>
    <fill>
      <patternFill patternType="solid">
        <fgColor indexed="65"/>
        <bgColor indexed="64"/>
      </patternFill>
    </fill>
    <fill>
      <patternFill patternType="solid">
        <fgColor indexed="18"/>
      </patternFill>
    </fill>
    <fill>
      <patternFill patternType="solid">
        <fgColor indexed="26"/>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s>
  <borders count="78">
    <border>
      <left/>
      <right/>
      <top/>
      <bottom/>
      <diagonal/>
    </border>
    <border>
      <left/>
      <right/>
      <top/>
      <bottom style="thin">
        <color auto="1"/>
      </bottom>
      <diagonal/>
    </border>
    <border>
      <left style="thin">
        <color auto="1"/>
      </left>
      <right/>
      <top/>
      <bottom/>
      <diagonal/>
    </border>
    <border>
      <left style="thin">
        <color auto="1"/>
      </left>
      <right/>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style="thin">
        <color indexed="64"/>
      </top>
      <bottom style="dashed">
        <color indexed="64"/>
      </bottom>
      <diagonal/>
    </border>
    <border>
      <left style="dashed">
        <color indexed="64"/>
      </left>
      <right/>
      <top style="thin">
        <color indexed="64"/>
      </top>
      <bottom style="dashed">
        <color indexed="64"/>
      </bottom>
      <diagonal/>
    </border>
    <border>
      <left/>
      <right/>
      <top style="dashed">
        <color indexed="64"/>
      </top>
      <bottom style="dashed">
        <color indexed="64"/>
      </bottom>
      <diagonal/>
    </border>
    <border>
      <left style="dashed">
        <color indexed="64"/>
      </left>
      <right/>
      <top style="dashed">
        <color indexed="64"/>
      </top>
      <bottom style="dashed">
        <color indexed="64"/>
      </bottom>
      <diagonal/>
    </border>
    <border>
      <left/>
      <right/>
      <top style="dashed">
        <color auto="1"/>
      </top>
      <bottom/>
      <diagonal/>
    </border>
    <border>
      <left style="dashed">
        <color indexed="64"/>
      </left>
      <right/>
      <top style="dashed">
        <color auto="1"/>
      </top>
      <bottom/>
      <diagonal/>
    </border>
    <border>
      <left/>
      <right/>
      <top style="thin">
        <color indexed="64"/>
      </top>
      <bottom/>
      <diagonal/>
    </border>
    <border>
      <left/>
      <right style="dotted">
        <color indexed="64"/>
      </right>
      <top/>
      <bottom/>
      <diagonal/>
    </border>
    <border>
      <left style="dotted">
        <color indexed="64"/>
      </left>
      <right/>
      <top/>
      <bottom/>
      <diagonal/>
    </border>
    <border>
      <left/>
      <right/>
      <top style="thin">
        <color indexed="64"/>
      </top>
      <bottom style="medium">
        <color indexed="64"/>
      </bottom>
      <diagonal/>
    </border>
    <border>
      <left/>
      <right/>
      <top/>
      <bottom style="thin">
        <color theme="1"/>
      </bottom>
      <diagonal/>
    </border>
    <border>
      <left/>
      <right/>
      <top style="thin">
        <color theme="1"/>
      </top>
      <bottom/>
      <diagonal/>
    </border>
    <border>
      <left style="thin">
        <color indexed="64"/>
      </left>
      <right/>
      <top style="thin">
        <color indexed="64"/>
      </top>
      <bottom style="thin">
        <color indexed="64"/>
      </bottom>
      <diagonal/>
    </border>
    <border>
      <left/>
      <right style="thin">
        <color indexed="64"/>
      </right>
      <top/>
      <bottom/>
      <diagonal/>
    </border>
    <border>
      <left/>
      <right style="dashed">
        <color indexed="64"/>
      </right>
      <top/>
      <bottom/>
      <diagonal/>
    </border>
    <border>
      <left/>
      <right style="dotted">
        <color indexed="64"/>
      </right>
      <top/>
      <bottom style="thin">
        <color indexed="64"/>
      </bottom>
      <diagonal/>
    </border>
    <border>
      <left/>
      <right/>
      <top/>
      <bottom style="hair">
        <color indexed="64"/>
      </bottom>
      <diagonal/>
    </border>
    <border>
      <left/>
      <right/>
      <top style="hair">
        <color indexed="64"/>
      </top>
      <bottom style="thin">
        <color auto="1"/>
      </bottom>
      <diagonal/>
    </border>
    <border>
      <left/>
      <right style="thin">
        <color indexed="64"/>
      </right>
      <top/>
      <bottom style="thin">
        <color indexed="64"/>
      </bottom>
      <diagonal/>
    </border>
    <border>
      <left/>
      <right/>
      <top style="thin">
        <color theme="1"/>
      </top>
      <bottom style="thin">
        <color auto="1"/>
      </bottom>
      <diagonal/>
    </border>
    <border>
      <left style="thin">
        <color rgb="FFFFFFFF"/>
      </left>
      <right style="thin">
        <color rgb="FFFFFFFF"/>
      </right>
      <top style="thin">
        <color rgb="FFFFFFFF"/>
      </top>
      <bottom style="thin">
        <color rgb="FFFFFFFF"/>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diagonal/>
    </border>
    <border>
      <left/>
      <right style="thin">
        <color rgb="FFFFFFFF"/>
      </right>
      <top/>
      <bottom style="thin">
        <color rgb="FF000000"/>
      </bottom>
      <diagonal/>
    </border>
    <border>
      <left style="thin">
        <color rgb="FFFFFFFF"/>
      </left>
      <right style="thin">
        <color rgb="FFFFFFFF"/>
      </right>
      <top/>
      <bottom style="thin">
        <color rgb="FF000000"/>
      </bottom>
      <diagonal/>
    </border>
    <border>
      <left style="thin">
        <color rgb="FFFFFFFF"/>
      </left>
      <right style="thin">
        <color rgb="FFFFFFFF"/>
      </right>
      <top/>
      <bottom/>
      <diagonal/>
    </border>
    <border>
      <left/>
      <right style="thin">
        <color rgb="FFFFFFFF"/>
      </right>
      <top/>
      <bottom/>
      <diagonal/>
    </border>
    <border>
      <left/>
      <right style="thin">
        <color rgb="FFFFFFFF"/>
      </right>
      <top style="thin">
        <color rgb="FF000000"/>
      </top>
      <bottom style="thin">
        <color rgb="FFFFFFFF"/>
      </bottom>
      <diagonal/>
    </border>
    <border>
      <left style="thin">
        <color rgb="FFFFFFFF"/>
      </left>
      <right style="thin">
        <color rgb="FFFFFFFF"/>
      </right>
      <top style="thin">
        <color rgb="FF000000"/>
      </top>
      <bottom style="thin">
        <color rgb="FFFFFFFF"/>
      </bottom>
      <diagonal/>
    </border>
    <border>
      <left style="thin">
        <color rgb="FFFFFFFF"/>
      </left>
      <right/>
      <top style="thin">
        <color indexed="64"/>
      </top>
      <bottom/>
      <diagonal/>
    </border>
    <border>
      <left/>
      <right style="thin">
        <color rgb="FFFFFFFF"/>
      </right>
      <top style="thin">
        <color indexed="64"/>
      </top>
      <bottom/>
      <diagonal/>
    </border>
    <border>
      <left style="thin">
        <color rgb="FFFFFFFF"/>
      </left>
      <right/>
      <top style="thin">
        <color rgb="FFFFFFFF"/>
      </top>
      <bottom style="thin">
        <color rgb="FFFFFFFF"/>
      </bottom>
      <diagonal/>
    </border>
    <border>
      <left/>
      <right style="thin">
        <color rgb="FFFFFFFF"/>
      </right>
      <top style="thin">
        <color indexed="64"/>
      </top>
      <bottom style="thin">
        <color rgb="FFFFFFFF"/>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right/>
      <top style="thin">
        <color rgb="FFFFFFFF"/>
      </top>
      <bottom/>
      <diagonal/>
    </border>
    <border>
      <left/>
      <right/>
      <top/>
      <bottom style="thin">
        <color rgb="FF000000"/>
      </bottom>
      <diagonal/>
    </border>
    <border>
      <left style="medium">
        <color indexed="64"/>
      </left>
      <right/>
      <top/>
      <bottom/>
      <diagonal/>
    </border>
    <border>
      <left/>
      <right style="hair">
        <color indexed="64"/>
      </right>
      <top/>
      <bottom/>
      <diagonal/>
    </border>
    <border>
      <left style="thin">
        <color rgb="FFB2B2B2"/>
      </left>
      <right style="thin">
        <color rgb="FFB2B2B2"/>
      </right>
      <top style="thin">
        <color rgb="FFB2B2B2"/>
      </top>
      <bottom style="thin">
        <color rgb="FFB2B2B2"/>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auto="1"/>
      </top>
      <bottom/>
      <diagonal/>
    </border>
    <border>
      <left style="thin">
        <color indexed="64"/>
      </left>
      <right/>
      <top style="thin">
        <color indexed="64"/>
      </top>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9674">
    <xf numFmtId="0" fontId="0" fillId="0" borderId="0"/>
    <xf numFmtId="0" fontId="26" fillId="0" borderId="0" applyNumberFormat="0" applyFill="0" applyAlignment="0" applyProtection="0"/>
    <xf numFmtId="0" fontId="27" fillId="0" borderId="0"/>
    <xf numFmtId="0" fontId="29" fillId="0" borderId="0" applyNumberFormat="0" applyFill="0" applyBorder="0" applyAlignment="0" applyProtection="0"/>
    <xf numFmtId="0" fontId="30" fillId="0" borderId="0" applyNumberFormat="0" applyFill="0" applyBorder="0" applyAlignment="0" applyProtection="0"/>
    <xf numFmtId="0" fontId="27" fillId="0" borderId="0"/>
    <xf numFmtId="0" fontId="24" fillId="0" borderId="0"/>
    <xf numFmtId="0" fontId="27" fillId="0" borderId="0"/>
    <xf numFmtId="0" fontId="24" fillId="0" borderId="0"/>
    <xf numFmtId="0" fontId="26" fillId="0" borderId="7" applyNumberFormat="0" applyFill="0" applyBorder="0" applyAlignment="0" applyProtection="0"/>
    <xf numFmtId="0" fontId="24" fillId="0" borderId="0"/>
    <xf numFmtId="3" fontId="17" fillId="0" borderId="0" applyProtection="0"/>
    <xf numFmtId="0" fontId="24" fillId="0" borderId="0"/>
    <xf numFmtId="0" fontId="17" fillId="0" borderId="0"/>
    <xf numFmtId="0" fontId="17" fillId="0" borderId="0"/>
    <xf numFmtId="0" fontId="24" fillId="0" borderId="0"/>
    <xf numFmtId="0" fontId="31" fillId="0" borderId="0" applyNumberFormat="0" applyFill="0" applyBorder="0" applyAlignment="0" applyProtection="0"/>
    <xf numFmtId="0" fontId="24" fillId="0" borderId="0"/>
    <xf numFmtId="0" fontId="27" fillId="0" borderId="0"/>
    <xf numFmtId="0" fontId="27" fillId="0" borderId="0"/>
    <xf numFmtId="0" fontId="24" fillId="0" borderId="0"/>
    <xf numFmtId="0" fontId="16" fillId="0" borderId="0"/>
    <xf numFmtId="0" fontId="31" fillId="0" borderId="0" applyNumberFormat="0" applyFill="0" applyBorder="0" applyAlignment="0" applyProtection="0"/>
    <xf numFmtId="0" fontId="26" fillId="0" borderId="7" applyNumberFormat="0" applyFill="0" applyBorder="0" applyAlignment="0" applyProtection="0"/>
    <xf numFmtId="0" fontId="22" fillId="0" borderId="0" applyNumberFormat="0" applyFill="0" applyAlignment="0" applyProtection="0"/>
    <xf numFmtId="0" fontId="15" fillId="0" borderId="0"/>
    <xf numFmtId="0" fontId="15" fillId="0" borderId="0"/>
    <xf numFmtId="9" fontId="39" fillId="0" borderId="0" applyFont="0" applyFill="0" applyBorder="0" applyAlignment="0" applyProtection="0"/>
    <xf numFmtId="0" fontId="40" fillId="0" borderId="0"/>
    <xf numFmtId="0" fontId="22" fillId="0" borderId="8" applyNumberFormat="0" applyFill="0" applyBorder="0" applyAlignment="0" applyProtection="0"/>
    <xf numFmtId="0" fontId="27" fillId="0" borderId="0"/>
    <xf numFmtId="43" fontId="27" fillId="0" borderId="0" applyFont="0" applyFill="0" applyBorder="0" applyAlignment="0" applyProtection="0"/>
    <xf numFmtId="9" fontId="24" fillId="0" borderId="0" applyFont="0" applyFill="0" applyBorder="0" applyAlignment="0" applyProtection="0"/>
    <xf numFmtId="3" fontId="14" fillId="0" borderId="0" applyProtection="0"/>
    <xf numFmtId="0" fontId="24" fillId="0" borderId="0"/>
    <xf numFmtId="0" fontId="22" fillId="0" borderId="0" applyNumberFormat="0" applyFill="0" applyAlignment="0" applyProtection="0"/>
    <xf numFmtId="0" fontId="27" fillId="0" borderId="0">
      <alignment horizontal="center" vertical="center"/>
    </xf>
    <xf numFmtId="0" fontId="27" fillId="0" borderId="0"/>
    <xf numFmtId="0" fontId="24" fillId="0" borderId="0"/>
    <xf numFmtId="0" fontId="27" fillId="0" borderId="0"/>
    <xf numFmtId="0" fontId="40" fillId="0" borderId="0"/>
    <xf numFmtId="0" fontId="27" fillId="0" borderId="0"/>
    <xf numFmtId="0" fontId="29" fillId="0" borderId="0" applyNumberFormat="0" applyFill="0" applyBorder="0" applyAlignment="0" applyProtection="0"/>
    <xf numFmtId="0" fontId="43" fillId="0" borderId="0" applyNumberFormat="0" applyFill="0" applyBorder="0" applyAlignment="0" applyProtection="0">
      <alignment vertical="top"/>
      <protection locked="0"/>
    </xf>
    <xf numFmtId="0" fontId="24" fillId="0" borderId="0"/>
    <xf numFmtId="0" fontId="13" fillId="0" borderId="0"/>
    <xf numFmtId="0" fontId="46" fillId="0" borderId="0" applyNumberFormat="0" applyFill="0" applyBorder="0" applyAlignment="0" applyProtection="0">
      <alignment vertical="top"/>
      <protection locked="0"/>
    </xf>
    <xf numFmtId="43" fontId="27" fillId="0" borderId="0" applyFont="0" applyFill="0" applyBorder="0" applyAlignment="0" applyProtection="0"/>
    <xf numFmtId="0" fontId="13" fillId="0" borderId="0"/>
    <xf numFmtId="0" fontId="27" fillId="0" borderId="0"/>
    <xf numFmtId="0" fontId="24" fillId="0" borderId="0"/>
    <xf numFmtId="165" fontId="27" fillId="0" borderId="0" applyFont="0" applyFill="0" applyBorder="0" applyAlignment="0" applyProtection="0"/>
    <xf numFmtId="0" fontId="50" fillId="0" borderId="0"/>
    <xf numFmtId="0" fontId="22" fillId="0" borderId="0" applyNumberFormat="0" applyFill="0" applyAlignment="0" applyProtection="0"/>
    <xf numFmtId="0" fontId="50" fillId="0" borderId="0"/>
    <xf numFmtId="9" fontId="24" fillId="0" borderId="0" applyFont="0" applyFill="0" applyBorder="0" applyAlignment="0" applyProtection="0"/>
    <xf numFmtId="43" fontId="27" fillId="0" borderId="0" applyFont="0" applyFill="0" applyBorder="0" applyAlignment="0" applyProtection="0"/>
    <xf numFmtId="0" fontId="12" fillId="0" borderId="0"/>
    <xf numFmtId="0" fontId="51" fillId="0" borderId="8" applyNumberFormat="0" applyFill="0" applyAlignment="0" applyProtection="0"/>
    <xf numFmtId="0" fontId="24" fillId="0" borderId="0"/>
    <xf numFmtId="43" fontId="12" fillId="0" borderId="0" applyFont="0" applyFill="0" applyBorder="0" applyAlignment="0" applyProtection="0"/>
    <xf numFmtId="43" fontId="12" fillId="0" borderId="0" applyFont="0" applyFill="0" applyBorder="0" applyAlignment="0" applyProtection="0"/>
    <xf numFmtId="0" fontId="31" fillId="0" borderId="0" applyNumberFormat="0" applyFill="0" applyBorder="0" applyAlignment="0" applyProtection="0"/>
    <xf numFmtId="3" fontId="20" fillId="0" borderId="0" applyProtection="0"/>
    <xf numFmtId="0" fontId="12" fillId="0" borderId="0"/>
    <xf numFmtId="0" fontId="53" fillId="0" borderId="0" applyNumberFormat="0" applyBorder="0" applyProtection="0"/>
    <xf numFmtId="3" fontId="12" fillId="0" borderId="0" applyProtection="0"/>
    <xf numFmtId="0" fontId="22" fillId="0" borderId="8" applyNumberFormat="0" applyFill="0" applyBorder="0" applyAlignment="0" applyProtection="0"/>
    <xf numFmtId="0" fontId="29" fillId="0" borderId="0" applyNumberFormat="0" applyFill="0" applyBorder="0" applyAlignment="0" applyProtection="0"/>
    <xf numFmtId="0" fontId="43" fillId="0" borderId="0" applyNumberFormat="0" applyFill="0" applyBorder="0" applyAlignment="0" applyProtection="0">
      <alignment vertical="top"/>
      <protection locked="0"/>
    </xf>
    <xf numFmtId="9" fontId="32" fillId="0" borderId="0" applyFont="0" applyFill="0" applyBorder="0" applyAlignment="0" applyProtection="0"/>
    <xf numFmtId="9" fontId="39" fillId="0" borderId="0" applyFont="0" applyFill="0" applyBorder="0" applyAlignment="0" applyProtection="0"/>
    <xf numFmtId="43" fontId="24" fillId="0" borderId="0" applyFont="0" applyFill="0" applyBorder="0" applyAlignment="0" applyProtection="0"/>
    <xf numFmtId="0" fontId="55" fillId="0" borderId="7" applyNumberFormat="0" applyFill="0" applyAlignment="0" applyProtection="0"/>
    <xf numFmtId="0" fontId="56" fillId="0" borderId="8" applyNumberFormat="0" applyFill="0" applyAlignment="0" applyProtection="0"/>
    <xf numFmtId="0" fontId="24" fillId="0" borderId="0"/>
    <xf numFmtId="0" fontId="22" fillId="0" borderId="0" applyNumberFormat="0" applyFill="0" applyAlignment="0" applyProtection="0"/>
    <xf numFmtId="0" fontId="24" fillId="0" borderId="0"/>
    <xf numFmtId="0" fontId="11" fillId="0" borderId="0"/>
    <xf numFmtId="0" fontId="32" fillId="0" borderId="0"/>
    <xf numFmtId="0" fontId="9" fillId="0" borderId="0"/>
    <xf numFmtId="0" fontId="9" fillId="0" borderId="0"/>
    <xf numFmtId="0" fontId="9" fillId="0" borderId="0"/>
    <xf numFmtId="0" fontId="24" fillId="0" borderId="0"/>
    <xf numFmtId="0" fontId="27" fillId="0" borderId="0"/>
    <xf numFmtId="0" fontId="9" fillId="0" borderId="0"/>
    <xf numFmtId="0" fontId="9" fillId="0" borderId="0"/>
    <xf numFmtId="0" fontId="27" fillId="0" borderId="0"/>
    <xf numFmtId="43" fontId="27" fillId="0" borderId="0" applyFont="0" applyFill="0" applyBorder="0" applyAlignment="0" applyProtection="0"/>
    <xf numFmtId="0" fontId="27" fillId="0" borderId="0"/>
    <xf numFmtId="43" fontId="9" fillId="0" borderId="0" applyFont="0" applyFill="0" applyBorder="0" applyAlignment="0" applyProtection="0"/>
    <xf numFmtId="0" fontId="9" fillId="0" borderId="0"/>
    <xf numFmtId="43" fontId="24" fillId="0" borderId="0" applyFont="0" applyFill="0" applyBorder="0" applyAlignment="0" applyProtection="0"/>
    <xf numFmtId="0" fontId="30" fillId="0" borderId="0" applyNumberFormat="0" applyFill="0" applyBorder="0" applyAlignment="0" applyProtection="0">
      <alignment vertical="top"/>
      <protection locked="0"/>
    </xf>
    <xf numFmtId="9" fontId="9" fillId="0" borderId="0" applyFont="0" applyFill="0" applyBorder="0" applyAlignment="0" applyProtection="0"/>
    <xf numFmtId="0" fontId="9" fillId="10" borderId="0" applyNumberFormat="0" applyBorder="0" applyAlignment="0" applyProtection="0"/>
    <xf numFmtId="0" fontId="9" fillId="10" borderId="0" applyNumberFormat="0" applyBorder="0" applyAlignment="0" applyProtection="0"/>
    <xf numFmtId="0" fontId="32" fillId="22" borderId="0" applyNumberFormat="0" applyBorder="0" applyAlignment="0" applyProtection="0"/>
    <xf numFmtId="0" fontId="32" fillId="22"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32" fillId="23" borderId="0" applyNumberFormat="0" applyBorder="0" applyAlignment="0" applyProtection="0"/>
    <xf numFmtId="0" fontId="32" fillId="23"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32" fillId="24" borderId="0" applyNumberFormat="0" applyBorder="0" applyAlignment="0" applyProtection="0"/>
    <xf numFmtId="0" fontId="32" fillId="2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32" fillId="25" borderId="0" applyNumberFormat="0" applyBorder="0" applyAlignment="0" applyProtection="0"/>
    <xf numFmtId="0" fontId="32" fillId="25"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32" fillId="26" borderId="0" applyNumberFormat="0" applyBorder="0" applyAlignment="0" applyProtection="0"/>
    <xf numFmtId="0" fontId="32" fillId="2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32" fillId="27" borderId="0" applyNumberFormat="0" applyBorder="0" applyAlignment="0" applyProtection="0"/>
    <xf numFmtId="0" fontId="32" fillId="27"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32" fillId="28" borderId="0" applyNumberFormat="0" applyBorder="0" applyAlignment="0" applyProtection="0"/>
    <xf numFmtId="0" fontId="32" fillId="28"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32" fillId="29" borderId="0" applyNumberFormat="0" applyBorder="0" applyAlignment="0" applyProtection="0"/>
    <xf numFmtId="0" fontId="32" fillId="29"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32" fillId="30" borderId="0" applyNumberFormat="0" applyBorder="0" applyAlignment="0" applyProtection="0"/>
    <xf numFmtId="0" fontId="32" fillId="30"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32" fillId="25" borderId="0" applyNumberFormat="0" applyBorder="0" applyAlignment="0" applyProtection="0"/>
    <xf numFmtId="0" fontId="32" fillId="2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32" fillId="28" borderId="0" applyNumberFormat="0" applyBorder="0" applyAlignment="0" applyProtection="0"/>
    <xf numFmtId="0" fontId="32" fillId="28"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32" fillId="31" borderId="0" applyNumberFormat="0" applyBorder="0" applyAlignment="0" applyProtection="0"/>
    <xf numFmtId="0" fontId="32" fillId="3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167" fontId="27" fillId="0" borderId="0" applyFont="0" applyFill="0" applyBorder="0" applyAlignment="0" applyProtection="0"/>
    <xf numFmtId="0" fontId="43" fillId="0" borderId="0" applyNumberFormat="0" applyFill="0" applyBorder="0" applyAlignment="0" applyProtection="0">
      <alignment vertical="top"/>
      <protection locked="0"/>
    </xf>
    <xf numFmtId="0" fontId="43" fillId="0" borderId="0" applyNumberFormat="0" applyFill="0" applyBorder="0" applyAlignment="0" applyProtection="0">
      <alignment vertical="top"/>
      <protection locked="0"/>
    </xf>
    <xf numFmtId="0" fontId="43" fillId="0" borderId="0" applyNumberFormat="0" applyFill="0" applyBorder="0" applyAlignment="0" applyProtection="0">
      <alignment vertical="top"/>
      <protection locked="0"/>
    </xf>
    <xf numFmtId="0" fontId="64" fillId="0" borderId="0" applyNumberFormat="0" applyFill="0" applyBorder="0" applyAlignment="0" applyProtection="0">
      <alignment vertical="top"/>
      <protection locked="0"/>
    </xf>
    <xf numFmtId="0" fontId="43" fillId="0" borderId="0" applyNumberFormat="0" applyFill="0" applyBorder="0" applyAlignment="0" applyProtection="0">
      <alignment vertical="top"/>
      <protection locked="0"/>
    </xf>
    <xf numFmtId="0" fontId="46" fillId="0" borderId="0" applyNumberFormat="0" applyFill="0" applyBorder="0" applyAlignment="0" applyProtection="0">
      <alignment vertical="top"/>
      <protection locked="0"/>
    </xf>
    <xf numFmtId="0" fontId="43" fillId="0" borderId="0" applyNumberFormat="0" applyFill="0" applyBorder="0" applyAlignment="0" applyProtection="0">
      <alignment vertical="top"/>
      <protection locked="0"/>
    </xf>
    <xf numFmtId="0" fontId="43" fillId="0" borderId="0" applyNumberFormat="0" applyFill="0" applyBorder="0" applyAlignment="0" applyProtection="0">
      <alignment vertical="top"/>
      <protection locked="0"/>
    </xf>
    <xf numFmtId="0" fontId="29" fillId="0" borderId="0" applyNumberFormat="0" applyFill="0" applyBorder="0" applyAlignment="0" applyProtection="0">
      <alignment vertical="top"/>
      <protection locked="0"/>
    </xf>
    <xf numFmtId="0" fontId="29" fillId="0" borderId="0" applyNumberFormat="0" applyFill="0" applyBorder="0" applyAlignment="0" applyProtection="0">
      <alignment vertical="top"/>
      <protection locked="0"/>
    </xf>
    <xf numFmtId="0" fontId="46" fillId="0" borderId="0" applyNumberFormat="0" applyFill="0" applyBorder="0" applyAlignment="0" applyProtection="0">
      <alignment vertical="top"/>
      <protection locked="0"/>
    </xf>
    <xf numFmtId="0" fontId="65" fillId="0" borderId="0" applyNumberFormat="0" applyFill="0" applyBorder="0" applyAlignment="0" applyProtection="0">
      <alignment vertical="top"/>
      <protection locked="0"/>
    </xf>
    <xf numFmtId="0" fontId="63" fillId="0" borderId="0">
      <alignment horizontal="left"/>
    </xf>
    <xf numFmtId="4" fontId="66" fillId="32" borderId="0"/>
    <xf numFmtId="4" fontId="66" fillId="33" borderId="0"/>
    <xf numFmtId="4" fontId="63" fillId="34" borderId="0"/>
    <xf numFmtId="0" fontId="66" fillId="35" borderId="0">
      <alignment horizontal="left"/>
    </xf>
    <xf numFmtId="0" fontId="67" fillId="36" borderId="0"/>
    <xf numFmtId="0" fontId="68" fillId="36" borderId="0"/>
    <xf numFmtId="168" fontId="63" fillId="0" borderId="0">
      <alignment horizontal="right"/>
    </xf>
    <xf numFmtId="0" fontId="69" fillId="37" borderId="0">
      <alignment horizontal="left"/>
    </xf>
    <xf numFmtId="0" fontId="69" fillId="35" borderId="0">
      <alignment horizontal="left"/>
    </xf>
    <xf numFmtId="0" fontId="70" fillId="0" borderId="0">
      <alignment horizontal="left"/>
    </xf>
    <xf numFmtId="0" fontId="63" fillId="0" borderId="0">
      <alignment horizontal="left"/>
    </xf>
    <xf numFmtId="0" fontId="22" fillId="0" borderId="0"/>
    <xf numFmtId="0" fontId="71" fillId="0" borderId="0">
      <alignment horizontal="left"/>
    </xf>
    <xf numFmtId="0" fontId="70" fillId="0" borderId="0"/>
    <xf numFmtId="0" fontId="70" fillId="0" borderId="0"/>
    <xf numFmtId="0" fontId="27" fillId="0" borderId="0"/>
    <xf numFmtId="0" fontId="9" fillId="0" borderId="0"/>
    <xf numFmtId="0" fontId="27" fillId="0" borderId="0"/>
    <xf numFmtId="0" fontId="27" fillId="0" borderId="0"/>
    <xf numFmtId="0" fontId="24" fillId="0" borderId="0"/>
    <xf numFmtId="0" fontId="24" fillId="0" borderId="0"/>
    <xf numFmtId="0" fontId="24" fillId="0" borderId="0"/>
    <xf numFmtId="0" fontId="27" fillId="0" borderId="0"/>
    <xf numFmtId="0" fontId="27" fillId="0" borderId="0"/>
    <xf numFmtId="0" fontId="27" fillId="0" borderId="0"/>
    <xf numFmtId="0" fontId="50" fillId="0" borderId="0"/>
    <xf numFmtId="0" fontId="27" fillId="0" borderId="0"/>
    <xf numFmtId="0" fontId="27" fillId="0" borderId="0"/>
    <xf numFmtId="0" fontId="28" fillId="0" borderId="0"/>
    <xf numFmtId="0" fontId="32" fillId="0" borderId="0"/>
    <xf numFmtId="0" fontId="32" fillId="0" borderId="0"/>
    <xf numFmtId="0" fontId="28" fillId="0" borderId="0"/>
    <xf numFmtId="0" fontId="32" fillId="0" borderId="0"/>
    <xf numFmtId="0" fontId="32" fillId="0" borderId="0"/>
    <xf numFmtId="0" fontId="28" fillId="0" borderId="0"/>
    <xf numFmtId="0" fontId="27" fillId="0" borderId="0" applyNumberFormat="0" applyFill="0" applyBorder="0" applyAlignment="0" applyProtection="0"/>
    <xf numFmtId="0" fontId="24" fillId="0" borderId="0"/>
    <xf numFmtId="0" fontId="27" fillId="0" borderId="0" applyNumberFormat="0" applyFill="0" applyBorder="0" applyAlignment="0" applyProtection="0"/>
    <xf numFmtId="0" fontId="24" fillId="0" borderId="0"/>
    <xf numFmtId="0" fontId="9" fillId="0" borderId="0"/>
    <xf numFmtId="0" fontId="28" fillId="0" borderId="0"/>
    <xf numFmtId="0" fontId="28" fillId="0" borderId="0"/>
    <xf numFmtId="0" fontId="28" fillId="0" borderId="0"/>
    <xf numFmtId="0" fontId="24" fillId="0" borderId="0"/>
    <xf numFmtId="0" fontId="24" fillId="0" borderId="0"/>
    <xf numFmtId="0" fontId="24" fillId="0" borderId="0"/>
    <xf numFmtId="0" fontId="50" fillId="0" borderId="0"/>
    <xf numFmtId="0" fontId="50" fillId="0" borderId="0"/>
    <xf numFmtId="0" fontId="50" fillId="0" borderId="0"/>
    <xf numFmtId="0" fontId="50" fillId="0" borderId="0"/>
    <xf numFmtId="0" fontId="24" fillId="0" borderId="0"/>
    <xf numFmtId="0" fontId="50" fillId="0" borderId="0"/>
    <xf numFmtId="0" fontId="50" fillId="0" borderId="0"/>
    <xf numFmtId="0" fontId="50" fillId="0" borderId="0"/>
    <xf numFmtId="0" fontId="50" fillId="0" borderId="0"/>
    <xf numFmtId="0" fontId="9" fillId="0" borderId="0"/>
    <xf numFmtId="0" fontId="9" fillId="0" borderId="0"/>
    <xf numFmtId="0" fontId="50" fillId="0" borderId="0"/>
    <xf numFmtId="0" fontId="27" fillId="0" borderId="0"/>
    <xf numFmtId="0" fontId="50" fillId="0" borderId="0"/>
    <xf numFmtId="0" fontId="50" fillId="0" borderId="0"/>
    <xf numFmtId="0" fontId="50" fillId="0" borderId="0"/>
    <xf numFmtId="0" fontId="50" fillId="0" borderId="0"/>
    <xf numFmtId="0" fontId="27" fillId="0" borderId="0"/>
    <xf numFmtId="0" fontId="50" fillId="0" borderId="0"/>
    <xf numFmtId="0" fontId="50" fillId="0" borderId="0"/>
    <xf numFmtId="0" fontId="50" fillId="0" borderId="0"/>
    <xf numFmtId="0" fontId="50" fillId="0" borderId="0"/>
    <xf numFmtId="0" fontId="50" fillId="0" borderId="0"/>
    <xf numFmtId="0" fontId="27" fillId="0" borderId="0"/>
    <xf numFmtId="0" fontId="27" fillId="0" borderId="0"/>
    <xf numFmtId="0" fontId="24" fillId="0" borderId="0"/>
    <xf numFmtId="0" fontId="9" fillId="9" borderId="50" applyNumberFormat="0" applyFont="0" applyAlignment="0" applyProtection="0"/>
    <xf numFmtId="0" fontId="9" fillId="9" borderId="50" applyNumberFormat="0" applyFont="0" applyAlignment="0" applyProtection="0"/>
    <xf numFmtId="0" fontId="32" fillId="38" borderId="51" applyNumberFormat="0" applyFont="0" applyAlignment="0" applyProtection="0"/>
    <xf numFmtId="0" fontId="32" fillId="38" borderId="51"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27" fillId="0" borderId="0" applyFont="0" applyFill="0" applyBorder="0" applyAlignment="0" applyProtection="0"/>
    <xf numFmtId="9" fontId="24" fillId="0" borderId="0" applyFont="0" applyFill="0" applyBorder="0" applyAlignment="0" applyProtection="0"/>
    <xf numFmtId="9" fontId="27"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24" fillId="0" borderId="0" applyFont="0" applyFill="0" applyBorder="0" applyAlignment="0" applyProtection="0"/>
    <xf numFmtId="0" fontId="27"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9" fontId="38" fillId="0" borderId="0"/>
    <xf numFmtId="0" fontId="9" fillId="0" borderId="0"/>
    <xf numFmtId="0" fontId="32" fillId="22" borderId="0" applyNumberFormat="0" applyBorder="0" applyAlignment="0" applyProtection="0"/>
    <xf numFmtId="0" fontId="32" fillId="22" borderId="0" applyNumberFormat="0" applyBorder="0" applyAlignment="0" applyProtection="0"/>
    <xf numFmtId="0" fontId="32" fillId="23" borderId="0" applyNumberFormat="0" applyBorder="0" applyAlignment="0" applyProtection="0"/>
    <xf numFmtId="0" fontId="32" fillId="23" borderId="0" applyNumberFormat="0" applyBorder="0" applyAlignment="0" applyProtection="0"/>
    <xf numFmtId="0" fontId="32" fillId="24" borderId="0" applyNumberFormat="0" applyBorder="0" applyAlignment="0" applyProtection="0"/>
    <xf numFmtId="0" fontId="32" fillId="24" borderId="0" applyNumberFormat="0" applyBorder="0" applyAlignment="0" applyProtection="0"/>
    <xf numFmtId="0" fontId="32" fillId="25" borderId="0" applyNumberFormat="0" applyBorder="0" applyAlignment="0" applyProtection="0"/>
    <xf numFmtId="0" fontId="32" fillId="25" borderId="0" applyNumberFormat="0" applyBorder="0" applyAlignment="0" applyProtection="0"/>
    <xf numFmtId="0" fontId="32" fillId="26" borderId="0" applyNumberFormat="0" applyBorder="0" applyAlignment="0" applyProtection="0"/>
    <xf numFmtId="0" fontId="32" fillId="26" borderId="0" applyNumberFormat="0" applyBorder="0" applyAlignment="0" applyProtection="0"/>
    <xf numFmtId="0" fontId="32" fillId="27" borderId="0" applyNumberFormat="0" applyBorder="0" applyAlignment="0" applyProtection="0"/>
    <xf numFmtId="0" fontId="32" fillId="27" borderId="0" applyNumberFormat="0" applyBorder="0" applyAlignment="0" applyProtection="0"/>
    <xf numFmtId="0" fontId="32" fillId="28" borderId="0" applyNumberFormat="0" applyBorder="0" applyAlignment="0" applyProtection="0"/>
    <xf numFmtId="0" fontId="32" fillId="28" borderId="0" applyNumberFormat="0" applyBorder="0" applyAlignment="0" applyProtection="0"/>
    <xf numFmtId="0" fontId="32" fillId="29" borderId="0" applyNumberFormat="0" applyBorder="0" applyAlignment="0" applyProtection="0"/>
    <xf numFmtId="0" fontId="32" fillId="29" borderId="0" applyNumberFormat="0" applyBorder="0" applyAlignment="0" applyProtection="0"/>
    <xf numFmtId="0" fontId="32" fillId="30" borderId="0" applyNumberFormat="0" applyBorder="0" applyAlignment="0" applyProtection="0"/>
    <xf numFmtId="0" fontId="32" fillId="30" borderId="0" applyNumberFormat="0" applyBorder="0" applyAlignment="0" applyProtection="0"/>
    <xf numFmtId="0" fontId="32" fillId="25" borderId="0" applyNumberFormat="0" applyBorder="0" applyAlignment="0" applyProtection="0"/>
    <xf numFmtId="0" fontId="32" fillId="25" borderId="0" applyNumberFormat="0" applyBorder="0" applyAlignment="0" applyProtection="0"/>
    <xf numFmtId="0" fontId="32" fillId="28" borderId="0" applyNumberFormat="0" applyBorder="0" applyAlignment="0" applyProtection="0"/>
    <xf numFmtId="0" fontId="32" fillId="28" borderId="0" applyNumberFormat="0" applyBorder="0" applyAlignment="0" applyProtection="0"/>
    <xf numFmtId="0" fontId="32" fillId="31" borderId="0" applyNumberFormat="0" applyBorder="0" applyAlignment="0" applyProtection="0"/>
    <xf numFmtId="0" fontId="32" fillId="31" borderId="0" applyNumberFormat="0" applyBorder="0" applyAlignment="0" applyProtection="0"/>
    <xf numFmtId="0" fontId="32" fillId="0" borderId="0"/>
    <xf numFmtId="0" fontId="32" fillId="0" borderId="0"/>
    <xf numFmtId="0" fontId="32" fillId="0" borderId="0"/>
    <xf numFmtId="0" fontId="32" fillId="0" borderId="0"/>
    <xf numFmtId="0" fontId="32" fillId="38" borderId="51" applyNumberFormat="0" applyFont="0" applyAlignment="0" applyProtection="0"/>
    <xf numFmtId="0" fontId="32" fillId="38" borderId="51" applyNumberFormat="0" applyFont="0" applyAlignment="0" applyProtection="0"/>
    <xf numFmtId="9" fontId="32" fillId="0" borderId="0" applyFont="0" applyFill="0" applyBorder="0" applyAlignment="0" applyProtection="0"/>
    <xf numFmtId="9" fontId="32" fillId="0" borderId="0" applyFont="0" applyFill="0" applyBorder="0" applyAlignment="0" applyProtection="0"/>
    <xf numFmtId="169" fontId="38"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9" fillId="0" borderId="0"/>
    <xf numFmtId="0" fontId="27" fillId="0" borderId="0"/>
    <xf numFmtId="0" fontId="27" fillId="0" borderId="0"/>
    <xf numFmtId="0" fontId="9" fillId="0" borderId="0"/>
    <xf numFmtId="0" fontId="27" fillId="0" borderId="0"/>
    <xf numFmtId="0" fontId="27"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27" fillId="0" borderId="0"/>
    <xf numFmtId="0" fontId="9" fillId="0" borderId="0"/>
    <xf numFmtId="0" fontId="24" fillId="0" borderId="0"/>
    <xf numFmtId="43" fontId="39" fillId="0" borderId="0" applyFont="0" applyFill="0" applyBorder="0" applyAlignment="0" applyProtection="0"/>
    <xf numFmtId="0" fontId="32" fillId="23" borderId="0" applyNumberFormat="0" applyBorder="0" applyAlignment="0" applyProtection="0"/>
    <xf numFmtId="0" fontId="39" fillId="24" borderId="0" applyNumberFormat="0" applyBorder="0" applyAlignment="0" applyProtection="0"/>
    <xf numFmtId="0" fontId="39" fillId="26"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2" fillId="42" borderId="0" applyNumberFormat="0" applyBorder="0" applyAlignment="0" applyProtection="0"/>
    <xf numFmtId="0" fontId="39" fillId="31" borderId="0" applyNumberFormat="0" applyBorder="0" applyAlignment="0" applyProtection="0"/>
    <xf numFmtId="0" fontId="39" fillId="30" borderId="0" applyNumberFormat="0" applyBorder="0" applyAlignment="0" applyProtection="0"/>
    <xf numFmtId="0" fontId="39" fillId="30" borderId="0" applyNumberFormat="0" applyBorder="0" applyAlignment="0" applyProtection="0"/>
    <xf numFmtId="0" fontId="39" fillId="28" borderId="0" applyNumberFormat="0" applyBorder="0" applyAlignment="0" applyProtection="0"/>
    <xf numFmtId="0" fontId="39" fillId="25" borderId="0" applyNumberFormat="0" applyBorder="0" applyAlignment="0" applyProtection="0"/>
    <xf numFmtId="0" fontId="39" fillId="24" borderId="0" applyNumberFormat="0" applyBorder="0" applyAlignment="0" applyProtection="0"/>
    <xf numFmtId="0" fontId="39" fillId="23" borderId="0" applyNumberFormat="0" applyBorder="0" applyAlignment="0" applyProtection="0"/>
    <xf numFmtId="0" fontId="39" fillId="22" borderId="0" applyNumberFormat="0" applyBorder="0" applyAlignment="0" applyProtection="0"/>
    <xf numFmtId="0" fontId="39" fillId="22"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31"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7" fillId="24"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8" borderId="0" applyNumberFormat="0" applyBorder="0" applyAlignment="0" applyProtection="0"/>
    <xf numFmtId="0" fontId="39" fillId="31" borderId="0" applyNumberFormat="0" applyBorder="0" applyAlignment="0" applyProtection="0"/>
    <xf numFmtId="0" fontId="39" fillId="30" borderId="0" applyNumberFormat="0" applyBorder="0" applyAlignment="0" applyProtection="0"/>
    <xf numFmtId="0" fontId="39" fillId="28" borderId="0" applyNumberFormat="0" applyBorder="0" applyAlignment="0" applyProtection="0"/>
    <xf numFmtId="0" fontId="39" fillId="27" borderId="0" applyNumberFormat="0" applyBorder="0" applyAlignment="0" applyProtection="0"/>
    <xf numFmtId="0" fontId="39" fillId="27" borderId="0" applyNumberFormat="0" applyBorder="0" applyAlignment="0" applyProtection="0"/>
    <xf numFmtId="0" fontId="39" fillId="27" borderId="0" applyNumberFormat="0" applyBorder="0" applyAlignment="0" applyProtection="0"/>
    <xf numFmtId="0" fontId="39" fillId="26" borderId="0" applyNumberFormat="0" applyBorder="0" applyAlignment="0" applyProtection="0"/>
    <xf numFmtId="43" fontId="9" fillId="0" borderId="0" applyFont="0" applyFill="0" applyBorder="0" applyAlignment="0" applyProtection="0"/>
    <xf numFmtId="0" fontId="39" fillId="25" borderId="0" applyNumberFormat="0" applyBorder="0" applyAlignment="0" applyProtection="0"/>
    <xf numFmtId="0" fontId="39" fillId="22"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8" borderId="0" applyNumberFormat="0" applyBorder="0" applyAlignment="0" applyProtection="0"/>
    <xf numFmtId="0" fontId="39" fillId="25"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8" fillId="0" borderId="54" applyNumberFormat="0" applyFill="0" applyAlignment="0" applyProtection="0"/>
    <xf numFmtId="0" fontId="39" fillId="29"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27" fillId="0" borderId="0"/>
    <xf numFmtId="0" fontId="24" fillId="0" borderId="0"/>
    <xf numFmtId="0" fontId="24" fillId="0" borderId="0"/>
    <xf numFmtId="0" fontId="80" fillId="0" borderId="0" applyNumberFormat="0" applyFill="0" applyBorder="0" applyAlignment="0" applyProtection="0"/>
    <xf numFmtId="0" fontId="72" fillId="39"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5" fillId="48" borderId="53" applyNumberFormat="0" applyAlignment="0" applyProtection="0"/>
    <xf numFmtId="0" fontId="75" fillId="48" borderId="53" applyNumberFormat="0" applyAlignment="0" applyProtection="0"/>
    <xf numFmtId="0" fontId="74" fillId="47" borderId="52" applyNumberFormat="0" applyAlignment="0" applyProtection="0"/>
    <xf numFmtId="0" fontId="74" fillId="47" borderId="52" applyNumberFormat="0" applyAlignment="0" applyProtection="0"/>
    <xf numFmtId="0" fontId="73" fillId="23" borderId="0" applyNumberFormat="0" applyBorder="0" applyAlignment="0" applyProtection="0"/>
    <xf numFmtId="0" fontId="73" fillId="23" borderId="0" applyNumberFormat="0" applyBorder="0" applyAlignment="0" applyProtection="0"/>
    <xf numFmtId="0" fontId="72" fillId="46" borderId="0" applyNumberFormat="0" applyBorder="0" applyAlignment="0" applyProtection="0"/>
    <xf numFmtId="0" fontId="72" fillId="46" borderId="0" applyNumberFormat="0" applyBorder="0" applyAlignment="0" applyProtection="0"/>
    <xf numFmtId="0" fontId="72" fillId="41" borderId="0" applyNumberFormat="0" applyBorder="0" applyAlignment="0" applyProtection="0"/>
    <xf numFmtId="0" fontId="72" fillId="41" borderId="0" applyNumberFormat="0" applyBorder="0" applyAlignment="0" applyProtection="0"/>
    <xf numFmtId="0" fontId="72" fillId="40" borderId="0" applyNumberFormat="0" applyBorder="0" applyAlignment="0" applyProtection="0"/>
    <xf numFmtId="0" fontId="72" fillId="40" borderId="0" applyNumberFormat="0" applyBorder="0" applyAlignment="0" applyProtection="0"/>
    <xf numFmtId="0" fontId="72" fillId="45" borderId="0" applyNumberFormat="0" applyBorder="0" applyAlignment="0" applyProtection="0"/>
    <xf numFmtId="0" fontId="72" fillId="45" borderId="0" applyNumberFormat="0" applyBorder="0" applyAlignment="0" applyProtection="0"/>
    <xf numFmtId="0" fontId="72" fillId="44" borderId="0" applyNumberFormat="0" applyBorder="0" applyAlignment="0" applyProtection="0"/>
    <xf numFmtId="0" fontId="72" fillId="43" borderId="0" applyNumberFormat="0" applyBorder="0" applyAlignment="0" applyProtection="0"/>
    <xf numFmtId="0" fontId="39" fillId="28" borderId="0" applyNumberFormat="0" applyBorder="0" applyAlignment="0" applyProtection="0"/>
    <xf numFmtId="0" fontId="39" fillId="25" borderId="0" applyNumberFormat="0" applyBorder="0" applyAlignment="0" applyProtection="0"/>
    <xf numFmtId="0" fontId="39" fillId="25" borderId="0" applyNumberFormat="0" applyBorder="0" applyAlignment="0" applyProtection="0"/>
    <xf numFmtId="0" fontId="39" fillId="28" borderId="0" applyNumberFormat="0" applyBorder="0" applyAlignment="0" applyProtection="0"/>
    <xf numFmtId="0" fontId="39" fillId="27" borderId="0" applyNumberFormat="0" applyBorder="0" applyAlignment="0" applyProtection="0"/>
    <xf numFmtId="0" fontId="39" fillId="27" borderId="0" applyNumberFormat="0" applyBorder="0" applyAlignment="0" applyProtection="0"/>
    <xf numFmtId="0" fontId="39" fillId="27" borderId="0" applyNumberFormat="0" applyBorder="0" applyAlignment="0" applyProtection="0"/>
    <xf numFmtId="0" fontId="39" fillId="26" borderId="0" applyNumberFormat="0" applyBorder="0" applyAlignment="0" applyProtection="0"/>
    <xf numFmtId="0" fontId="39" fillId="25" borderId="0" applyNumberFormat="0" applyBorder="0" applyAlignment="0" applyProtection="0"/>
    <xf numFmtId="0" fontId="39" fillId="25" borderId="0" applyNumberFormat="0" applyBorder="0" applyAlignment="0" applyProtection="0"/>
    <xf numFmtId="0" fontId="39" fillId="25" borderId="0" applyNumberFormat="0" applyBorder="0" applyAlignment="0" applyProtection="0"/>
    <xf numFmtId="0" fontId="39" fillId="24" borderId="0" applyNumberFormat="0" applyBorder="0" applyAlignment="0" applyProtection="0"/>
    <xf numFmtId="0" fontId="39" fillId="24" borderId="0" applyNumberFormat="0" applyBorder="0" applyAlignment="0" applyProtection="0"/>
    <xf numFmtId="0" fontId="39" fillId="24" borderId="0" applyNumberFormat="0" applyBorder="0" applyAlignment="0" applyProtection="0"/>
    <xf numFmtId="0" fontId="39" fillId="23" borderId="0" applyNumberFormat="0" applyBorder="0" applyAlignment="0" applyProtection="0"/>
    <xf numFmtId="0" fontId="32" fillId="22" borderId="0" applyNumberFormat="0" applyBorder="0" applyAlignment="0" applyProtection="0"/>
    <xf numFmtId="0" fontId="39" fillId="22" borderId="0" applyNumberFormat="0" applyBorder="0" applyAlignment="0" applyProtection="0"/>
    <xf numFmtId="0" fontId="39" fillId="22" borderId="0" applyNumberFormat="0" applyBorder="0" applyAlignment="0" applyProtection="0"/>
    <xf numFmtId="0" fontId="39" fillId="22" borderId="0" applyNumberFormat="0" applyBorder="0" applyAlignment="0" applyProtection="0"/>
    <xf numFmtId="0" fontId="76" fillId="0" borderId="0" applyNumberForma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80" fillId="0" borderId="56" applyNumberFormat="0" applyFill="0" applyAlignment="0" applyProtection="0"/>
    <xf numFmtId="43" fontId="39" fillId="0" borderId="0" applyFont="0" applyFill="0" applyBorder="0" applyAlignment="0" applyProtection="0"/>
    <xf numFmtId="43" fontId="39" fillId="0" borderId="0" applyFont="0" applyFill="0" applyBorder="0" applyAlignment="0" applyProtection="0"/>
    <xf numFmtId="0" fontId="72" fillId="29" borderId="0" applyNumberFormat="0" applyBorder="0" applyAlignment="0" applyProtection="0"/>
    <xf numFmtId="43" fontId="39" fillId="0" borderId="0" applyFont="0" applyFill="0" applyBorder="0" applyAlignment="0" applyProtection="0"/>
    <xf numFmtId="0" fontId="72" fillId="39" borderId="0" applyNumberFormat="0" applyBorder="0" applyAlignment="0" applyProtection="0"/>
    <xf numFmtId="43" fontId="39" fillId="0" borderId="0" applyFont="0" applyFill="0" applyBorder="0" applyAlignment="0" applyProtection="0"/>
    <xf numFmtId="0" fontId="32" fillId="29" borderId="0" applyNumberFormat="0" applyBorder="0" applyAlignment="0" applyProtection="0"/>
    <xf numFmtId="0" fontId="32" fillId="24" borderId="0" applyNumberFormat="0" applyBorder="0" applyAlignment="0" applyProtection="0"/>
    <xf numFmtId="0" fontId="39" fillId="22" borderId="0" applyNumberFormat="0" applyBorder="0" applyAlignment="0" applyProtection="0"/>
    <xf numFmtId="0" fontId="39" fillId="22" borderId="0" applyNumberFormat="0" applyBorder="0" applyAlignment="0" applyProtection="0"/>
    <xf numFmtId="0" fontId="78" fillId="0" borderId="54" applyNumberFormat="0" applyFill="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9" fillId="0" borderId="55" applyNumberFormat="0" applyFill="0" applyAlignment="0" applyProtection="0"/>
    <xf numFmtId="0" fontId="76" fillId="0" borderId="0" applyNumberForma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8" borderId="0" applyNumberFormat="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0" fontId="32" fillId="25" borderId="0" applyNumberFormat="0" applyBorder="0" applyAlignment="0" applyProtection="0"/>
    <xf numFmtId="0" fontId="39" fillId="29" borderId="0" applyNumberFormat="0" applyBorder="0" applyAlignment="0" applyProtection="0"/>
    <xf numFmtId="0" fontId="39" fillId="26" borderId="0" applyNumberFormat="0" applyBorder="0" applyAlignment="0" applyProtection="0"/>
    <xf numFmtId="0" fontId="39" fillId="25"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31"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3" borderId="0" applyNumberFormat="0" applyBorder="0" applyAlignment="0" applyProtection="0"/>
    <xf numFmtId="0" fontId="39" fillId="29" borderId="0" applyNumberFormat="0" applyBorder="0" applyAlignment="0" applyProtection="0"/>
    <xf numFmtId="0" fontId="39" fillId="30" borderId="0" applyNumberFormat="0" applyBorder="0" applyAlignment="0" applyProtection="0"/>
    <xf numFmtId="0" fontId="39" fillId="28"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2" fillId="30" borderId="0" applyNumberFormat="0" applyBorder="0" applyAlignment="0" applyProtection="0"/>
    <xf numFmtId="0" fontId="72" fillId="40" borderId="0" applyNumberFormat="0" applyBorder="0" applyAlignment="0" applyProtection="0"/>
    <xf numFmtId="0" fontId="39" fillId="31" borderId="0" applyNumberFormat="0" applyBorder="0" applyAlignment="0" applyProtection="0"/>
    <xf numFmtId="0" fontId="39" fillId="30" borderId="0" applyNumberFormat="0" applyBorder="0" applyAlignment="0" applyProtection="0"/>
    <xf numFmtId="0" fontId="39" fillId="29" borderId="0" applyNumberFormat="0" applyBorder="0" applyAlignment="0" applyProtection="0"/>
    <xf numFmtId="0" fontId="39" fillId="25" borderId="0" applyNumberFormat="0" applyBorder="0" applyAlignment="0" applyProtection="0"/>
    <xf numFmtId="0" fontId="39" fillId="24"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2" fillId="44" borderId="0" applyNumberFormat="0" applyBorder="0" applyAlignment="0" applyProtection="0"/>
    <xf numFmtId="0" fontId="77" fillId="24"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80" fillId="0" borderId="0" applyNumberFormat="0" applyFill="0" applyBorder="0" applyAlignment="0" applyProtection="0"/>
    <xf numFmtId="0" fontId="27" fillId="0" borderId="0"/>
    <xf numFmtId="0" fontId="9" fillId="0" borderId="0"/>
    <xf numFmtId="43" fontId="9" fillId="0" borderId="0" applyFont="0" applyFill="0" applyBorder="0" applyAlignment="0" applyProtection="0"/>
    <xf numFmtId="9" fontId="9" fillId="0" borderId="0" applyFont="0" applyFill="0" applyBorder="0" applyAlignment="0" applyProtection="0"/>
    <xf numFmtId="43" fontId="27" fillId="0" borderId="0" applyFont="0" applyFill="0" applyBorder="0" applyAlignment="0" applyProtection="0"/>
    <xf numFmtId="0" fontId="27" fillId="0" borderId="0"/>
    <xf numFmtId="43" fontId="39" fillId="0" borderId="0" applyFont="0" applyFill="0" applyBorder="0" applyAlignment="0" applyProtection="0"/>
    <xf numFmtId="0" fontId="27" fillId="0" borderId="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43" fontId="39" fillId="0" borderId="0" applyFont="0" applyFill="0" applyBorder="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32" fillId="38" borderId="51" applyNumberFormat="0" applyFont="0" applyAlignment="0" applyProtection="0"/>
    <xf numFmtId="0" fontId="32" fillId="38" borderId="51" applyNumberFormat="0" applyFont="0" applyAlignment="0" applyProtection="0"/>
    <xf numFmtId="0" fontId="32" fillId="38" borderId="51" applyNumberFormat="0" applyFont="0" applyAlignment="0" applyProtection="0"/>
    <xf numFmtId="0" fontId="27" fillId="0" borderId="0"/>
    <xf numFmtId="43" fontId="39" fillId="0" borderId="0" applyFont="0" applyFill="0" applyBorder="0" applyAlignment="0" applyProtection="0"/>
    <xf numFmtId="43" fontId="39" fillId="0" borderId="0" applyFont="0" applyFill="0" applyBorder="0" applyAlignment="0" applyProtection="0"/>
    <xf numFmtId="0" fontId="72" fillId="43" borderId="0" applyNumberFormat="0" applyBorder="0" applyAlignment="0" applyProtection="0"/>
    <xf numFmtId="0" fontId="72" fillId="41" borderId="0" applyNumberFormat="0" applyBorder="0" applyAlignment="0" applyProtection="0"/>
    <xf numFmtId="0" fontId="32" fillId="25" borderId="0" applyNumberFormat="0" applyBorder="0" applyAlignment="0" applyProtection="0"/>
    <xf numFmtId="0" fontId="39" fillId="23" borderId="0" applyNumberFormat="0" applyBorder="0" applyAlignment="0" applyProtection="0"/>
    <xf numFmtId="0" fontId="39" fillId="23"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2" fillId="0" borderId="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2" fillId="38" borderId="51" applyNumberFormat="0" applyFont="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0" fontId="32" fillId="27" borderId="0" applyNumberFormat="0" applyBorder="0" applyAlignment="0" applyProtection="0"/>
    <xf numFmtId="0" fontId="39" fillId="26" borderId="0" applyNumberFormat="0" applyBorder="0" applyAlignment="0" applyProtection="0"/>
    <xf numFmtId="0" fontId="39" fillId="27" borderId="0" applyNumberFormat="0" applyBorder="0" applyAlignment="0" applyProtection="0"/>
    <xf numFmtId="0" fontId="39" fillId="27" borderId="0" applyNumberFormat="0" applyBorder="0" applyAlignment="0" applyProtection="0"/>
    <xf numFmtId="0" fontId="39" fillId="26" borderId="0" applyNumberFormat="0" applyBorder="0" applyAlignment="0" applyProtection="0"/>
    <xf numFmtId="0" fontId="39" fillId="26"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24"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27" fillId="0" borderId="0"/>
    <xf numFmtId="9"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3" borderId="0" applyNumberFormat="0" applyBorder="0" applyAlignment="0" applyProtection="0"/>
    <xf numFmtId="0" fontId="39" fillId="26" borderId="0" applyNumberFormat="0" applyBorder="0" applyAlignment="0" applyProtection="0"/>
    <xf numFmtId="0" fontId="39" fillId="29" borderId="0" applyNumberFormat="0" applyBorder="0" applyAlignment="0" applyProtection="0"/>
    <xf numFmtId="0" fontId="39" fillId="28" borderId="0" applyNumberFormat="0" applyBorder="0" applyAlignment="0" applyProtection="0"/>
    <xf numFmtId="0" fontId="39" fillId="30" borderId="0" applyNumberFormat="0" applyBorder="0" applyAlignment="0" applyProtection="0"/>
    <xf numFmtId="0" fontId="39" fillId="25" borderId="0" applyNumberFormat="0" applyBorder="0" applyAlignment="0" applyProtection="0"/>
    <xf numFmtId="0" fontId="39" fillId="31" borderId="0" applyNumberFormat="0" applyBorder="0" applyAlignment="0" applyProtection="0"/>
    <xf numFmtId="0" fontId="39" fillId="28" borderId="0" applyNumberFormat="0" applyBorder="0" applyAlignment="0" applyProtection="0"/>
    <xf numFmtId="0" fontId="32" fillId="28" borderId="0" applyNumberFormat="0" applyBorder="0" applyAlignment="0" applyProtection="0"/>
    <xf numFmtId="43" fontId="27" fillId="0" borderId="0" applyFont="0" applyFill="0" applyBorder="0" applyAlignment="0" applyProtection="0"/>
    <xf numFmtId="43" fontId="39" fillId="0" borderId="0" applyFont="0" applyFill="0" applyBorder="0" applyAlignment="0" applyProtection="0"/>
    <xf numFmtId="0" fontId="72" fillId="30" borderId="0" applyNumberFormat="0" applyBorder="0" applyAlignment="0" applyProtection="0"/>
    <xf numFmtId="43" fontId="39" fillId="0" borderId="0" applyFont="0" applyFill="0" applyBorder="0" applyAlignment="0" applyProtection="0"/>
    <xf numFmtId="0" fontId="39" fillId="29"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167" fontId="27" fillId="0" borderId="0" applyFont="0" applyFill="0" applyBorder="0" applyAlignment="0" applyProtection="0"/>
    <xf numFmtId="0" fontId="39" fillId="25" borderId="0" applyNumberFormat="0" applyBorder="0" applyAlignment="0" applyProtection="0"/>
    <xf numFmtId="0" fontId="39" fillId="25"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4" borderId="0" applyNumberFormat="0" applyBorder="0" applyAlignment="0" applyProtection="0"/>
    <xf numFmtId="0" fontId="39" fillId="23"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4" borderId="0" applyNumberFormat="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2" fillId="28" borderId="0" applyNumberFormat="0" applyBorder="0" applyAlignment="0" applyProtection="0"/>
    <xf numFmtId="0" fontId="32" fillId="30" borderId="0" applyNumberFormat="0" applyBorder="0" applyAlignment="0" applyProtection="0"/>
    <xf numFmtId="0" fontId="39" fillId="25" borderId="0" applyNumberFormat="0" applyBorder="0" applyAlignment="0" applyProtection="0"/>
    <xf numFmtId="0" fontId="39" fillId="28" borderId="0" applyNumberFormat="0" applyBorder="0" applyAlignment="0" applyProtection="0"/>
    <xf numFmtId="0" fontId="39" fillId="31" borderId="0" applyNumberFormat="0" applyBorder="0" applyAlignment="0" applyProtection="0"/>
    <xf numFmtId="43" fontId="27" fillId="0" borderId="0" applyFont="0" applyFill="0" applyBorder="0" applyAlignment="0" applyProtection="0"/>
    <xf numFmtId="0" fontId="72" fillId="41" borderId="0" applyNumberFormat="0" applyBorder="0" applyAlignment="0" applyProtection="0"/>
    <xf numFmtId="43" fontId="39" fillId="0" borderId="0" applyFont="0" applyFill="0" applyBorder="0" applyAlignment="0" applyProtection="0"/>
    <xf numFmtId="0" fontId="80" fillId="0" borderId="56" applyNumberFormat="0" applyFill="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9" borderId="0" applyNumberFormat="0" applyBorder="0" applyAlignment="0" applyProtection="0"/>
    <xf numFmtId="0" fontId="39" fillId="28" borderId="0" applyNumberFormat="0" applyBorder="0" applyAlignment="0" applyProtection="0"/>
    <xf numFmtId="0" fontId="39" fillId="30" borderId="0" applyNumberFormat="0" applyBorder="0" applyAlignment="0" applyProtection="0"/>
    <xf numFmtId="0" fontId="39" fillId="25" borderId="0" applyNumberFormat="0" applyBorder="0" applyAlignment="0" applyProtection="0"/>
    <xf numFmtId="0" fontId="39" fillId="31" borderId="0" applyNumberFormat="0" applyBorder="0" applyAlignment="0" applyProtection="0"/>
    <xf numFmtId="0" fontId="39" fillId="28" borderId="0" applyNumberFormat="0" applyBorder="0" applyAlignment="0" applyProtection="0"/>
    <xf numFmtId="0" fontId="39" fillId="28" borderId="0" applyNumberFormat="0" applyBorder="0" applyAlignment="0" applyProtection="0"/>
    <xf numFmtId="43" fontId="39" fillId="0" borderId="0" applyFont="0" applyFill="0" applyBorder="0" applyAlignment="0" applyProtection="0"/>
    <xf numFmtId="0" fontId="72" fillId="29" borderId="0" applyNumberFormat="0" applyBorder="0" applyAlignment="0" applyProtection="0"/>
    <xf numFmtId="43" fontId="39" fillId="0" borderId="0" applyFont="0" applyFill="0" applyBorder="0" applyAlignment="0" applyProtection="0"/>
    <xf numFmtId="0" fontId="79" fillId="0" borderId="55" applyNumberFormat="0" applyFill="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9" fillId="23" borderId="0" applyNumberFormat="0" applyBorder="0" applyAlignment="0" applyProtection="0"/>
    <xf numFmtId="0" fontId="32" fillId="26" borderId="0" applyNumberFormat="0" applyBorder="0" applyAlignment="0" applyProtection="0"/>
    <xf numFmtId="0" fontId="39" fillId="29" borderId="0" applyNumberFormat="0" applyBorder="0" applyAlignment="0" applyProtection="0"/>
    <xf numFmtId="0" fontId="39" fillId="28" borderId="0" applyNumberFormat="0" applyBorder="0" applyAlignment="0" applyProtection="0"/>
    <xf numFmtId="0" fontId="39" fillId="30" borderId="0" applyNumberFormat="0" applyBorder="0" applyAlignment="0" applyProtection="0"/>
    <xf numFmtId="0" fontId="39" fillId="25" borderId="0" applyNumberFormat="0" applyBorder="0" applyAlignment="0" applyProtection="0"/>
    <xf numFmtId="0" fontId="32" fillId="31" borderId="0" applyNumberFormat="0" applyBorder="0" applyAlignment="0" applyProtection="0"/>
    <xf numFmtId="0" fontId="39" fillId="28" borderId="0" applyNumberFormat="0" applyBorder="0" applyAlignment="0" applyProtection="0"/>
    <xf numFmtId="0" fontId="72" fillId="40" borderId="0" applyNumberFormat="0" applyBorder="0" applyAlignment="0" applyProtection="0"/>
    <xf numFmtId="43" fontId="39" fillId="0" borderId="0" applyFont="0" applyFill="0" applyBorder="0" applyAlignment="0" applyProtection="0"/>
    <xf numFmtId="0" fontId="72" fillId="42" borderId="0" applyNumberFormat="0" applyBorder="0" applyAlignment="0" applyProtection="0"/>
    <xf numFmtId="0" fontId="46" fillId="0" borderId="0" applyNumberFormat="0" applyFill="0" applyBorder="0" applyAlignment="0" applyProtection="0">
      <alignment vertical="top"/>
      <protection locked="0"/>
    </xf>
    <xf numFmtId="0" fontId="64" fillId="0" borderId="0" applyNumberFormat="0" applyFill="0" applyBorder="0" applyAlignment="0" applyProtection="0">
      <alignment vertical="top"/>
      <protection locked="0"/>
    </xf>
    <xf numFmtId="0" fontId="81" fillId="0" borderId="0" applyNumberFormat="0" applyFill="0" applyBorder="0" applyAlignment="0" applyProtection="0">
      <alignment vertical="top"/>
      <protection locked="0"/>
    </xf>
    <xf numFmtId="0" fontId="29" fillId="0" borderId="0" applyNumberFormat="0" applyFill="0" applyBorder="0" applyAlignment="0" applyProtection="0">
      <alignment vertical="top"/>
      <protection locked="0"/>
    </xf>
    <xf numFmtId="0" fontId="46" fillId="0" borderId="0" applyNumberFormat="0" applyFill="0" applyBorder="0" applyAlignment="0" applyProtection="0">
      <alignment vertical="top"/>
      <protection locked="0"/>
    </xf>
    <xf numFmtId="0" fontId="65" fillId="0" borderId="0" applyNumberFormat="0" applyFill="0" applyBorder="0" applyAlignment="0" applyProtection="0">
      <alignment vertical="top"/>
      <protection locked="0"/>
    </xf>
    <xf numFmtId="0" fontId="29" fillId="0" borderId="0" applyNumberFormat="0" applyFill="0" applyBorder="0" applyAlignment="0" applyProtection="0">
      <alignment vertical="top"/>
      <protection locked="0"/>
    </xf>
    <xf numFmtId="0" fontId="67" fillId="36" borderId="0"/>
    <xf numFmtId="0" fontId="82" fillId="27" borderId="52" applyNumberFormat="0" applyAlignment="0" applyProtection="0"/>
    <xf numFmtId="0" fontId="82" fillId="27" borderId="52" applyNumberFormat="0" applyAlignment="0" applyProtection="0"/>
    <xf numFmtId="0" fontId="83" fillId="0" borderId="57" applyNumberFormat="0" applyFill="0" applyAlignment="0" applyProtection="0"/>
    <xf numFmtId="0" fontId="83" fillId="0" borderId="57" applyNumberFormat="0" applyFill="0" applyAlignment="0" applyProtection="0"/>
    <xf numFmtId="0" fontId="84" fillId="34" borderId="0" applyNumberFormat="0" applyBorder="0" applyAlignment="0" applyProtection="0"/>
    <xf numFmtId="0" fontId="84" fillId="34" borderId="0" applyNumberFormat="0" applyBorder="0" applyAlignment="0" applyProtection="0"/>
    <xf numFmtId="0" fontId="27" fillId="0" borderId="0"/>
    <xf numFmtId="0" fontId="27" fillId="0" borderId="0"/>
    <xf numFmtId="0" fontId="27" fillId="0" borderId="0"/>
    <xf numFmtId="0" fontId="27" fillId="0" borderId="0"/>
    <xf numFmtId="0" fontId="27" fillId="0" borderId="0"/>
    <xf numFmtId="0" fontId="27" fillId="0" borderId="0"/>
    <xf numFmtId="0" fontId="9" fillId="0" borderId="0"/>
    <xf numFmtId="0" fontId="24" fillId="0" borderId="0"/>
    <xf numFmtId="0" fontId="24" fillId="0" borderId="0"/>
    <xf numFmtId="0" fontId="27" fillId="0" borderId="0"/>
    <xf numFmtId="0" fontId="9" fillId="0" borderId="0"/>
    <xf numFmtId="0" fontId="24" fillId="0" borderId="0"/>
    <xf numFmtId="0" fontId="27" fillId="0" borderId="0"/>
    <xf numFmtId="0" fontId="50" fillId="0" borderId="0"/>
    <xf numFmtId="0" fontId="27" fillId="0" borderId="0"/>
    <xf numFmtId="0" fontId="27" fillId="0" borderId="0"/>
    <xf numFmtId="0" fontId="27" fillId="0" borderId="0"/>
    <xf numFmtId="0" fontId="27" fillId="0" borderId="0"/>
    <xf numFmtId="0" fontId="50" fillId="0" borderId="0"/>
    <xf numFmtId="0" fontId="50" fillId="0" borderId="0"/>
    <xf numFmtId="0" fontId="32" fillId="0" borderId="0"/>
    <xf numFmtId="0" fontId="24" fillId="0" borderId="0"/>
    <xf numFmtId="0" fontId="27" fillId="0" borderId="0" applyNumberFormat="0" applyFill="0" applyBorder="0" applyAlignment="0" applyProtection="0"/>
    <xf numFmtId="0" fontId="24" fillId="0" borderId="0"/>
    <xf numFmtId="0" fontId="27" fillId="0" borderId="0" applyNumberFormat="0" applyFill="0" applyBorder="0" applyAlignment="0" applyProtection="0"/>
    <xf numFmtId="0" fontId="27" fillId="0" borderId="0"/>
    <xf numFmtId="0" fontId="28" fillId="0" borderId="0"/>
    <xf numFmtId="0" fontId="28" fillId="0" borderId="0"/>
    <xf numFmtId="0" fontId="24" fillId="0" borderId="0"/>
    <xf numFmtId="0" fontId="24" fillId="0" borderId="0"/>
    <xf numFmtId="0" fontId="24" fillId="0" borderId="0"/>
    <xf numFmtId="0" fontId="32" fillId="0" borderId="0"/>
    <xf numFmtId="0" fontId="32" fillId="0" borderId="0"/>
    <xf numFmtId="0" fontId="27" fillId="0" borderId="0"/>
    <xf numFmtId="0" fontId="24" fillId="0" borderId="0"/>
    <xf numFmtId="0" fontId="50" fillId="0" borderId="0"/>
    <xf numFmtId="0" fontId="24"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27" fillId="38" borderId="51" applyNumberFormat="0" applyFont="0" applyAlignment="0" applyProtection="0"/>
    <xf numFmtId="0" fontId="32" fillId="38" borderId="51"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32" fillId="9" borderId="50" applyNumberFormat="0" applyFont="0" applyAlignment="0" applyProtection="0"/>
    <xf numFmtId="0" fontId="85" fillId="47" borderId="58" applyNumberFormat="0" applyAlignment="0" applyProtection="0"/>
    <xf numFmtId="0" fontId="85" fillId="47" borderId="58" applyNumberFormat="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27"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24"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32" fillId="0" borderId="0" applyFont="0" applyFill="0" applyBorder="0" applyAlignment="0" applyProtection="0"/>
    <xf numFmtId="9" fontId="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9" fontId="39" fillId="0" borderId="0" applyFont="0" applyFill="0" applyBorder="0" applyAlignment="0" applyProtection="0"/>
    <xf numFmtId="0" fontId="27" fillId="0" borderId="0"/>
    <xf numFmtId="0" fontId="27"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86" fillId="0" borderId="0" applyNumberFormat="0" applyFill="0" applyBorder="0" applyAlignment="0" applyProtection="0"/>
    <xf numFmtId="0" fontId="86" fillId="0" borderId="0" applyNumberFormat="0" applyFill="0" applyBorder="0" applyAlignment="0" applyProtection="0"/>
    <xf numFmtId="0" fontId="87" fillId="0" borderId="59" applyNumberFormat="0" applyFill="0" applyAlignment="0" applyProtection="0"/>
    <xf numFmtId="0" fontId="87" fillId="0" borderId="59" applyNumberFormat="0" applyFill="0" applyAlignment="0" applyProtection="0"/>
    <xf numFmtId="0" fontId="88" fillId="0" borderId="0" applyNumberFormat="0" applyFill="0" applyBorder="0" applyAlignment="0" applyProtection="0"/>
    <xf numFmtId="0" fontId="88" fillId="0" borderId="0" applyNumberFormat="0" applyFill="0" applyBorder="0" applyAlignment="0" applyProtection="0"/>
    <xf numFmtId="43" fontId="32"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9" fillId="0" borderId="0" applyFont="0" applyFill="0" applyBorder="0" applyAlignment="0" applyProtection="0"/>
    <xf numFmtId="43" fontId="27" fillId="0" borderId="0" applyFont="0" applyFill="0" applyBorder="0" applyAlignment="0" applyProtection="0"/>
    <xf numFmtId="0" fontId="30" fillId="0" borderId="0" applyNumberFormat="0" applyFill="0" applyBorder="0" applyAlignment="0" applyProtection="0">
      <alignment vertical="top"/>
      <protection locked="0"/>
    </xf>
    <xf numFmtId="0" fontId="29" fillId="0" borderId="0" applyNumberFormat="0" applyFill="0" applyBorder="0" applyAlignment="0" applyProtection="0">
      <alignment vertical="top"/>
      <protection locked="0"/>
    </xf>
    <xf numFmtId="0" fontId="30" fillId="0" borderId="0" applyNumberFormat="0" applyFill="0" applyBorder="0" applyAlignment="0" applyProtection="0">
      <alignment vertical="top"/>
      <protection locked="0"/>
    </xf>
    <xf numFmtId="0" fontId="64" fillId="0" borderId="0" applyNumberFormat="0" applyFill="0" applyBorder="0" applyAlignment="0" applyProtection="0">
      <alignment vertical="top"/>
      <protection locked="0"/>
    </xf>
    <xf numFmtId="0" fontId="27" fillId="38" borderId="68" applyNumberFormat="0" applyFont="0" applyAlignment="0" applyProtection="0"/>
    <xf numFmtId="0" fontId="27" fillId="0" borderId="0"/>
    <xf numFmtId="0" fontId="27" fillId="0" borderId="0"/>
    <xf numFmtId="0" fontId="27"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9" fontId="9" fillId="0" borderId="0" applyFont="0" applyFill="0" applyBorder="0" applyAlignment="0" applyProtection="0"/>
    <xf numFmtId="0" fontId="31" fillId="0" borderId="0" applyNumberFormat="0" applyFill="0" applyBorder="0" applyAlignment="0" applyProtection="0"/>
    <xf numFmtId="0" fontId="24" fillId="0" borderId="0"/>
    <xf numFmtId="0" fontId="24" fillId="0" borderId="0"/>
    <xf numFmtId="0" fontId="24" fillId="0" borderId="0"/>
    <xf numFmtId="0" fontId="89"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9" fillId="0" borderId="0" applyNumberFormat="0" applyFill="0" applyBorder="0" applyAlignment="0" applyProtection="0"/>
    <xf numFmtId="0" fontId="24" fillId="0" borderId="0"/>
    <xf numFmtId="0" fontId="24" fillId="0" borderId="0"/>
    <xf numFmtId="43" fontId="24" fillId="0" borderId="0" applyFont="0" applyFill="0" applyBorder="0" applyAlignment="0" applyProtection="0"/>
    <xf numFmtId="0" fontId="62" fillId="0" borderId="0"/>
    <xf numFmtId="0" fontId="29" fillId="0" borderId="0" applyNumberFormat="0" applyFill="0" applyBorder="0" applyAlignment="0" applyProtection="0"/>
    <xf numFmtId="0" fontId="24" fillId="0" borderId="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31" fillId="0" borderId="0" applyNumberForma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9" fillId="0" borderId="0" applyNumberForma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91" fillId="0" borderId="7" applyNumberFormat="0" applyFill="0" applyAlignment="0" applyProtection="0"/>
    <xf numFmtId="0" fontId="51" fillId="0" borderId="8" applyNumberFormat="0" applyFill="0" applyAlignment="0" applyProtection="0"/>
    <xf numFmtId="0" fontId="90" fillId="0" borderId="0" applyNumberFormat="0" applyFill="0" applyBorder="0" applyAlignment="0" applyProtection="0"/>
    <xf numFmtId="0" fontId="9" fillId="0" borderId="0"/>
    <xf numFmtId="9" fontId="9" fillId="0" borderId="0" applyFont="0" applyFill="0" applyBorder="0" applyAlignment="0" applyProtection="0"/>
    <xf numFmtId="0" fontId="64" fillId="0" borderId="0" applyNumberFormat="0" applyFill="0" applyBorder="0" applyAlignment="0" applyProtection="0">
      <alignment vertical="top"/>
      <protection locked="0"/>
    </xf>
    <xf numFmtId="0" fontId="9" fillId="0" borderId="0"/>
    <xf numFmtId="0" fontId="9" fillId="0" borderId="0"/>
    <xf numFmtId="0" fontId="27" fillId="0" borderId="0"/>
    <xf numFmtId="0" fontId="27" fillId="0" borderId="0"/>
    <xf numFmtId="0" fontId="9" fillId="0" borderId="0"/>
    <xf numFmtId="43" fontId="9" fillId="0" borderId="0" applyFont="0" applyFill="0" applyBorder="0" applyAlignment="0" applyProtection="0"/>
    <xf numFmtId="0" fontId="9" fillId="0" borderId="0"/>
    <xf numFmtId="43" fontId="27" fillId="0" borderId="0" applyFont="0" applyFill="0" applyBorder="0" applyAlignment="0" applyProtection="0"/>
    <xf numFmtId="0" fontId="9" fillId="0" borderId="0"/>
    <xf numFmtId="0" fontId="29"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27" fillId="0" borderId="0"/>
    <xf numFmtId="0" fontId="9" fillId="0" borderId="0"/>
    <xf numFmtId="9" fontId="9" fillId="0" borderId="0" applyFont="0" applyFill="0" applyBorder="0" applyAlignment="0" applyProtection="0"/>
    <xf numFmtId="0" fontId="9" fillId="0" borderId="0"/>
    <xf numFmtId="0" fontId="9" fillId="0" borderId="0"/>
    <xf numFmtId="0" fontId="9" fillId="0" borderId="0"/>
    <xf numFmtId="9" fontId="9" fillId="0" borderId="0" applyFont="0" applyFill="0" applyBorder="0" applyAlignment="0" applyProtection="0"/>
    <xf numFmtId="0" fontId="9" fillId="0" borderId="0"/>
    <xf numFmtId="0" fontId="9" fillId="0" borderId="0"/>
    <xf numFmtId="0" fontId="9" fillId="0" borderId="0"/>
    <xf numFmtId="0" fontId="9" fillId="0" borderId="0"/>
    <xf numFmtId="43" fontId="9" fillId="0" borderId="0" applyFont="0" applyFill="0" applyBorder="0" applyAlignment="0" applyProtection="0"/>
    <xf numFmtId="0" fontId="27" fillId="0" borderId="0"/>
    <xf numFmtId="43" fontId="24" fillId="0" borderId="0" applyFont="0" applyFill="0" applyBorder="0" applyAlignment="0" applyProtection="0"/>
    <xf numFmtId="0" fontId="9" fillId="0" borderId="0"/>
    <xf numFmtId="43" fontId="9" fillId="0" borderId="0" applyFont="0" applyFill="0" applyBorder="0" applyAlignment="0" applyProtection="0"/>
    <xf numFmtId="0" fontId="9" fillId="0" borderId="0"/>
    <xf numFmtId="43" fontId="24" fillId="0" borderId="0" applyFont="0" applyFill="0" applyBorder="0" applyAlignment="0" applyProtection="0"/>
    <xf numFmtId="9" fontId="9" fillId="0" borderId="0" applyFont="0" applyFill="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63" fillId="0" borderId="0">
      <alignment horizontal="left"/>
    </xf>
    <xf numFmtId="4" fontId="63" fillId="34" borderId="0"/>
    <xf numFmtId="168" fontId="63" fillId="0" borderId="0">
      <alignment horizontal="right"/>
    </xf>
    <xf numFmtId="0" fontId="63" fillId="0" borderId="0">
      <alignment horizontal="left"/>
    </xf>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32" fillId="38" borderId="51" applyNumberFormat="0" applyFont="0" applyAlignment="0" applyProtection="0"/>
    <xf numFmtId="0" fontId="32" fillId="38" borderId="51"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0" fontId="32" fillId="38" borderId="51" applyNumberFormat="0" applyFont="0" applyAlignment="0" applyProtection="0"/>
    <xf numFmtId="0" fontId="32" fillId="38" borderId="51" applyNumberFormat="0" applyFont="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4" fillId="47" borderId="52" applyNumberFormat="0" applyAlignment="0" applyProtection="0"/>
    <xf numFmtId="0" fontId="74" fillId="47" borderId="52" applyNumberFormat="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43" fontId="39" fillId="0" borderId="0" applyFont="0" applyFill="0" applyBorder="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32" fillId="38" borderId="51" applyNumberFormat="0" applyFont="0" applyAlignment="0" applyProtection="0"/>
    <xf numFmtId="0" fontId="32" fillId="38" borderId="51" applyNumberFormat="0" applyFont="0" applyAlignment="0" applyProtection="0"/>
    <xf numFmtId="0" fontId="32" fillId="38" borderId="51" applyNumberFormat="0" applyFont="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2" fillId="38" borderId="51" applyNumberFormat="0" applyFont="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82" fillId="27" borderId="52" applyNumberFormat="0" applyAlignment="0" applyProtection="0"/>
    <xf numFmtId="0" fontId="82" fillId="27" borderId="52" applyNumberFormat="0" applyAlignment="0" applyProtection="0"/>
    <xf numFmtId="0" fontId="9" fillId="0" borderId="0"/>
    <xf numFmtId="0" fontId="9" fillId="0" borderId="0"/>
    <xf numFmtId="0" fontId="27" fillId="38" borderId="51" applyNumberFormat="0" applyFont="0" applyAlignment="0" applyProtection="0"/>
    <xf numFmtId="0" fontId="32" fillId="38" borderId="51" applyNumberFormat="0" applyFont="0" applyAlignment="0" applyProtection="0"/>
    <xf numFmtId="0" fontId="85" fillId="47" borderId="58" applyNumberFormat="0" applyAlignment="0" applyProtection="0"/>
    <xf numFmtId="0" fontId="85" fillId="47" borderId="58" applyNumberFormat="0" applyAlignment="0" applyProtection="0"/>
    <xf numFmtId="9" fontId="9" fillId="0" borderId="0" applyFont="0" applyFill="0" applyBorder="0" applyAlignment="0" applyProtection="0"/>
    <xf numFmtId="0" fontId="87" fillId="0" borderId="59" applyNumberFormat="0" applyFill="0" applyAlignment="0" applyProtection="0"/>
    <xf numFmtId="0" fontId="87" fillId="0" borderId="59" applyNumberFormat="0" applyFill="0" applyAlignment="0" applyProtection="0"/>
    <xf numFmtId="43" fontId="32"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9" fillId="0" borderId="0"/>
    <xf numFmtId="0" fontId="9" fillId="0" borderId="0"/>
    <xf numFmtId="0" fontId="9" fillId="0" borderId="0"/>
    <xf numFmtId="0" fontId="9" fillId="0" borderId="0"/>
    <xf numFmtId="43" fontId="27" fillId="0" borderId="0" applyFont="0" applyFill="0" applyBorder="0" applyAlignment="0" applyProtection="0"/>
    <xf numFmtId="43" fontId="27" fillId="0" borderId="0" applyFont="0" applyFill="0" applyBorder="0" applyAlignment="0" applyProtection="0"/>
    <xf numFmtId="43" fontId="9" fillId="0" borderId="0" applyFont="0" applyFill="0" applyBorder="0" applyAlignment="0" applyProtection="0"/>
    <xf numFmtId="0" fontId="9" fillId="0" borderId="0"/>
    <xf numFmtId="43" fontId="24" fillId="0" borderId="0" applyFont="0" applyFill="0" applyBorder="0" applyAlignment="0" applyProtection="0"/>
    <xf numFmtId="9" fontId="9" fillId="0" borderId="0" applyFont="0" applyFill="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32" fillId="38" borderId="51" applyNumberFormat="0" applyFont="0" applyAlignment="0" applyProtection="0"/>
    <xf numFmtId="0" fontId="32" fillId="38" borderId="51"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0" fontId="32" fillId="38" borderId="51" applyNumberFormat="0" applyFont="0" applyAlignment="0" applyProtection="0"/>
    <xf numFmtId="0" fontId="32" fillId="38" borderId="51" applyNumberFormat="0" applyFont="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9" fillId="0" borderId="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74" fillId="47" borderId="52" applyNumberFormat="0" applyAlignment="0" applyProtection="0"/>
    <xf numFmtId="0" fontId="74" fillId="47" borderId="52" applyNumberFormat="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43" fontId="39" fillId="0" borderId="0" applyFont="0" applyFill="0" applyBorder="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32" fillId="38" borderId="51" applyNumberFormat="0" applyFont="0" applyAlignment="0" applyProtection="0"/>
    <xf numFmtId="0" fontId="32" fillId="38" borderId="51" applyNumberFormat="0" applyFont="0" applyAlignment="0" applyProtection="0"/>
    <xf numFmtId="0" fontId="32" fillId="38" borderId="51" applyNumberFormat="0" applyFont="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32" fillId="38" borderId="51" applyNumberFormat="0" applyFont="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0" fontId="9" fillId="0" borderId="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0"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2"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4"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6"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18"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20"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1"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3"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5"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7"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19"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21" borderId="0" applyNumberFormat="0" applyBorder="0" applyAlignment="0" applyProtection="0"/>
    <xf numFmtId="0" fontId="9" fillId="0" borderId="0"/>
    <xf numFmtId="0" fontId="9" fillId="0" borderId="0"/>
    <xf numFmtId="0" fontId="9" fillId="0" borderId="0"/>
    <xf numFmtId="0" fontId="9" fillId="0" borderId="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0" fontId="9" fillId="9" borderId="50" applyNumberFormat="0" applyFon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9" fillId="0" borderId="0"/>
    <xf numFmtId="43" fontId="9" fillId="0" borderId="0" applyFont="0" applyFill="0" applyBorder="0" applyAlignment="0" applyProtection="0"/>
    <xf numFmtId="9" fontId="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82" fillId="27" borderId="52" applyNumberFormat="0" applyAlignment="0" applyProtection="0"/>
    <xf numFmtId="0" fontId="82" fillId="27" borderId="52" applyNumberFormat="0" applyAlignment="0" applyProtection="0"/>
    <xf numFmtId="0" fontId="9" fillId="0" borderId="0"/>
    <xf numFmtId="0" fontId="9" fillId="0" borderId="0"/>
    <xf numFmtId="0" fontId="27" fillId="38" borderId="51" applyNumberFormat="0" applyFont="0" applyAlignment="0" applyProtection="0"/>
    <xf numFmtId="0" fontId="32" fillId="38" borderId="51" applyNumberFormat="0" applyFont="0" applyAlignment="0" applyProtection="0"/>
    <xf numFmtId="0" fontId="85" fillId="47" borderId="58" applyNumberFormat="0" applyAlignment="0" applyProtection="0"/>
    <xf numFmtId="0" fontId="85" fillId="47" borderId="58" applyNumberFormat="0" applyAlignment="0" applyProtection="0"/>
    <xf numFmtId="9" fontId="9" fillId="0" borderId="0" applyFont="0" applyFill="0" applyBorder="0" applyAlignment="0" applyProtection="0"/>
    <xf numFmtId="0" fontId="87" fillId="0" borderId="59" applyNumberFormat="0" applyFill="0" applyAlignment="0" applyProtection="0"/>
    <xf numFmtId="0" fontId="87" fillId="0" borderId="59" applyNumberFormat="0" applyFill="0" applyAlignment="0" applyProtection="0"/>
    <xf numFmtId="43" fontId="32"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9" fillId="0" borderId="0" applyFont="0" applyFill="0" applyBorder="0" applyAlignment="0" applyProtection="0"/>
    <xf numFmtId="43" fontId="27" fillId="0" borderId="0" applyFont="0" applyFill="0" applyBorder="0" applyAlignment="0" applyProtection="0"/>
    <xf numFmtId="9" fontId="9"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9" fillId="0" borderId="0"/>
    <xf numFmtId="0" fontId="9"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43" fontId="24" fillId="0" borderId="0" applyFont="0" applyFill="0" applyBorder="0" applyAlignment="0" applyProtection="0"/>
    <xf numFmtId="0" fontId="9" fillId="0" borderId="0"/>
    <xf numFmtId="43" fontId="24" fillId="0" borderId="0" applyFont="0" applyFill="0" applyBorder="0" applyAlignment="0" applyProtection="0"/>
    <xf numFmtId="0" fontId="9" fillId="0" borderId="0"/>
    <xf numFmtId="0" fontId="9" fillId="0" borderId="0"/>
    <xf numFmtId="9" fontId="9" fillId="0" borderId="0" applyFont="0" applyFill="0" applyBorder="0" applyAlignment="0" applyProtection="0"/>
    <xf numFmtId="43" fontId="27" fillId="0" borderId="0" applyFont="0" applyFill="0" applyBorder="0" applyAlignment="0" applyProtection="0"/>
    <xf numFmtId="0" fontId="9" fillId="0" borderId="0"/>
    <xf numFmtId="0" fontId="55" fillId="0" borderId="7" applyNumberFormat="0" applyFill="0" applyAlignment="0" applyProtection="0"/>
    <xf numFmtId="0" fontId="9" fillId="0" borderId="0"/>
    <xf numFmtId="0" fontId="22" fillId="0" borderId="0" applyNumberFormat="0" applyFont="0" applyFill="0" applyAlignment="0" applyProtection="0"/>
    <xf numFmtId="43" fontId="9" fillId="0" borderId="0" applyFont="0" applyFill="0" applyBorder="0" applyAlignment="0" applyProtection="0"/>
    <xf numFmtId="0" fontId="9" fillId="0" borderId="0"/>
    <xf numFmtId="0" fontId="9" fillId="0" borderId="0"/>
    <xf numFmtId="3" fontId="9" fillId="0" borderId="0" applyProtection="0"/>
    <xf numFmtId="0" fontId="9" fillId="0" borderId="0"/>
    <xf numFmtId="0" fontId="55" fillId="0" borderId="7" applyNumberFormat="0" applyFill="0" applyAlignment="0" applyProtection="0"/>
    <xf numFmtId="0" fontId="29" fillId="0" borderId="0" applyNumberFormat="0" applyFill="0" applyBorder="0" applyAlignment="0" applyProtection="0">
      <alignment vertical="top"/>
      <protection locked="0"/>
    </xf>
    <xf numFmtId="0" fontId="29" fillId="0" borderId="0" applyNumberFormat="0" applyFill="0" applyBorder="0" applyAlignment="0" applyProtection="0"/>
    <xf numFmtId="0" fontId="9" fillId="0" borderId="0"/>
    <xf numFmtId="43" fontId="9" fillId="0" borderId="0" applyFont="0" applyFill="0" applyBorder="0" applyAlignment="0" applyProtection="0"/>
    <xf numFmtId="3" fontId="9" fillId="0" borderId="0" applyProtection="0"/>
    <xf numFmtId="43" fontId="27" fillId="0" borderId="0" applyFont="0" applyFill="0" applyBorder="0" applyAlignment="0" applyProtection="0"/>
    <xf numFmtId="43" fontId="27" fillId="0" borderId="0" applyFont="0" applyFill="0" applyBorder="0" applyAlignment="0" applyProtection="0"/>
    <xf numFmtId="3" fontId="9" fillId="0" borderId="0" applyProtection="0"/>
    <xf numFmtId="0" fontId="9" fillId="0" borderId="0"/>
    <xf numFmtId="0" fontId="9" fillId="0" borderId="0"/>
    <xf numFmtId="43" fontId="9" fillId="0" borderId="0" applyFont="0" applyFill="0" applyBorder="0" applyAlignment="0" applyProtection="0"/>
    <xf numFmtId="0" fontId="9" fillId="0" borderId="0"/>
    <xf numFmtId="0" fontId="9" fillId="0" borderId="0"/>
    <xf numFmtId="0" fontId="41" fillId="0" borderId="0">
      <alignment vertical="center" wrapText="1"/>
    </xf>
    <xf numFmtId="2" fontId="25" fillId="2" borderId="0" applyFont="0" applyAlignment="0">
      <alignment horizontal="left" wrapText="1"/>
    </xf>
    <xf numFmtId="43" fontId="9" fillId="0" borderId="0" applyFont="0" applyFill="0" applyBorder="0" applyAlignment="0" applyProtection="0"/>
    <xf numFmtId="0" fontId="24" fillId="0" borderId="0"/>
    <xf numFmtId="9" fontId="9" fillId="0" borderId="0" applyFont="0" applyFill="0" applyBorder="0" applyAlignment="0" applyProtection="0"/>
    <xf numFmtId="3" fontId="9" fillId="0" borderId="0" applyProtection="0"/>
    <xf numFmtId="0" fontId="9" fillId="0" borderId="0"/>
    <xf numFmtId="43" fontId="9" fillId="0" borderId="0" applyFont="0" applyFill="0" applyBorder="0" applyAlignment="0" applyProtection="0"/>
    <xf numFmtId="3" fontId="9" fillId="0" borderId="0" applyProtection="0"/>
    <xf numFmtId="0" fontId="9" fillId="0" borderId="0"/>
    <xf numFmtId="0" fontId="28" fillId="0" borderId="0" applyNumberFormat="0" applyFont="0" applyBorder="0" applyProtection="0"/>
    <xf numFmtId="0" fontId="30" fillId="0" borderId="0" applyNumberFormat="0" applyFill="0" applyBorder="0" applyAlignment="0" applyProtection="0"/>
    <xf numFmtId="3" fontId="9" fillId="0" borderId="0" applyProtection="0"/>
    <xf numFmtId="43" fontId="24" fillId="0" borderId="0" applyFont="0" applyFill="0" applyBorder="0" applyAlignment="0" applyProtection="0"/>
    <xf numFmtId="0" fontId="9" fillId="0" borderId="0"/>
    <xf numFmtId="43" fontId="24" fillId="0" borderId="0" applyFont="0" applyFill="0" applyBorder="0" applyAlignment="0" applyProtection="0"/>
    <xf numFmtId="0" fontId="9" fillId="0" borderId="0"/>
    <xf numFmtId="0" fontId="32" fillId="38" borderId="68"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8" applyNumberFormat="0" applyFont="0" applyAlignment="0" applyProtection="0"/>
    <xf numFmtId="0" fontId="32" fillId="38" borderId="64"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4" applyNumberFormat="0" applyFont="0" applyAlignment="0" applyProtection="0"/>
    <xf numFmtId="0" fontId="32" fillId="38" borderId="68" applyNumberFormat="0" applyFont="0" applyAlignment="0" applyProtection="0"/>
    <xf numFmtId="0" fontId="85" fillId="47" borderId="66" applyNumberFormat="0" applyAlignment="0" applyProtection="0"/>
    <xf numFmtId="0" fontId="74" fillId="47" borderId="61" applyNumberFormat="0" applyAlignment="0" applyProtection="0"/>
    <xf numFmtId="0" fontId="74" fillId="47" borderId="61" applyNumberFormat="0" applyAlignment="0" applyProtection="0"/>
    <xf numFmtId="0" fontId="32" fillId="38" borderId="64" applyNumberFormat="0" applyFont="0" applyAlignment="0" applyProtection="0"/>
    <xf numFmtId="0" fontId="82" fillId="27" borderId="69" applyNumberFormat="0" applyAlignment="0" applyProtection="0"/>
    <xf numFmtId="0" fontId="74" fillId="47" borderId="65" applyNumberFormat="0" applyAlignment="0" applyProtection="0"/>
    <xf numFmtId="0" fontId="32" fillId="38" borderId="68" applyNumberFormat="0" applyFont="0" applyAlignment="0" applyProtection="0"/>
    <xf numFmtId="0" fontId="32" fillId="38" borderId="68" applyNumberFormat="0" applyFont="0" applyAlignment="0" applyProtection="0"/>
    <xf numFmtId="0" fontId="32" fillId="38" borderId="68"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8" applyNumberFormat="0" applyFont="0" applyAlignment="0" applyProtection="0"/>
    <xf numFmtId="0" fontId="32" fillId="38" borderId="68" applyNumberFormat="0" applyFont="0" applyAlignment="0" applyProtection="0"/>
    <xf numFmtId="0" fontId="87" fillId="0" borderId="71" applyNumberFormat="0" applyFill="0" applyAlignment="0" applyProtection="0"/>
    <xf numFmtId="0" fontId="82" fillId="27" borderId="65" applyNumberFormat="0" applyAlignment="0" applyProtection="0"/>
    <xf numFmtId="0" fontId="32" fillId="38" borderId="64" applyNumberFormat="0" applyFont="0" applyAlignment="0" applyProtection="0"/>
    <xf numFmtId="0" fontId="32" fillId="38" borderId="68" applyNumberFormat="0" applyFont="0" applyAlignment="0" applyProtection="0"/>
    <xf numFmtId="0" fontId="32" fillId="38" borderId="64" applyNumberFormat="0" applyFont="0" applyAlignment="0" applyProtection="0"/>
    <xf numFmtId="0" fontId="82" fillId="27" borderId="69" applyNumberFormat="0" applyAlignment="0" applyProtection="0"/>
    <xf numFmtId="0" fontId="32" fillId="38" borderId="64" applyNumberFormat="0" applyFont="0" applyAlignment="0" applyProtection="0"/>
    <xf numFmtId="0" fontId="85" fillId="47" borderId="70" applyNumberFormat="0" applyAlignment="0" applyProtection="0"/>
    <xf numFmtId="0" fontId="32" fillId="38" borderId="64" applyNumberFormat="0" applyFont="0" applyAlignment="0" applyProtection="0"/>
    <xf numFmtId="0" fontId="82" fillId="27" borderId="61" applyNumberFormat="0" applyAlignment="0" applyProtection="0"/>
    <xf numFmtId="0" fontId="82" fillId="27" borderId="61" applyNumberFormat="0" applyAlignment="0" applyProtection="0"/>
    <xf numFmtId="0" fontId="27" fillId="38" borderId="60" applyNumberFormat="0" applyFont="0" applyAlignment="0" applyProtection="0"/>
    <xf numFmtId="0" fontId="32" fillId="38" borderId="60" applyNumberFormat="0" applyFont="0" applyAlignment="0" applyProtection="0"/>
    <xf numFmtId="0" fontId="74" fillId="47" borderId="65" applyNumberFormat="0" applyAlignment="0" applyProtection="0"/>
    <xf numFmtId="0" fontId="85" fillId="47" borderId="62" applyNumberFormat="0" applyAlignment="0" applyProtection="0"/>
    <xf numFmtId="0" fontId="85" fillId="47" borderId="62" applyNumberFormat="0" applyAlignment="0" applyProtection="0"/>
    <xf numFmtId="0" fontId="32" fillId="38" borderId="68" applyNumberFormat="0" applyFont="0" applyAlignment="0" applyProtection="0"/>
    <xf numFmtId="0" fontId="32" fillId="38" borderId="64" applyNumberFormat="0" applyFont="0" applyAlignment="0" applyProtection="0"/>
    <xf numFmtId="0" fontId="32" fillId="38" borderId="64" applyNumberFormat="0" applyFont="0" applyAlignment="0" applyProtection="0"/>
    <xf numFmtId="0" fontId="32" fillId="38" borderId="68" applyNumberFormat="0" applyFont="0" applyAlignment="0" applyProtection="0"/>
    <xf numFmtId="0" fontId="32" fillId="38" borderId="68" applyNumberFormat="0" applyFont="0" applyAlignment="0" applyProtection="0"/>
    <xf numFmtId="0" fontId="87" fillId="0" borderId="63" applyNumberFormat="0" applyFill="0" applyAlignment="0" applyProtection="0"/>
    <xf numFmtId="0" fontId="87" fillId="0" borderId="63" applyNumberFormat="0" applyFill="0" applyAlignment="0" applyProtection="0"/>
    <xf numFmtId="0" fontId="32" fillId="38" borderId="64" applyNumberFormat="0" applyFont="0" applyAlignment="0" applyProtection="0"/>
    <xf numFmtId="0" fontId="87" fillId="0" borderId="67" applyNumberFormat="0" applyFill="0" applyAlignment="0" applyProtection="0"/>
    <xf numFmtId="0" fontId="32" fillId="38" borderId="64" applyNumberFormat="0" applyFont="0" applyAlignment="0" applyProtection="0"/>
    <xf numFmtId="0" fontId="32" fillId="38" borderId="68" applyNumberFormat="0" applyFont="0" applyAlignment="0" applyProtection="0"/>
    <xf numFmtId="0" fontId="85" fillId="47" borderId="66" applyNumberFormat="0" applyAlignment="0" applyProtection="0"/>
    <xf numFmtId="0" fontId="85" fillId="47" borderId="70" applyNumberFormat="0" applyAlignment="0" applyProtection="0"/>
    <xf numFmtId="0" fontId="32" fillId="38" borderId="64" applyNumberFormat="0" applyFont="0" applyAlignment="0" applyProtection="0"/>
    <xf numFmtId="0" fontId="82" fillId="27" borderId="65" applyNumberFormat="0" applyAlignment="0" applyProtection="0"/>
    <xf numFmtId="0" fontId="32" fillId="38" borderId="68" applyNumberFormat="0" applyFont="0" applyAlignment="0" applyProtection="0"/>
    <xf numFmtId="0" fontId="32" fillId="38" borderId="68" applyNumberFormat="0" applyFont="0" applyAlignment="0" applyProtection="0"/>
    <xf numFmtId="0" fontId="32" fillId="38" borderId="64" applyNumberFormat="0" applyFont="0" applyAlignment="0" applyProtection="0"/>
    <xf numFmtId="0" fontId="32" fillId="38" borderId="64" applyNumberFormat="0" applyFont="0" applyAlignment="0" applyProtection="0"/>
    <xf numFmtId="0" fontId="85" fillId="47" borderId="66" applyNumberFormat="0" applyAlignment="0" applyProtection="0"/>
    <xf numFmtId="0" fontId="87" fillId="0" borderId="71" applyNumberFormat="0" applyFill="0" applyAlignment="0" applyProtection="0"/>
    <xf numFmtId="0" fontId="85" fillId="47" borderId="70" applyNumberFormat="0" applyAlignment="0" applyProtection="0"/>
    <xf numFmtId="0" fontId="32" fillId="38" borderId="68" applyNumberFormat="0" applyFont="0" applyAlignment="0" applyProtection="0"/>
    <xf numFmtId="0" fontId="87" fillId="0" borderId="67" applyNumberFormat="0" applyFill="0" applyAlignment="0" applyProtection="0"/>
    <xf numFmtId="0" fontId="32" fillId="38" borderId="64" applyNumberFormat="0" applyFont="0" applyAlignment="0" applyProtection="0"/>
    <xf numFmtId="0" fontId="74" fillId="47" borderId="65" applyNumberFormat="0" applyAlignment="0" applyProtection="0"/>
    <xf numFmtId="0" fontId="85" fillId="47" borderId="66" applyNumberFormat="0" applyAlignment="0" applyProtection="0"/>
    <xf numFmtId="0" fontId="87" fillId="0" borderId="71" applyNumberFormat="0" applyFill="0" applyAlignment="0" applyProtection="0"/>
    <xf numFmtId="0" fontId="74" fillId="47" borderId="69" applyNumberForma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27" fillId="38" borderId="64" applyNumberFormat="0" applyFont="0" applyAlignment="0" applyProtection="0"/>
    <xf numFmtId="0" fontId="32" fillId="38" borderId="64" applyNumberFormat="0" applyFont="0" applyAlignment="0" applyProtection="0"/>
    <xf numFmtId="0" fontId="85" fillId="47" borderId="70" applyNumberFormat="0" applyAlignment="0" applyProtection="0"/>
    <xf numFmtId="0" fontId="74" fillId="47" borderId="61" applyNumberFormat="0" applyAlignment="0" applyProtection="0"/>
    <xf numFmtId="0" fontId="74" fillId="47" borderId="61" applyNumberFormat="0" applyAlignment="0" applyProtection="0"/>
    <xf numFmtId="0" fontId="87" fillId="0" borderId="71" applyNumberFormat="0" applyFill="0" applyAlignment="0" applyProtection="0"/>
    <xf numFmtId="0" fontId="32" fillId="38" borderId="64" applyNumberFormat="0" applyFont="0" applyAlignment="0" applyProtection="0"/>
    <xf numFmtId="0" fontId="82" fillId="27" borderId="65" applyNumberFormat="0" applyAlignment="0" applyProtection="0"/>
    <xf numFmtId="0" fontId="74" fillId="47" borderId="65" applyNumberForma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27" fillId="38" borderId="64" applyNumberFormat="0" applyFont="0" applyAlignment="0" applyProtection="0"/>
    <xf numFmtId="0" fontId="32" fillId="38" borderId="64" applyNumberFormat="0" applyFont="0" applyAlignment="0" applyProtection="0"/>
    <xf numFmtId="0" fontId="32" fillId="38" borderId="68" applyNumberFormat="0" applyFont="0" applyAlignment="0" applyProtection="0"/>
    <xf numFmtId="0" fontId="32" fillId="38" borderId="68" applyNumberFormat="0" applyFont="0" applyAlignment="0" applyProtection="0"/>
    <xf numFmtId="0" fontId="32" fillId="38" borderId="64" applyNumberFormat="0" applyFont="0" applyAlignment="0" applyProtection="0"/>
    <xf numFmtId="0" fontId="82" fillId="27" borderId="69" applyNumberFormat="0" applyAlignment="0" applyProtection="0"/>
    <xf numFmtId="0" fontId="32" fillId="38" borderId="68" applyNumberFormat="0" applyFont="0" applyAlignment="0" applyProtection="0"/>
    <xf numFmtId="0" fontId="32" fillId="38" borderId="64" applyNumberFormat="0" applyFont="0" applyAlignment="0" applyProtection="0"/>
    <xf numFmtId="0" fontId="32" fillId="38" borderId="64" applyNumberFormat="0" applyFont="0" applyAlignment="0" applyProtection="0"/>
    <xf numFmtId="0" fontId="82" fillId="27" borderId="61" applyNumberFormat="0" applyAlignment="0" applyProtection="0"/>
    <xf numFmtId="0" fontId="82" fillId="27" borderId="61" applyNumberFormat="0" applyAlignment="0" applyProtection="0"/>
    <xf numFmtId="0" fontId="27" fillId="38" borderId="60" applyNumberFormat="0" applyFont="0" applyAlignment="0" applyProtection="0"/>
    <xf numFmtId="0" fontId="32" fillId="38" borderId="60" applyNumberFormat="0" applyFont="0" applyAlignment="0" applyProtection="0"/>
    <xf numFmtId="0" fontId="85" fillId="47" borderId="62" applyNumberFormat="0" applyAlignment="0" applyProtection="0"/>
    <xf numFmtId="0" fontId="85" fillId="47" borderId="62" applyNumberFormat="0" applyAlignment="0" applyProtection="0"/>
    <xf numFmtId="0" fontId="87" fillId="0" borderId="63" applyNumberFormat="0" applyFill="0" applyAlignment="0" applyProtection="0"/>
    <xf numFmtId="0" fontId="87" fillId="0" borderId="63" applyNumberFormat="0" applyFill="0" applyAlignment="0" applyProtection="0"/>
    <xf numFmtId="0" fontId="32" fillId="38" borderId="68" applyNumberFormat="0" applyFont="0" applyAlignment="0" applyProtection="0"/>
    <xf numFmtId="0" fontId="32" fillId="38" borderId="68" applyNumberFormat="0" applyFont="0" applyAlignment="0" applyProtection="0"/>
    <xf numFmtId="0" fontId="32" fillId="38" borderId="68" applyNumberFormat="0" applyFont="0" applyAlignment="0" applyProtection="0"/>
    <xf numFmtId="0" fontId="82" fillId="27" borderId="65" applyNumberFormat="0" applyAlignment="0" applyProtection="0"/>
    <xf numFmtId="0" fontId="85" fillId="47" borderId="66" applyNumberFormat="0" applyAlignment="0" applyProtection="0"/>
    <xf numFmtId="0" fontId="85" fillId="47" borderId="70" applyNumberFormat="0" applyAlignment="0" applyProtection="0"/>
    <xf numFmtId="0" fontId="32" fillId="38" borderId="68" applyNumberFormat="0" applyFont="0" applyAlignment="0" applyProtection="0"/>
    <xf numFmtId="0" fontId="87" fillId="0" borderId="67" applyNumberFormat="0" applyFill="0" applyAlignment="0" applyProtection="0"/>
    <xf numFmtId="0" fontId="32" fillId="38" borderId="64"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82" fillId="27" borderId="69" applyNumberFormat="0" applyAlignment="0" applyProtection="0"/>
    <xf numFmtId="0" fontId="32" fillId="38" borderId="64" applyNumberFormat="0" applyFont="0" applyAlignment="0" applyProtection="0"/>
    <xf numFmtId="0" fontId="32" fillId="38" borderId="64" applyNumberFormat="0" applyFont="0" applyAlignment="0" applyProtection="0"/>
    <xf numFmtId="0" fontId="74" fillId="47" borderId="65" applyNumberFormat="0" applyAlignment="0" applyProtection="0"/>
    <xf numFmtId="0" fontId="74" fillId="47" borderId="61" applyNumberFormat="0" applyAlignment="0" applyProtection="0"/>
    <xf numFmtId="0" fontId="74" fillId="47" borderId="61" applyNumberFormat="0" applyAlignment="0" applyProtection="0"/>
    <xf numFmtId="0" fontId="74" fillId="47" borderId="69" applyNumberFormat="0" applyAlignment="0" applyProtection="0"/>
    <xf numFmtId="0" fontId="74" fillId="47" borderId="69" applyNumberFormat="0" applyAlignment="0" applyProtection="0"/>
    <xf numFmtId="0" fontId="82" fillId="27" borderId="69" applyNumberFormat="0" applyAlignment="0" applyProtection="0"/>
    <xf numFmtId="0" fontId="32" fillId="38" borderId="68"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32" fillId="38" borderId="60" applyNumberFormat="0" applyFont="0" applyAlignment="0" applyProtection="0"/>
    <xf numFmtId="0" fontId="87" fillId="0" borderId="67" applyNumberFormat="0" applyFill="0" applyAlignment="0" applyProtection="0"/>
    <xf numFmtId="0" fontId="32" fillId="38" borderId="60" applyNumberFormat="0" applyFont="0" applyAlignment="0" applyProtection="0"/>
    <xf numFmtId="0" fontId="85" fillId="47" borderId="66" applyNumberFormat="0" applyAlignment="0" applyProtection="0"/>
    <xf numFmtId="0" fontId="87" fillId="0" borderId="67" applyNumberFormat="0" applyFill="0" applyAlignment="0" applyProtection="0"/>
    <xf numFmtId="0" fontId="74" fillId="47" borderId="69" applyNumberFormat="0" applyAlignment="0" applyProtection="0"/>
    <xf numFmtId="0" fontId="74" fillId="47" borderId="69" applyNumberFormat="0" applyAlignment="0" applyProtection="0"/>
    <xf numFmtId="0" fontId="74" fillId="47" borderId="65" applyNumberFormat="0" applyAlignment="0" applyProtection="0"/>
    <xf numFmtId="0" fontId="32" fillId="38" borderId="64" applyNumberFormat="0" applyFont="0" applyAlignment="0" applyProtection="0"/>
    <xf numFmtId="0" fontId="82" fillId="27" borderId="69" applyNumberFormat="0" applyAlignment="0" applyProtection="0"/>
    <xf numFmtId="0" fontId="82" fillId="27" borderId="61" applyNumberFormat="0" applyAlignment="0" applyProtection="0"/>
    <xf numFmtId="0" fontId="82" fillId="27" borderId="61" applyNumberFormat="0" applyAlignment="0" applyProtection="0"/>
    <xf numFmtId="0" fontId="27" fillId="38" borderId="60" applyNumberFormat="0" applyFont="0" applyAlignment="0" applyProtection="0"/>
    <xf numFmtId="0" fontId="32" fillId="38" borderId="60" applyNumberFormat="0" applyFont="0" applyAlignment="0" applyProtection="0"/>
    <xf numFmtId="0" fontId="85" fillId="47" borderId="62" applyNumberFormat="0" applyAlignment="0" applyProtection="0"/>
    <xf numFmtId="0" fontId="85" fillId="47" borderId="62" applyNumberFormat="0" applyAlignment="0" applyProtection="0"/>
    <xf numFmtId="0" fontId="87" fillId="0" borderId="63" applyNumberFormat="0" applyFill="0" applyAlignment="0" applyProtection="0"/>
    <xf numFmtId="0" fontId="87" fillId="0" borderId="63" applyNumberFormat="0" applyFill="0" applyAlignment="0" applyProtection="0"/>
    <xf numFmtId="0" fontId="32" fillId="38" borderId="68" applyNumberFormat="0" applyFont="0" applyAlignment="0" applyProtection="0"/>
    <xf numFmtId="0" fontId="82" fillId="27" borderId="65" applyNumberFormat="0" applyAlignment="0" applyProtection="0"/>
    <xf numFmtId="0" fontId="32" fillId="38" borderId="64" applyNumberFormat="0" applyFont="0" applyAlignment="0" applyProtection="0"/>
    <xf numFmtId="0" fontId="32" fillId="38" borderId="68" applyNumberFormat="0" applyFont="0" applyAlignment="0" applyProtection="0"/>
    <xf numFmtId="0" fontId="82" fillId="27" borderId="65" applyNumberFormat="0" applyAlignment="0" applyProtection="0"/>
    <xf numFmtId="0" fontId="87" fillId="0" borderId="71" applyNumberFormat="0" applyFill="0" applyAlignment="0" applyProtection="0"/>
    <xf numFmtId="0" fontId="27" fillId="38" borderId="68" applyNumberFormat="0" applyFont="0" applyAlignment="0" applyProtection="0"/>
    <xf numFmtId="0" fontId="87" fillId="0" borderId="67" applyNumberFormat="0" applyFill="0" applyAlignment="0" applyProtection="0"/>
    <xf numFmtId="0" fontId="85" fillId="47" borderId="70" applyNumberFormat="0" applyAlignment="0" applyProtection="0"/>
    <xf numFmtId="0" fontId="74" fillId="47" borderId="69" applyNumberFormat="0" applyAlignment="0" applyProtection="0"/>
    <xf numFmtId="0" fontId="87" fillId="0" borderId="71" applyNumberFormat="0" applyFill="0" applyAlignment="0" applyProtection="0"/>
    <xf numFmtId="0" fontId="27" fillId="38" borderId="64" applyNumberFormat="0" applyFont="0" applyAlignment="0" applyProtection="0"/>
    <xf numFmtId="0" fontId="32" fillId="38" borderId="68" applyNumberFormat="0" applyFont="0" applyAlignment="0" applyProtection="0"/>
    <xf numFmtId="0" fontId="27" fillId="38" borderId="68" applyNumberFormat="0" applyFont="0" applyAlignment="0" applyProtection="0"/>
    <xf numFmtId="0" fontId="32" fillId="38" borderId="64" applyNumberFormat="0" applyFont="0" applyAlignment="0" applyProtection="0"/>
    <xf numFmtId="0" fontId="5" fillId="0" borderId="0"/>
    <xf numFmtId="0" fontId="5" fillId="0" borderId="0"/>
    <xf numFmtId="0" fontId="5" fillId="0" borderId="0"/>
    <xf numFmtId="0" fontId="5" fillId="0" borderId="0"/>
    <xf numFmtId="0" fontId="32" fillId="38" borderId="74" applyNumberFormat="0" applyFont="0" applyAlignment="0" applyProtection="0"/>
    <xf numFmtId="0" fontId="5" fillId="0" borderId="0"/>
    <xf numFmtId="43" fontId="27" fillId="0" borderId="0" applyFont="0" applyFill="0" applyBorder="0" applyAlignment="0" applyProtection="0"/>
    <xf numFmtId="43" fontId="5" fillId="0" borderId="0" applyFont="0" applyFill="0" applyBorder="0" applyAlignment="0" applyProtection="0"/>
    <xf numFmtId="0" fontId="5" fillId="0" borderId="0"/>
    <xf numFmtId="43" fontId="24" fillId="0" borderId="0" applyFont="0" applyFill="0" applyBorder="0" applyAlignment="0" applyProtection="0"/>
    <xf numFmtId="9" fontId="5" fillId="0" borderId="0" applyFont="0" applyFill="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85" fillId="47" borderId="76" applyNumberForma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32" fillId="38" borderId="74" applyNumberFormat="0" applyFont="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0" fontId="32" fillId="38" borderId="74" applyNumberFormat="0" applyFont="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43" fontId="39" fillId="0" borderId="0" applyFont="0" applyFill="0" applyBorder="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74" fillId="47" borderId="75" applyNumberFormat="0" applyAlignment="0" applyProtection="0"/>
    <xf numFmtId="43" fontId="32"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5" fillId="0" borderId="0" applyFont="0" applyFill="0" applyBorder="0" applyAlignment="0" applyProtection="0"/>
    <xf numFmtId="43" fontId="27" fillId="0" borderId="0" applyFont="0" applyFill="0" applyBorder="0" applyAlignment="0" applyProtection="0"/>
    <xf numFmtId="0" fontId="85" fillId="47" borderId="76" applyNumberFormat="0" applyAlignment="0" applyProtection="0"/>
    <xf numFmtId="0" fontId="74" fillId="47" borderId="75" applyNumberFormat="0" applyAlignment="0" applyProtection="0"/>
    <xf numFmtId="9" fontId="5" fillId="0" borderId="0" applyFont="0" applyFill="0" applyBorder="0" applyAlignment="0" applyProtection="0"/>
    <xf numFmtId="43" fontId="24" fillId="0" borderId="0" applyFont="0" applyFill="0" applyBorder="0" applyAlignment="0" applyProtection="0"/>
    <xf numFmtId="0" fontId="82" fillId="27" borderId="75" applyNumberFormat="0" applyAlignment="0" applyProtection="0"/>
    <xf numFmtId="0" fontId="82" fillId="27" borderId="75" applyNumberFormat="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43" fontId="5" fillId="0" borderId="0" applyFont="0" applyFill="0" applyBorder="0" applyAlignment="0" applyProtection="0"/>
    <xf numFmtId="0" fontId="5" fillId="0" borderId="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43" fontId="5" fillId="0" borderId="0" applyFont="0" applyFill="0" applyBorder="0" applyAlignment="0" applyProtection="0"/>
    <xf numFmtId="43" fontId="24" fillId="0" borderId="0" applyFont="0" applyFill="0" applyBorder="0" applyAlignment="0" applyProtection="0"/>
    <xf numFmtId="0" fontId="5" fillId="0" borderId="0"/>
    <xf numFmtId="43" fontId="5" fillId="0" borderId="0" applyFont="0" applyFill="0" applyBorder="0" applyAlignment="0" applyProtection="0"/>
    <xf numFmtId="0" fontId="5" fillId="0" borderId="0"/>
    <xf numFmtId="43" fontId="24" fillId="0" borderId="0" applyFont="0" applyFill="0" applyBorder="0" applyAlignment="0" applyProtection="0"/>
    <xf numFmtId="9" fontId="5" fillId="0" borderId="0" applyFont="0" applyFill="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43" fontId="39" fillId="0" borderId="0" applyFont="0" applyFill="0" applyBorder="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43" fontId="32"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5" fillId="0" borderId="0" applyFont="0" applyFill="0" applyBorder="0" applyAlignment="0" applyProtection="0"/>
    <xf numFmtId="9" fontId="5"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0" fontId="5" fillId="0" borderId="0"/>
    <xf numFmtId="0" fontId="5" fillId="0" borderId="0"/>
    <xf numFmtId="0" fontId="5" fillId="0" borderId="0"/>
    <xf numFmtId="0" fontId="5" fillId="0" borderId="0"/>
    <xf numFmtId="43" fontId="27" fillId="0" borderId="0" applyFont="0" applyFill="0" applyBorder="0" applyAlignment="0" applyProtection="0"/>
    <xf numFmtId="43" fontId="27" fillId="0" borderId="0" applyFont="0" applyFill="0" applyBorder="0" applyAlignment="0" applyProtection="0"/>
    <xf numFmtId="43" fontId="5" fillId="0" borderId="0" applyFont="0" applyFill="0" applyBorder="0" applyAlignment="0" applyProtection="0"/>
    <xf numFmtId="0" fontId="5" fillId="0" borderId="0"/>
    <xf numFmtId="43" fontId="24" fillId="0" borderId="0" applyFont="0" applyFill="0" applyBorder="0" applyAlignment="0" applyProtection="0"/>
    <xf numFmtId="9" fontId="5" fillId="0" borderId="0" applyFont="0" applyFill="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4"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43" fontId="39" fillId="0" borderId="0" applyFont="0" applyFill="0" applyBorder="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5" fillId="0" borderId="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0"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4"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18"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3"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7"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21" borderId="0" applyNumberFormat="0" applyBorder="0" applyAlignment="0" applyProtection="0"/>
    <xf numFmtId="0" fontId="5" fillId="0" borderId="0"/>
    <xf numFmtId="0" fontId="5" fillId="0" borderId="0"/>
    <xf numFmtId="0" fontId="5" fillId="0" borderId="0"/>
    <xf numFmtId="0" fontId="5" fillId="0" borderId="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0" fontId="5" fillId="9" borderId="50"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27"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43" fontId="39"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43" fontId="32"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43" fontId="5" fillId="0" borderId="0" applyFont="0" applyFill="0" applyBorder="0" applyAlignment="0" applyProtection="0"/>
    <xf numFmtId="43" fontId="27" fillId="0" borderId="0" applyFont="0" applyFill="0" applyBorder="0" applyAlignment="0" applyProtection="0"/>
    <xf numFmtId="9" fontId="5"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7"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43" fontId="24" fillId="0" borderId="0" applyFont="0" applyFill="0" applyBorder="0" applyAlignment="0" applyProtection="0"/>
    <xf numFmtId="0" fontId="5" fillId="0" borderId="0"/>
    <xf numFmtId="43" fontId="24"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43" fontId="27" fillId="0" borderId="0" applyFont="0" applyFill="0" applyBorder="0" applyAlignment="0" applyProtection="0"/>
    <xf numFmtId="0" fontId="5" fillId="0" borderId="0"/>
    <xf numFmtId="0" fontId="5" fillId="0" borderId="0"/>
    <xf numFmtId="0" fontId="74" fillId="47" borderId="75" applyNumberFormat="0" applyAlignment="0" applyProtection="0"/>
    <xf numFmtId="43" fontId="5" fillId="0" borderId="0" applyFont="0" applyFill="0" applyBorder="0" applyAlignment="0" applyProtection="0"/>
    <xf numFmtId="0" fontId="5" fillId="0" borderId="0"/>
    <xf numFmtId="0" fontId="5" fillId="0" borderId="0"/>
    <xf numFmtId="3" fontId="5" fillId="0" borderId="0" applyProtection="0"/>
    <xf numFmtId="0" fontId="5" fillId="0" borderId="0"/>
    <xf numFmtId="0" fontId="5" fillId="0" borderId="0"/>
    <xf numFmtId="43" fontId="5" fillId="0" borderId="0" applyFont="0" applyFill="0" applyBorder="0" applyAlignment="0" applyProtection="0"/>
    <xf numFmtId="3" fontId="5" fillId="0" borderId="0" applyProtection="0"/>
    <xf numFmtId="43" fontId="27" fillId="0" borderId="0" applyFont="0" applyFill="0" applyBorder="0" applyAlignment="0" applyProtection="0"/>
    <xf numFmtId="3" fontId="5" fillId="0" borderId="0" applyProtection="0"/>
    <xf numFmtId="0" fontId="5" fillId="0" borderId="0"/>
    <xf numFmtId="0" fontId="5" fillId="0" borderId="0"/>
    <xf numFmtId="43" fontId="5" fillId="0" borderId="0" applyFont="0" applyFill="0" applyBorder="0" applyAlignment="0" applyProtection="0"/>
    <xf numFmtId="0" fontId="5" fillId="0" borderId="0"/>
    <xf numFmtId="0" fontId="5" fillId="0" borderId="0"/>
    <xf numFmtId="43" fontId="5" fillId="0" borderId="0" applyFont="0" applyFill="0" applyBorder="0" applyAlignment="0" applyProtection="0"/>
    <xf numFmtId="9" fontId="5" fillId="0" borderId="0" applyFont="0" applyFill="0" applyBorder="0" applyAlignment="0" applyProtection="0"/>
    <xf numFmtId="3" fontId="5" fillId="0" borderId="0" applyProtection="0"/>
    <xf numFmtId="0" fontId="5" fillId="0" borderId="0"/>
    <xf numFmtId="43" fontId="5" fillId="0" borderId="0" applyFont="0" applyFill="0" applyBorder="0" applyAlignment="0" applyProtection="0"/>
    <xf numFmtId="3" fontId="5" fillId="0" borderId="0" applyProtection="0"/>
    <xf numFmtId="0" fontId="5" fillId="0" borderId="0"/>
    <xf numFmtId="3" fontId="5" fillId="0" borderId="0" applyProtection="0"/>
    <xf numFmtId="43" fontId="24" fillId="0" borderId="0" applyFont="0" applyFill="0" applyBorder="0" applyAlignment="0" applyProtection="0"/>
    <xf numFmtId="0" fontId="5" fillId="0" borderId="0"/>
    <xf numFmtId="43" fontId="24" fillId="0" borderId="0" applyFont="0" applyFill="0" applyBorder="0" applyAlignment="0" applyProtection="0"/>
    <xf numFmtId="0" fontId="5" fillId="0" borderId="0"/>
    <xf numFmtId="0" fontId="74" fillId="47" borderId="75" applyNumberFormat="0" applyAlignment="0" applyProtection="0"/>
    <xf numFmtId="0" fontId="32" fillId="38" borderId="74" applyNumberFormat="0" applyFont="0" applyAlignment="0" applyProtection="0"/>
    <xf numFmtId="0" fontId="32" fillId="38" borderId="74" applyNumberFormat="0" applyFont="0" applyAlignment="0" applyProtection="0"/>
    <xf numFmtId="0" fontId="32" fillId="38" borderId="74" applyNumberFormat="0" applyFont="0" applyAlignment="0" applyProtection="0"/>
    <xf numFmtId="0" fontId="27" fillId="38" borderId="74" applyNumberFormat="0" applyFont="0" applyAlignment="0" applyProtection="0"/>
    <xf numFmtId="0" fontId="32" fillId="38" borderId="74" applyNumberFormat="0" applyFont="0" applyAlignment="0" applyProtection="0"/>
    <xf numFmtId="0" fontId="32" fillId="38" borderId="74" applyNumberFormat="0" applyFont="0" applyAlignment="0" applyProtection="0"/>
    <xf numFmtId="0" fontId="87" fillId="0" borderId="77" applyNumberFormat="0" applyFill="0" applyAlignment="0" applyProtection="0"/>
    <xf numFmtId="0" fontId="32" fillId="38" borderId="74" applyNumberFormat="0" applyFont="0" applyAlignment="0" applyProtection="0"/>
    <xf numFmtId="0" fontId="74" fillId="47" borderId="75" applyNumberFormat="0" applyAlignment="0" applyProtection="0"/>
    <xf numFmtId="0" fontId="32" fillId="38" borderId="74" applyNumberFormat="0" applyFont="0" applyAlignment="0" applyProtection="0"/>
    <xf numFmtId="0" fontId="27" fillId="38" borderId="74" applyNumberFormat="0" applyFont="0" applyAlignment="0" applyProtection="0"/>
    <xf numFmtId="0" fontId="32" fillId="38" borderId="74" applyNumberFormat="0" applyFont="0" applyAlignment="0" applyProtection="0"/>
    <xf numFmtId="0" fontId="32" fillId="38" borderId="74" applyNumberFormat="0" applyFont="0" applyAlignment="0" applyProtection="0"/>
    <xf numFmtId="0" fontId="85" fillId="47" borderId="76" applyNumberFormat="0" applyAlignment="0" applyProtection="0"/>
    <xf numFmtId="0" fontId="32" fillId="38" borderId="74" applyNumberFormat="0" applyFont="0" applyAlignment="0" applyProtection="0"/>
    <xf numFmtId="0" fontId="32" fillId="38" borderId="74" applyNumberFormat="0" applyFont="0" applyAlignment="0" applyProtection="0"/>
    <xf numFmtId="0" fontId="87" fillId="0" borderId="77" applyNumberFormat="0" applyFill="0" applyAlignment="0" applyProtection="0"/>
    <xf numFmtId="0" fontId="32" fillId="38" borderId="74" applyNumberFormat="0" applyFont="0" applyAlignment="0" applyProtection="0"/>
    <xf numFmtId="0" fontId="32" fillId="38" borderId="74" applyNumberFormat="0" applyFont="0" applyAlignment="0" applyProtection="0"/>
    <xf numFmtId="0" fontId="32" fillId="38" borderId="74" applyNumberFormat="0" applyFont="0" applyAlignment="0" applyProtection="0"/>
    <xf numFmtId="0" fontId="32" fillId="38" borderId="74" applyNumberFormat="0" applyFont="0" applyAlignment="0" applyProtection="0"/>
    <xf numFmtId="0" fontId="87" fillId="0" borderId="77" applyNumberFormat="0" applyFill="0" applyAlignment="0" applyProtection="0"/>
    <xf numFmtId="0" fontId="85" fillId="47" borderId="76" applyNumberFormat="0" applyAlignment="0" applyProtection="0"/>
    <xf numFmtId="0" fontId="32" fillId="38" borderId="74" applyNumberFormat="0" applyFont="0" applyAlignment="0" applyProtection="0"/>
    <xf numFmtId="0" fontId="87" fillId="0" borderId="77" applyNumberFormat="0" applyFill="0" applyAlignment="0" applyProtection="0"/>
    <xf numFmtId="0" fontId="82" fillId="27" borderId="75" applyNumberFormat="0" applyAlignment="0" applyProtection="0"/>
    <xf numFmtId="0" fontId="74" fillId="47" borderId="75" applyNumberFormat="0" applyAlignment="0" applyProtection="0"/>
    <xf numFmtId="0" fontId="32" fillId="38" borderId="74" applyNumberFormat="0" applyFont="0" applyAlignment="0" applyProtection="0"/>
    <xf numFmtId="0" fontId="32" fillId="38" borderId="74" applyNumberFormat="0" applyFont="0" applyAlignment="0" applyProtection="0"/>
    <xf numFmtId="0" fontId="82" fillId="27" borderId="75" applyNumberFormat="0" applyAlignment="0" applyProtection="0"/>
    <xf numFmtId="0" fontId="87" fillId="0" borderId="77" applyNumberFormat="0" applyFill="0" applyAlignment="0" applyProtection="0"/>
    <xf numFmtId="0" fontId="32" fillId="38" borderId="74" applyNumberFormat="0" applyFont="0" applyAlignment="0" applyProtection="0"/>
    <xf numFmtId="0" fontId="85" fillId="47" borderId="76" applyNumberFormat="0" applyAlignment="0" applyProtection="0"/>
    <xf numFmtId="0" fontId="32" fillId="38" borderId="74" applyNumberFormat="0" applyFont="0" applyAlignment="0" applyProtection="0"/>
    <xf numFmtId="0" fontId="32" fillId="38" borderId="74" applyNumberFormat="0" applyFont="0" applyAlignment="0" applyProtection="0"/>
    <xf numFmtId="0" fontId="27" fillId="38" borderId="74" applyNumberFormat="0" applyFont="0" applyAlignment="0" applyProtection="0"/>
    <xf numFmtId="0" fontId="87" fillId="0" borderId="77" applyNumberFormat="0" applyFill="0" applyAlignment="0" applyProtection="0"/>
    <xf numFmtId="0" fontId="32" fillId="38" borderId="74" applyNumberFormat="0" applyFont="0" applyAlignment="0" applyProtection="0"/>
    <xf numFmtId="0" fontId="85" fillId="47" borderId="76" applyNumberFormat="0" applyAlignment="0" applyProtection="0"/>
    <xf numFmtId="0" fontId="32" fillId="38" borderId="74" applyNumberFormat="0" applyFont="0" applyAlignment="0" applyProtection="0"/>
    <xf numFmtId="0" fontId="82" fillId="27" borderId="75" applyNumberFormat="0" applyAlignment="0" applyProtection="0"/>
    <xf numFmtId="0" fontId="32" fillId="38" borderId="74" applyNumberFormat="0" applyFont="0" applyAlignment="0" applyProtection="0"/>
    <xf numFmtId="0" fontId="82" fillId="27" borderId="75" applyNumberFormat="0" applyAlignment="0" applyProtection="0"/>
  </cellStyleXfs>
  <cellXfs count="886">
    <xf numFmtId="0" fontId="0" fillId="0" borderId="0" xfId="0"/>
    <xf numFmtId="0" fontId="20" fillId="0" borderId="0" xfId="0" applyFont="1"/>
    <xf numFmtId="0" fontId="21" fillId="0" borderId="0" xfId="0" applyFont="1"/>
    <xf numFmtId="0" fontId="22" fillId="0" borderId="1" xfId="0" applyFont="1" applyBorder="1" applyAlignment="1">
      <alignment horizontal="left" vertical="center" wrapText="1"/>
    </xf>
    <xf numFmtId="0" fontId="22" fillId="0" borderId="0" xfId="0" applyFont="1" applyAlignment="1">
      <alignment wrapText="1"/>
    </xf>
    <xf numFmtId="3" fontId="22" fillId="0" borderId="0" xfId="0" applyNumberFormat="1" applyFont="1" applyAlignment="1">
      <alignment horizontal="right" wrapText="1"/>
    </xf>
    <xf numFmtId="3" fontId="22" fillId="0" borderId="2" xfId="0" applyNumberFormat="1" applyFont="1" applyBorder="1" applyAlignment="1">
      <alignment horizontal="right" wrapText="1"/>
    </xf>
    <xf numFmtId="0" fontId="20" fillId="0" borderId="0" xfId="0" applyFont="1" applyAlignment="1">
      <alignment wrapText="1"/>
    </xf>
    <xf numFmtId="3" fontId="20" fillId="0" borderId="0" xfId="0" applyNumberFormat="1" applyFont="1" applyAlignment="1">
      <alignment horizontal="right" wrapText="1"/>
    </xf>
    <xf numFmtId="3" fontId="20" fillId="0" borderId="2" xfId="0" applyNumberFormat="1" applyFont="1" applyBorder="1" applyAlignment="1">
      <alignment horizontal="right" wrapText="1"/>
    </xf>
    <xf numFmtId="0" fontId="20" fillId="0" borderId="1" xfId="0" applyFont="1" applyBorder="1" applyAlignment="1">
      <alignment wrapText="1"/>
    </xf>
    <xf numFmtId="3" fontId="20" fillId="0" borderId="1" xfId="0" applyNumberFormat="1" applyFont="1" applyBorder="1" applyAlignment="1">
      <alignment horizontal="right" wrapText="1"/>
    </xf>
    <xf numFmtId="3" fontId="20" fillId="0" borderId="3" xfId="0" applyNumberFormat="1" applyFont="1" applyBorder="1" applyAlignment="1">
      <alignment horizontal="right" wrapText="1"/>
    </xf>
    <xf numFmtId="164" fontId="22" fillId="0" borderId="0" xfId="0" applyNumberFormat="1" applyFont="1" applyAlignment="1">
      <alignment horizontal="right" wrapText="1"/>
    </xf>
    <xf numFmtId="164" fontId="22" fillId="0" borderId="2" xfId="0" applyNumberFormat="1" applyFont="1" applyBorder="1" applyAlignment="1">
      <alignment horizontal="right" wrapText="1"/>
    </xf>
    <xf numFmtId="164" fontId="20" fillId="0" borderId="0" xfId="0" applyNumberFormat="1" applyFont="1" applyAlignment="1">
      <alignment horizontal="right" wrapText="1"/>
    </xf>
    <xf numFmtId="164" fontId="20" fillId="0" borderId="2" xfId="0" applyNumberFormat="1" applyFont="1" applyBorder="1" applyAlignment="1">
      <alignment horizontal="right" wrapText="1"/>
    </xf>
    <xf numFmtId="164" fontId="20" fillId="0" borderId="1" xfId="0" applyNumberFormat="1" applyFont="1" applyBorder="1" applyAlignment="1">
      <alignment horizontal="right" wrapText="1"/>
    </xf>
    <xf numFmtId="164" fontId="20" fillId="0" borderId="3" xfId="0" applyNumberFormat="1" applyFont="1" applyBorder="1" applyAlignment="1">
      <alignment horizontal="right" wrapText="1"/>
    </xf>
    <xf numFmtId="0" fontId="26" fillId="2" borderId="0" xfId="1" applyFill="1" applyAlignment="1">
      <alignment vertical="top" wrapText="1"/>
    </xf>
    <xf numFmtId="0" fontId="20" fillId="0" borderId="0" xfId="2" applyFont="1" applyAlignment="1">
      <alignment vertical="top" wrapText="1"/>
    </xf>
    <xf numFmtId="0" fontId="22" fillId="0" borderId="0" xfId="2" applyFont="1" applyAlignment="1">
      <alignment vertical="top" wrapText="1"/>
    </xf>
    <xf numFmtId="0" fontId="28" fillId="0" borderId="0" xfId="2" applyFont="1" applyAlignment="1">
      <alignment vertical="top" wrapText="1"/>
    </xf>
    <xf numFmtId="0" fontId="30" fillId="0" borderId="0" xfId="3" applyFont="1" applyAlignment="1">
      <alignment vertical="top" wrapText="1"/>
    </xf>
    <xf numFmtId="0" fontId="30" fillId="0" borderId="0" xfId="3" applyFont="1" applyFill="1" applyAlignment="1">
      <alignment vertical="top"/>
    </xf>
    <xf numFmtId="0" fontId="22" fillId="0" borderId="4" xfId="0" applyFont="1" applyBorder="1" applyAlignment="1">
      <alignment vertical="top" wrapText="1"/>
    </xf>
    <xf numFmtId="0" fontId="30" fillId="0" borderId="0" xfId="3" applyFont="1" applyAlignment="1">
      <alignment horizontal="left" vertical="top" wrapText="1"/>
    </xf>
    <xf numFmtId="0" fontId="22" fillId="0" borderId="5" xfId="0" applyFont="1" applyBorder="1" applyAlignment="1">
      <alignment vertical="top" wrapText="1"/>
    </xf>
    <xf numFmtId="0" fontId="30" fillId="0" borderId="0" xfId="4" applyFill="1" applyAlignment="1">
      <alignment vertical="top" wrapText="1"/>
    </xf>
    <xf numFmtId="0" fontId="20" fillId="2" borderId="0" xfId="5" applyFont="1" applyFill="1" applyAlignment="1">
      <alignment vertical="top" wrapText="1"/>
    </xf>
    <xf numFmtId="0" fontId="20" fillId="0" borderId="0" xfId="2" applyFont="1"/>
    <xf numFmtId="0" fontId="22" fillId="0" borderId="6" xfId="0" applyFont="1" applyBorder="1" applyAlignment="1">
      <alignment horizontal="left" vertical="center" wrapText="1"/>
    </xf>
    <xf numFmtId="0" fontId="26" fillId="0" borderId="0" xfId="1"/>
    <xf numFmtId="0" fontId="22" fillId="0" borderId="0" xfId="0" applyFont="1"/>
    <xf numFmtId="0" fontId="20" fillId="0" borderId="1" xfId="0" applyFont="1" applyBorder="1" applyAlignment="1">
      <alignment horizontal="right" wrapText="1"/>
    </xf>
    <xf numFmtId="3" fontId="20" fillId="0" borderId="0" xfId="0" applyNumberFormat="1" applyFont="1" applyAlignment="1">
      <alignment horizontal="center" wrapText="1"/>
    </xf>
    <xf numFmtId="0" fontId="20" fillId="0" borderId="0" xfId="7" applyFont="1" applyAlignment="1">
      <alignment horizontal="left" vertical="top"/>
    </xf>
    <xf numFmtId="3" fontId="20" fillId="0" borderId="0" xfId="0" applyNumberFormat="1" applyFont="1" applyAlignment="1">
      <alignment horizontal="center" vertical="top" wrapText="1"/>
    </xf>
    <xf numFmtId="0" fontId="19" fillId="0" borderId="0" xfId="1" applyFont="1" applyAlignment="1">
      <alignment vertical="top"/>
    </xf>
    <xf numFmtId="0" fontId="0" fillId="0" borderId="0" xfId="0" applyAlignment="1">
      <alignment vertical="top"/>
    </xf>
    <xf numFmtId="0" fontId="22" fillId="0" borderId="0" xfId="1" applyFont="1" applyAlignment="1">
      <alignment vertical="top"/>
    </xf>
    <xf numFmtId="0" fontId="22" fillId="0" borderId="0" xfId="0" applyFont="1" applyAlignment="1">
      <alignment horizontal="left" vertical="top" wrapText="1"/>
    </xf>
    <xf numFmtId="0" fontId="25" fillId="0" borderId="0" xfId="0" applyFont="1" applyAlignment="1">
      <alignment horizontal="left" vertical="top" wrapText="1"/>
    </xf>
    <xf numFmtId="0" fontId="0" fillId="0" borderId="0" xfId="0" applyAlignment="1">
      <alignment horizontal="left" vertical="top" wrapText="1"/>
    </xf>
    <xf numFmtId="3" fontId="20" fillId="0" borderId="0" xfId="0" applyNumberFormat="1" applyFont="1" applyAlignment="1">
      <alignment horizontal="left" vertical="top" wrapText="1"/>
    </xf>
    <xf numFmtId="0" fontId="26" fillId="0" borderId="0" xfId="1" applyAlignment="1">
      <alignment vertical="top"/>
    </xf>
    <xf numFmtId="0" fontId="30" fillId="3" borderId="0" xfId="4" quotePrefix="1" applyFill="1" applyAlignment="1">
      <alignment vertical="top" wrapText="1"/>
    </xf>
    <xf numFmtId="0" fontId="30" fillId="3" borderId="0" xfId="4" quotePrefix="1" applyFill="1" applyBorder="1" applyAlignment="1">
      <alignment vertical="top" wrapText="1"/>
    </xf>
    <xf numFmtId="3" fontId="20" fillId="0" borderId="1" xfId="0" applyNumberFormat="1" applyFont="1" applyBorder="1" applyAlignment="1">
      <alignment horizontal="center" wrapText="1"/>
    </xf>
    <xf numFmtId="0" fontId="20" fillId="0" borderId="0" xfId="0" applyFont="1" applyAlignment="1">
      <alignment vertical="top"/>
    </xf>
    <xf numFmtId="0" fontId="22" fillId="0" borderId="0" xfId="0" applyFont="1" applyAlignment="1">
      <alignment vertical="top"/>
    </xf>
    <xf numFmtId="0" fontId="21" fillId="0" borderId="0" xfId="0" applyFont="1" applyAlignment="1">
      <alignment vertical="top" wrapText="1"/>
    </xf>
    <xf numFmtId="0" fontId="18" fillId="0" borderId="0" xfId="0" applyFont="1" applyAlignment="1">
      <alignment horizontal="left" vertical="top"/>
    </xf>
    <xf numFmtId="0" fontId="20" fillId="0" borderId="0" xfId="0" applyFont="1" applyAlignment="1">
      <alignment horizontal="left" vertical="top"/>
    </xf>
    <xf numFmtId="0" fontId="26" fillId="2" borderId="0" xfId="1" applyFill="1" applyAlignment="1">
      <alignment vertical="center" wrapText="1"/>
    </xf>
    <xf numFmtId="0" fontId="22" fillId="0" borderId="0" xfId="0" applyFont="1" applyAlignment="1">
      <alignment horizontal="left" vertical="top"/>
    </xf>
    <xf numFmtId="0" fontId="20" fillId="0" borderId="0" xfId="0" applyFont="1" applyAlignment="1">
      <alignment vertical="top" wrapText="1"/>
    </xf>
    <xf numFmtId="0" fontId="20" fillId="0" borderId="0" xfId="0" applyFont="1" applyAlignment="1">
      <alignment horizontal="left" wrapText="1" indent="1"/>
    </xf>
    <xf numFmtId="0" fontId="20" fillId="0" borderId="0" xfId="0" applyFont="1" applyAlignment="1">
      <alignment horizontal="left" wrapText="1" indent="2"/>
    </xf>
    <xf numFmtId="0" fontId="20" fillId="0" borderId="0" xfId="0" applyFont="1" applyAlignment="1">
      <alignment horizontal="left" wrapText="1" indent="3"/>
    </xf>
    <xf numFmtId="0" fontId="20" fillId="0" borderId="0" xfId="0" applyFont="1" applyAlignment="1">
      <alignment horizontal="left" wrapText="1" indent="4"/>
    </xf>
    <xf numFmtId="0" fontId="21" fillId="0" borderId="0" xfId="16" applyFont="1" applyFill="1" applyAlignment="1">
      <alignment vertical="top" wrapText="1"/>
    </xf>
    <xf numFmtId="0" fontId="21" fillId="0" borderId="0" xfId="16" applyFont="1" applyFill="1" applyAlignment="1">
      <alignment horizontal="left" vertical="top" wrapText="1"/>
    </xf>
    <xf numFmtId="0" fontId="22" fillId="0" borderId="0" xfId="9" applyFont="1" applyFill="1" applyBorder="1" applyAlignment="1">
      <alignment horizontal="left" vertical="top"/>
    </xf>
    <xf numFmtId="0" fontId="25" fillId="0" borderId="0" xfId="10" applyFont="1" applyAlignment="1">
      <alignment horizontal="left" vertical="top"/>
    </xf>
    <xf numFmtId="3" fontId="20" fillId="0" borderId="0" xfId="11" applyFont="1" applyAlignment="1">
      <alignment vertical="top" wrapText="1"/>
    </xf>
    <xf numFmtId="0" fontId="20" fillId="0" borderId="0" xfId="7" applyFont="1" applyAlignment="1">
      <alignment horizontal="center" vertical="top"/>
    </xf>
    <xf numFmtId="0" fontId="30" fillId="0" borderId="0" xfId="3" applyFont="1" applyFill="1" applyAlignment="1">
      <alignment vertical="top" wrapText="1"/>
    </xf>
    <xf numFmtId="0" fontId="17" fillId="0" borderId="0" xfId="13" applyAlignment="1">
      <alignment vertical="top" wrapText="1"/>
    </xf>
    <xf numFmtId="0" fontId="28" fillId="0" borderId="0" xfId="14" applyFont="1" applyAlignment="1">
      <alignment horizontal="center" vertical="top"/>
    </xf>
    <xf numFmtId="0" fontId="20" fillId="0" borderId="0" xfId="10" applyFont="1" applyAlignment="1">
      <alignment horizontal="center" vertical="top"/>
    </xf>
    <xf numFmtId="0" fontId="20" fillId="0" borderId="0" xfId="10" applyFont="1" applyAlignment="1">
      <alignment vertical="top" wrapText="1"/>
    </xf>
    <xf numFmtId="0" fontId="20" fillId="0" borderId="0" xfId="10" applyFont="1" applyAlignment="1">
      <alignment vertical="top"/>
    </xf>
    <xf numFmtId="3" fontId="32" fillId="0" borderId="0" xfId="11" applyFont="1" applyAlignment="1">
      <alignment vertical="top" wrapText="1"/>
    </xf>
    <xf numFmtId="0" fontId="20" fillId="0" borderId="0" xfId="14" applyFont="1" applyAlignment="1">
      <alignment vertical="top" wrapText="1"/>
    </xf>
    <xf numFmtId="0" fontId="20" fillId="0" borderId="0" xfId="15" applyFont="1" applyAlignment="1">
      <alignment vertical="top" wrapText="1"/>
    </xf>
    <xf numFmtId="0" fontId="20" fillId="0" borderId="0" xfId="14" applyFont="1" applyAlignment="1">
      <alignment horizontal="left" vertical="top" wrapText="1"/>
    </xf>
    <xf numFmtId="3" fontId="17" fillId="0" borderId="0" xfId="11" applyAlignment="1">
      <alignment vertical="top" wrapText="1"/>
    </xf>
    <xf numFmtId="0" fontId="17" fillId="0" borderId="0" xfId="14" applyAlignment="1">
      <alignment horizontal="center" vertical="top"/>
    </xf>
    <xf numFmtId="0" fontId="28" fillId="0" borderId="0" xfId="14" applyFont="1" applyAlignment="1">
      <alignment horizontal="left" vertical="top" wrapText="1"/>
    </xf>
    <xf numFmtId="0" fontId="20" fillId="0" borderId="0" xfId="17" applyFont="1" applyAlignment="1">
      <alignment vertical="top"/>
    </xf>
    <xf numFmtId="0" fontId="25" fillId="0" borderId="0" xfId="10" applyFont="1" applyAlignment="1">
      <alignment horizontal="left" vertical="top" wrapText="1"/>
    </xf>
    <xf numFmtId="0" fontId="22" fillId="0" borderId="0" xfId="16" applyFont="1" applyFill="1" applyAlignment="1">
      <alignment horizontal="left" vertical="top" wrapText="1"/>
    </xf>
    <xf numFmtId="3" fontId="26" fillId="0" borderId="0" xfId="9" quotePrefix="1" applyNumberFormat="1" applyFill="1" applyBorder="1" applyAlignment="1">
      <alignment horizontal="left"/>
    </xf>
    <xf numFmtId="0" fontId="20" fillId="0" borderId="0" xfId="4" applyFont="1" applyFill="1" applyBorder="1" applyAlignment="1">
      <alignment vertical="center"/>
    </xf>
    <xf numFmtId="0" fontId="21" fillId="0" borderId="0" xfId="4" applyFont="1" applyFill="1" applyBorder="1" applyAlignment="1">
      <alignment vertical="center"/>
    </xf>
    <xf numFmtId="0" fontId="25" fillId="0" borderId="1" xfId="18" applyFont="1" applyBorder="1" applyAlignment="1">
      <alignment horizontal="left" vertical="center" wrapText="1"/>
    </xf>
    <xf numFmtId="0" fontId="25" fillId="0" borderId="1" xfId="0" applyFont="1" applyBorder="1" applyAlignment="1">
      <alignment horizontal="right" vertical="center" wrapText="1"/>
    </xf>
    <xf numFmtId="0" fontId="25" fillId="0" borderId="1" xfId="0" quotePrefix="1" applyFont="1" applyBorder="1" applyAlignment="1">
      <alignment horizontal="right" vertical="center" wrapText="1"/>
    </xf>
    <xf numFmtId="0" fontId="20" fillId="0" borderId="0" xfId="18" applyFont="1" applyAlignment="1">
      <alignment horizontal="left" vertical="center" wrapText="1"/>
    </xf>
    <xf numFmtId="3" fontId="20" fillId="0" borderId="1" xfId="19" applyNumberFormat="1" applyFont="1" applyBorder="1" applyAlignment="1">
      <alignment horizontal="left" vertical="center" wrapText="1"/>
    </xf>
    <xf numFmtId="0" fontId="34" fillId="0" borderId="0" xfId="10" applyFont="1" applyAlignment="1">
      <alignment horizontal="left" vertical="center"/>
    </xf>
    <xf numFmtId="0" fontId="20" fillId="2" borderId="0" xfId="10" applyFont="1" applyFill="1" applyAlignment="1">
      <alignment horizontal="center" vertical="center"/>
    </xf>
    <xf numFmtId="0" fontId="20" fillId="2" borderId="0" xfId="14" applyFont="1" applyFill="1" applyAlignment="1">
      <alignment vertical="top" wrapText="1"/>
    </xf>
    <xf numFmtId="0" fontId="21" fillId="0" borderId="0" xfId="4" applyFont="1" applyFill="1" applyAlignment="1">
      <alignment vertical="top"/>
    </xf>
    <xf numFmtId="0" fontId="25" fillId="0" borderId="0" xfId="10" applyFont="1" applyAlignment="1">
      <alignment horizontal="left" vertical="center"/>
    </xf>
    <xf numFmtId="0" fontId="25" fillId="0" borderId="0" xfId="10" applyFont="1" applyAlignment="1">
      <alignment horizontal="left" vertical="center" wrapText="1"/>
    </xf>
    <xf numFmtId="3" fontId="20" fillId="0" borderId="0" xfId="10" applyNumberFormat="1" applyFont="1" applyAlignment="1">
      <alignment horizontal="left" vertical="top" wrapText="1"/>
    </xf>
    <xf numFmtId="3" fontId="22" fillId="0" borderId="0" xfId="10" applyNumberFormat="1" applyFont="1" applyAlignment="1">
      <alignment horizontal="left" vertical="top"/>
    </xf>
    <xf numFmtId="0" fontId="22" fillId="0" borderId="6" xfId="0" applyFont="1" applyBorder="1" applyAlignment="1">
      <alignment horizontal="right" vertical="center" wrapText="1"/>
    </xf>
    <xf numFmtId="0" fontId="26" fillId="0" borderId="0" xfId="9" applyBorder="1" applyAlignment="1">
      <alignment horizontal="left" vertical="top"/>
    </xf>
    <xf numFmtId="0" fontId="20" fillId="0" borderId="0" xfId="7" applyFont="1" applyAlignment="1">
      <alignment horizontal="left" vertical="center"/>
    </xf>
    <xf numFmtId="3" fontId="20" fillId="0" borderId="0" xfId="11" applyFont="1" applyAlignment="1">
      <alignment vertical="center" wrapText="1"/>
    </xf>
    <xf numFmtId="3" fontId="0" fillId="2" borderId="0" xfId="11" applyFont="1" applyFill="1" applyAlignment="1">
      <alignment vertical="center" wrapText="1"/>
    </xf>
    <xf numFmtId="0" fontId="30" fillId="0" borderId="0" xfId="4" applyAlignment="1">
      <alignment vertical="center" wrapText="1"/>
    </xf>
    <xf numFmtId="0" fontId="20" fillId="0" borderId="0" xfId="17" applyFont="1" applyAlignment="1">
      <alignment vertical="top" wrapText="1"/>
    </xf>
    <xf numFmtId="3" fontId="20" fillId="2" borderId="0" xfId="11" applyFont="1" applyFill="1" applyAlignment="1">
      <alignment vertical="top" wrapText="1"/>
    </xf>
    <xf numFmtId="0" fontId="21" fillId="2" borderId="0" xfId="16" applyFont="1" applyFill="1" applyAlignment="1">
      <alignment vertical="top" wrapText="1"/>
    </xf>
    <xf numFmtId="0" fontId="20" fillId="2" borderId="0" xfId="21" applyFont="1" applyFill="1" applyAlignment="1">
      <alignment vertical="top" wrapText="1"/>
    </xf>
    <xf numFmtId="0" fontId="20" fillId="2" borderId="0" xfId="10" applyFont="1" applyFill="1" applyAlignment="1">
      <alignment vertical="top" wrapText="1"/>
    </xf>
    <xf numFmtId="3" fontId="21" fillId="0" borderId="0" xfId="0" applyNumberFormat="1" applyFont="1" applyAlignment="1">
      <alignment horizontal="left" vertical="top" wrapText="1"/>
    </xf>
    <xf numFmtId="3" fontId="22" fillId="0" borderId="0" xfId="0" applyNumberFormat="1" applyFont="1" applyAlignment="1">
      <alignment horizontal="right" vertical="center" wrapText="1"/>
    </xf>
    <xf numFmtId="3" fontId="22" fillId="0" borderId="2" xfId="0" applyNumberFormat="1" applyFont="1" applyBorder="1" applyAlignment="1">
      <alignment horizontal="right" vertical="center" wrapText="1"/>
    </xf>
    <xf numFmtId="3" fontId="20" fillId="0" borderId="0" xfId="0" applyNumberFormat="1" applyFont="1" applyAlignment="1">
      <alignment horizontal="right" vertical="center" wrapText="1"/>
    </xf>
    <xf numFmtId="3" fontId="20" fillId="0" borderId="2" xfId="0" applyNumberFormat="1" applyFont="1" applyBorder="1" applyAlignment="1">
      <alignment horizontal="right" vertical="center" wrapText="1"/>
    </xf>
    <xf numFmtId="3" fontId="20" fillId="0" borderId="1" xfId="0" applyNumberFormat="1" applyFont="1" applyBorder="1" applyAlignment="1">
      <alignment horizontal="right" vertical="center" wrapText="1"/>
    </xf>
    <xf numFmtId="3" fontId="20" fillId="0" borderId="3" xfId="0" applyNumberFormat="1" applyFont="1" applyBorder="1" applyAlignment="1">
      <alignment horizontal="right" vertical="center" wrapText="1"/>
    </xf>
    <xf numFmtId="164" fontId="22" fillId="0" borderId="0" xfId="0" applyNumberFormat="1" applyFont="1" applyAlignment="1">
      <alignment horizontal="right" vertical="center" wrapText="1"/>
    </xf>
    <xf numFmtId="164" fontId="22" fillId="0" borderId="2" xfId="0" applyNumberFormat="1" applyFont="1" applyBorder="1" applyAlignment="1">
      <alignment horizontal="right" vertical="center" wrapText="1"/>
    </xf>
    <xf numFmtId="164" fontId="20" fillId="0" borderId="0" xfId="0" applyNumberFormat="1" applyFont="1" applyAlignment="1">
      <alignment horizontal="right" vertical="center" wrapText="1"/>
    </xf>
    <xf numFmtId="164" fontId="20" fillId="0" borderId="2" xfId="0" applyNumberFormat="1" applyFont="1" applyBorder="1" applyAlignment="1">
      <alignment horizontal="right" vertical="center" wrapText="1"/>
    </xf>
    <xf numFmtId="164" fontId="20" fillId="0" borderId="1" xfId="0" applyNumberFormat="1" applyFont="1" applyBorder="1" applyAlignment="1">
      <alignment horizontal="right" vertical="center" wrapText="1"/>
    </xf>
    <xf numFmtId="164" fontId="20" fillId="0" borderId="3" xfId="0" applyNumberFormat="1" applyFont="1" applyBorder="1" applyAlignment="1">
      <alignment horizontal="right" vertical="center" wrapText="1"/>
    </xf>
    <xf numFmtId="0" fontId="0" fillId="0" borderId="0" xfId="0" applyAlignment="1">
      <alignment horizontal="right" vertical="center"/>
    </xf>
    <xf numFmtId="0" fontId="0" fillId="0" borderId="0" xfId="0" applyAlignment="1">
      <alignment horizontal="right"/>
    </xf>
    <xf numFmtId="0" fontId="22" fillId="0" borderId="1" xfId="0" applyFont="1" applyBorder="1" applyAlignment="1">
      <alignment horizontal="right" vertical="center" wrapText="1"/>
    </xf>
    <xf numFmtId="0" fontId="22" fillId="0" borderId="0" xfId="18" quotePrefix="1" applyFont="1" applyAlignment="1">
      <alignment horizontal="right" vertical="center"/>
    </xf>
    <xf numFmtId="0" fontId="33" fillId="0" borderId="0" xfId="19" applyFont="1" applyAlignment="1">
      <alignment horizontal="right"/>
    </xf>
    <xf numFmtId="0" fontId="20" fillId="0" borderId="0" xfId="16" applyFont="1" applyFill="1" applyBorder="1" applyAlignment="1"/>
    <xf numFmtId="0" fontId="21" fillId="0" borderId="0" xfId="4" applyFont="1" applyFill="1" applyAlignment="1"/>
    <xf numFmtId="0" fontId="35" fillId="0" borderId="0" xfId="10" applyFont="1"/>
    <xf numFmtId="0" fontId="22" fillId="0" borderId="0" xfId="24" applyFill="1"/>
    <xf numFmtId="0" fontId="20" fillId="0" borderId="0" xfId="25" applyFont="1"/>
    <xf numFmtId="0" fontId="36" fillId="0" borderId="0" xfId="10" applyFont="1"/>
    <xf numFmtId="0" fontId="20" fillId="0" borderId="0" xfId="7" applyFont="1"/>
    <xf numFmtId="0" fontId="20" fillId="0" borderId="0" xfId="26" applyFont="1" applyAlignment="1">
      <alignment horizontal="left"/>
    </xf>
    <xf numFmtId="0" fontId="20" fillId="0" borderId="0" xfId="26" applyFont="1"/>
    <xf numFmtId="0" fontId="22" fillId="0" borderId="1" xfId="26" applyFont="1" applyBorder="1" applyAlignment="1">
      <alignment vertical="center" wrapText="1"/>
    </xf>
    <xf numFmtId="0" fontId="32" fillId="0" borderId="1" xfId="19" applyFont="1" applyBorder="1" applyAlignment="1">
      <alignment horizontal="right" vertical="center" wrapText="1"/>
    </xf>
    <xf numFmtId="0" fontId="37" fillId="0" borderId="6" xfId="0" applyFont="1" applyBorder="1" applyAlignment="1">
      <alignment horizontal="right" vertical="center" wrapText="1"/>
    </xf>
    <xf numFmtId="0" fontId="20" fillId="0" borderId="9" xfId="26" applyFont="1" applyBorder="1" applyAlignment="1">
      <alignment horizontal="left" wrapText="1"/>
    </xf>
    <xf numFmtId="3" fontId="32" fillId="0" borderId="9" xfId="15" applyNumberFormat="1" applyFont="1" applyBorder="1"/>
    <xf numFmtId="3" fontId="22" fillId="0" borderId="10" xfId="19" quotePrefix="1" applyNumberFormat="1" applyFont="1" applyBorder="1" applyAlignment="1">
      <alignment horizontal="right" wrapText="1"/>
    </xf>
    <xf numFmtId="3" fontId="22" fillId="0" borderId="9" xfId="19" quotePrefix="1" applyNumberFormat="1" applyFont="1" applyBorder="1" applyAlignment="1">
      <alignment horizontal="right" wrapText="1"/>
    </xf>
    <xf numFmtId="0" fontId="20" fillId="0" borderId="11" xfId="26" applyFont="1" applyBorder="1" applyAlignment="1">
      <alignment wrapText="1"/>
    </xf>
    <xf numFmtId="1" fontId="32" fillId="0" borderId="11" xfId="19" applyNumberFormat="1" applyFont="1" applyBorder="1" applyAlignment="1">
      <alignment horizontal="right" wrapText="1"/>
    </xf>
    <xf numFmtId="1" fontId="38" fillId="0" borderId="12" xfId="19" applyNumberFormat="1" applyFont="1" applyBorder="1" applyAlignment="1">
      <alignment horizontal="right" wrapText="1"/>
    </xf>
    <xf numFmtId="1" fontId="38" fillId="0" borderId="11" xfId="19" applyNumberFormat="1" applyFont="1" applyBorder="1" applyAlignment="1">
      <alignment horizontal="right" wrapText="1"/>
    </xf>
    <xf numFmtId="0" fontId="20" fillId="0" borderId="13" xfId="26" applyFont="1" applyBorder="1" applyAlignment="1">
      <alignment wrapText="1"/>
    </xf>
    <xf numFmtId="1" fontId="20" fillId="0" borderId="13" xfId="27" applyNumberFormat="1" applyFont="1" applyFill="1" applyBorder="1" applyAlignment="1"/>
    <xf numFmtId="1" fontId="22" fillId="0" borderId="14" xfId="27" applyNumberFormat="1" applyFont="1" applyFill="1" applyBorder="1" applyAlignment="1"/>
    <xf numFmtId="0" fontId="30" fillId="0" borderId="0" xfId="22" applyFont="1" applyFill="1"/>
    <xf numFmtId="0" fontId="19" fillId="0" borderId="0" xfId="23" applyFont="1" applyFill="1" applyBorder="1" applyAlignment="1">
      <alignment horizontal="left"/>
    </xf>
    <xf numFmtId="0" fontId="22" fillId="0" borderId="0" xfId="24" applyFill="1" applyAlignment="1">
      <alignment horizontal="left" wrapText="1"/>
    </xf>
    <xf numFmtId="0" fontId="22" fillId="0" borderId="0" xfId="23" applyFont="1" applyFill="1" applyBorder="1" applyAlignment="1">
      <alignment horizontal="left" wrapText="1"/>
    </xf>
    <xf numFmtId="0" fontId="20" fillId="0" borderId="0" xfId="29" applyFont="1" applyFill="1" applyBorder="1" applyAlignment="1"/>
    <xf numFmtId="3" fontId="20" fillId="0" borderId="0" xfId="31" applyNumberFormat="1" applyFont="1" applyFill="1" applyAlignment="1">
      <alignment horizontal="right"/>
    </xf>
    <xf numFmtId="3" fontId="20" fillId="0" borderId="0" xfId="31" applyNumberFormat="1" applyFont="1" applyFill="1" applyBorder="1" applyAlignment="1">
      <alignment horizontal="right"/>
    </xf>
    <xf numFmtId="3" fontId="20" fillId="0" borderId="15" xfId="31" applyNumberFormat="1" applyFont="1" applyFill="1" applyBorder="1" applyAlignment="1">
      <alignment horizontal="right"/>
    </xf>
    <xf numFmtId="3" fontId="22" fillId="0" borderId="0" xfId="31" applyNumberFormat="1" applyFont="1" applyFill="1" applyAlignment="1">
      <alignment horizontal="right"/>
    </xf>
    <xf numFmtId="0" fontId="15" fillId="0" borderId="0" xfId="25"/>
    <xf numFmtId="0" fontId="20" fillId="0" borderId="0" xfId="14" applyFont="1" applyAlignment="1">
      <alignment horizontal="center"/>
    </xf>
    <xf numFmtId="1" fontId="20" fillId="0" borderId="0" xfId="14" applyNumberFormat="1" applyFont="1" applyAlignment="1">
      <alignment horizontal="center"/>
    </xf>
    <xf numFmtId="0" fontId="32" fillId="0" borderId="0" xfId="14" applyFont="1"/>
    <xf numFmtId="0" fontId="20" fillId="0" borderId="1" xfId="7" applyFont="1" applyBorder="1"/>
    <xf numFmtId="0" fontId="20" fillId="0" borderId="1" xfId="14" applyFont="1" applyBorder="1" applyAlignment="1">
      <alignment horizontal="center"/>
    </xf>
    <xf numFmtId="0" fontId="22" fillId="0" borderId="1" xfId="14" applyFont="1" applyBorder="1" applyAlignment="1">
      <alignment horizontal="center"/>
    </xf>
    <xf numFmtId="1" fontId="22" fillId="0" borderId="1" xfId="14" applyNumberFormat="1" applyFont="1" applyBorder="1" applyAlignment="1">
      <alignment horizontal="center"/>
    </xf>
    <xf numFmtId="1" fontId="22" fillId="0" borderId="1" xfId="14" applyNumberFormat="1" applyFont="1" applyBorder="1" applyAlignment="1">
      <alignment horizontal="center" wrapText="1"/>
    </xf>
    <xf numFmtId="0" fontId="15" fillId="0" borderId="1" xfId="25" applyBorder="1"/>
    <xf numFmtId="0" fontId="22" fillId="0" borderId="1" xfId="14" applyFont="1" applyBorder="1" applyAlignment="1">
      <alignment vertical="center"/>
    </xf>
    <xf numFmtId="0" fontId="20" fillId="0" borderId="1" xfId="14" applyFont="1" applyBorder="1" applyAlignment="1">
      <alignment horizontal="right" vertical="center" wrapText="1"/>
    </xf>
    <xf numFmtId="0" fontId="32" fillId="0" borderId="1" xfId="14" applyFont="1" applyBorder="1" applyAlignment="1">
      <alignment horizontal="right" vertical="center" wrapText="1"/>
    </xf>
    <xf numFmtId="0" fontId="32" fillId="0" borderId="6" xfId="19" applyFont="1" applyBorder="1" applyAlignment="1">
      <alignment horizontal="right" vertical="center" wrapText="1"/>
    </xf>
    <xf numFmtId="0" fontId="38" fillId="0" borderId="6" xfId="30" quotePrefix="1" applyFont="1" applyBorder="1" applyAlignment="1">
      <alignment horizontal="right" vertical="center" wrapText="1"/>
    </xf>
    <xf numFmtId="0" fontId="20" fillId="0" borderId="0" xfId="14" applyFont="1"/>
    <xf numFmtId="1" fontId="25" fillId="0" borderId="0" xfId="25" applyNumberFormat="1" applyFont="1"/>
    <xf numFmtId="0" fontId="20" fillId="0" borderId="0" xfId="14" applyFont="1" applyAlignment="1">
      <alignment wrapText="1"/>
    </xf>
    <xf numFmtId="0" fontId="22" fillId="0" borderId="0" xfId="14" applyFont="1"/>
    <xf numFmtId="3" fontId="22" fillId="0" borderId="0" xfId="15" applyNumberFormat="1" applyFont="1" applyAlignment="1">
      <alignment horizontal="right"/>
    </xf>
    <xf numFmtId="0" fontId="30" fillId="0" borderId="0" xfId="3" applyFont="1" applyFill="1" applyAlignment="1"/>
    <xf numFmtId="0" fontId="22" fillId="0" borderId="0" xfId="34" quotePrefix="1" applyFont="1"/>
    <xf numFmtId="0" fontId="32" fillId="0" borderId="0" xfId="34" applyFont="1"/>
    <xf numFmtId="0" fontId="20" fillId="0" borderId="0" xfId="35" applyFont="1" applyFill="1"/>
    <xf numFmtId="0" fontId="25" fillId="0" borderId="0" xfId="17" applyFont="1"/>
    <xf numFmtId="0" fontId="25" fillId="0" borderId="0" xfId="0" applyFont="1"/>
    <xf numFmtId="0" fontId="28" fillId="0" borderId="15" xfId="32" applyNumberFormat="1" applyFont="1" applyFill="1" applyBorder="1"/>
    <xf numFmtId="164" fontId="28" fillId="0" borderId="0" xfId="32" applyNumberFormat="1" applyFont="1" applyFill="1"/>
    <xf numFmtId="0" fontId="28" fillId="0" borderId="0" xfId="32" applyNumberFormat="1" applyFont="1" applyFill="1"/>
    <xf numFmtId="0" fontId="28" fillId="0" borderId="1" xfId="32" applyNumberFormat="1" applyFont="1" applyFill="1" applyBorder="1"/>
    <xf numFmtId="164" fontId="28" fillId="0" borderId="1" xfId="32" applyNumberFormat="1" applyFont="1" applyFill="1" applyBorder="1"/>
    <xf numFmtId="0" fontId="32" fillId="0" borderId="0" xfId="17" applyFont="1"/>
    <xf numFmtId="0" fontId="32" fillId="0" borderId="0" xfId="34" applyFont="1" applyAlignment="1">
      <alignment wrapText="1"/>
    </xf>
    <xf numFmtId="0" fontId="37" fillId="0" borderId="6" xfId="32" applyNumberFormat="1" applyFont="1" applyFill="1" applyBorder="1" applyAlignment="1">
      <alignment vertical="center"/>
    </xf>
    <xf numFmtId="0" fontId="37" fillId="0" borderId="6" xfId="32" applyNumberFormat="1" applyFont="1" applyFill="1" applyBorder="1" applyAlignment="1">
      <alignment horizontal="right" vertical="center"/>
    </xf>
    <xf numFmtId="0" fontId="20" fillId="0" borderId="0" xfId="16" quotePrefix="1" applyFont="1" applyFill="1" applyAlignment="1">
      <alignment vertical="top" wrapText="1"/>
    </xf>
    <xf numFmtId="0" fontId="30" fillId="0" borderId="0" xfId="4" quotePrefix="1" applyFill="1" applyAlignment="1">
      <alignment vertical="top" wrapText="1"/>
    </xf>
    <xf numFmtId="3" fontId="17" fillId="0" borderId="0" xfId="11" applyAlignment="1">
      <alignment vertical="top"/>
    </xf>
    <xf numFmtId="0" fontId="17" fillId="0" borderId="0" xfId="14" applyAlignment="1">
      <alignment vertical="top"/>
    </xf>
    <xf numFmtId="0" fontId="17" fillId="0" borderId="0" xfId="14"/>
    <xf numFmtId="0" fontId="44" fillId="0" borderId="0" xfId="43" applyFont="1" applyFill="1" applyAlignment="1" applyProtection="1">
      <alignment vertical="top" wrapText="1"/>
    </xf>
    <xf numFmtId="0" fontId="26" fillId="0" borderId="0" xfId="1" applyFill="1" applyAlignment="1">
      <alignment vertical="top" wrapText="1"/>
    </xf>
    <xf numFmtId="0" fontId="22" fillId="0" borderId="0" xfId="36" applyFont="1" applyAlignment="1">
      <alignment vertical="top"/>
    </xf>
    <xf numFmtId="0" fontId="22" fillId="0" borderId="0" xfId="30" applyFont="1" applyAlignment="1">
      <alignment vertical="top" wrapText="1"/>
    </xf>
    <xf numFmtId="0" fontId="41" fillId="0" borderId="0" xfId="24" applyFont="1" applyFill="1" applyAlignment="1">
      <alignment vertical="top"/>
    </xf>
    <xf numFmtId="0" fontId="22" fillId="0" borderId="0" xfId="24" applyFill="1" applyAlignment="1">
      <alignment horizontal="left" vertical="top"/>
    </xf>
    <xf numFmtId="0" fontId="22" fillId="0" borderId="0" xfId="36" applyFont="1" applyAlignment="1">
      <alignment vertical="top" wrapText="1"/>
    </xf>
    <xf numFmtId="0" fontId="22" fillId="0" borderId="0" xfId="37" applyFont="1" applyAlignment="1">
      <alignment vertical="top"/>
    </xf>
    <xf numFmtId="0" fontId="22" fillId="0" borderId="0" xfId="24" applyFill="1" applyAlignment="1">
      <alignment vertical="top" wrapText="1"/>
    </xf>
    <xf numFmtId="0" fontId="34" fillId="0" borderId="0" xfId="8" applyFont="1" applyAlignment="1">
      <alignment vertical="top" wrapText="1"/>
    </xf>
    <xf numFmtId="0" fontId="20" fillId="0" borderId="0" xfId="38" applyFont="1" applyAlignment="1">
      <alignment horizontal="center" vertical="top"/>
    </xf>
    <xf numFmtId="0" fontId="20" fillId="0" borderId="0" xfId="36" applyFont="1" applyAlignment="1">
      <alignment vertical="top" wrapText="1"/>
    </xf>
    <xf numFmtId="0" fontId="20" fillId="0" borderId="0" xfId="37" applyFont="1" applyAlignment="1">
      <alignment vertical="top"/>
    </xf>
    <xf numFmtId="0" fontId="20" fillId="0" borderId="0" xfId="39" applyFont="1" applyAlignment="1">
      <alignment vertical="top" wrapText="1"/>
    </xf>
    <xf numFmtId="0" fontId="28" fillId="0" borderId="0" xfId="0" applyFont="1" applyAlignment="1">
      <alignment wrapText="1"/>
    </xf>
    <xf numFmtId="0" fontId="20" fillId="0" borderId="0" xfId="38" applyFont="1" applyAlignment="1">
      <alignment vertical="top" wrapText="1"/>
    </xf>
    <xf numFmtId="0" fontId="20" fillId="0" borderId="0" xfId="8" applyFont="1" applyAlignment="1">
      <alignment vertical="top" wrapText="1"/>
    </xf>
    <xf numFmtId="0" fontId="20" fillId="0" borderId="0" xfId="40" applyFont="1" applyAlignment="1">
      <alignment vertical="top" wrapText="1"/>
    </xf>
    <xf numFmtId="0" fontId="20" fillId="0" borderId="0" xfId="41" applyFont="1" applyAlignment="1">
      <alignment vertical="top" wrapText="1"/>
    </xf>
    <xf numFmtId="0" fontId="30" fillId="0" borderId="0" xfId="42" applyFont="1" applyFill="1" applyAlignment="1">
      <alignment vertical="top" wrapText="1"/>
    </xf>
    <xf numFmtId="0" fontId="20" fillId="0" borderId="0" xfId="2" applyFont="1" applyAlignment="1">
      <alignment wrapText="1"/>
    </xf>
    <xf numFmtId="0" fontId="20" fillId="0" borderId="0" xfId="39" applyFont="1" applyAlignment="1">
      <alignment vertical="top"/>
    </xf>
    <xf numFmtId="0" fontId="30" fillId="0" borderId="0" xfId="4" applyFill="1" applyAlignment="1">
      <alignment vertical="center" wrapText="1"/>
    </xf>
    <xf numFmtId="0" fontId="27" fillId="0" borderId="0" xfId="2" applyAlignment="1">
      <alignment vertical="top"/>
    </xf>
    <xf numFmtId="0" fontId="25" fillId="0" borderId="0" xfId="44" applyFont="1"/>
    <xf numFmtId="0" fontId="25" fillId="0" borderId="0" xfId="44" applyFont="1" applyAlignment="1">
      <alignment horizontal="left"/>
    </xf>
    <xf numFmtId="0" fontId="30" fillId="0" borderId="0" xfId="46" applyFont="1" applyFill="1" applyAlignment="1" applyProtection="1"/>
    <xf numFmtId="0" fontId="25" fillId="0" borderId="1" xfId="44" applyFont="1" applyBorder="1" applyAlignment="1">
      <alignment horizontal="center" vertical="center" wrapText="1"/>
    </xf>
    <xf numFmtId="0" fontId="25" fillId="0" borderId="1" xfId="44" applyFont="1" applyBorder="1" applyAlignment="1">
      <alignment horizontal="left" vertical="center"/>
    </xf>
    <xf numFmtId="3" fontId="25" fillId="0" borderId="0" xfId="44" applyNumberFormat="1" applyFont="1"/>
    <xf numFmtId="3" fontId="25" fillId="0" borderId="0" xfId="44" applyNumberFormat="1" applyFont="1" applyAlignment="1">
      <alignment horizontal="right"/>
    </xf>
    <xf numFmtId="3" fontId="25" fillId="0" borderId="0" xfId="47" applyNumberFormat="1" applyFont="1" applyFill="1" applyBorder="1" applyAlignment="1"/>
    <xf numFmtId="3" fontId="25" fillId="0" borderId="0" xfId="47" applyNumberFormat="1" applyFont="1" applyFill="1" applyBorder="1" applyAlignment="1">
      <alignment horizontal="right"/>
    </xf>
    <xf numFmtId="3" fontId="25" fillId="0" borderId="0" xfId="5" applyNumberFormat="1" applyFont="1"/>
    <xf numFmtId="3" fontId="25" fillId="0" borderId="0" xfId="5" applyNumberFormat="1" applyFont="1" applyAlignment="1">
      <alignment horizontal="right"/>
    </xf>
    <xf numFmtId="0" fontId="20" fillId="0" borderId="0" xfId="0" applyFont="1" applyAlignment="1">
      <alignment horizontal="left"/>
    </xf>
    <xf numFmtId="0" fontId="25" fillId="0" borderId="0" xfId="44" applyFont="1" applyAlignment="1">
      <alignment horizontal="center"/>
    </xf>
    <xf numFmtId="3" fontId="25" fillId="0" borderId="1" xfId="44" applyNumberFormat="1" applyFont="1" applyBorder="1"/>
    <xf numFmtId="3" fontId="25" fillId="0" borderId="1" xfId="44" applyNumberFormat="1" applyFont="1" applyBorder="1" applyAlignment="1">
      <alignment horizontal="right"/>
    </xf>
    <xf numFmtId="3" fontId="25" fillId="0" borderId="1" xfId="5" applyNumberFormat="1" applyFont="1" applyBorder="1" applyAlignment="1">
      <alignment horizontal="right"/>
    </xf>
    <xf numFmtId="3" fontId="25" fillId="0" borderId="1" xfId="47" applyNumberFormat="1" applyFont="1" applyFill="1" applyBorder="1" applyAlignment="1">
      <alignment horizontal="right"/>
    </xf>
    <xf numFmtId="3" fontId="25" fillId="0" borderId="18" xfId="44" applyNumberFormat="1" applyFont="1" applyBorder="1"/>
    <xf numFmtId="3" fontId="25" fillId="0" borderId="18" xfId="44" applyNumberFormat="1" applyFont="1" applyBorder="1" applyAlignment="1">
      <alignment horizontal="right"/>
    </xf>
    <xf numFmtId="3" fontId="25" fillId="0" borderId="0" xfId="44" applyNumberFormat="1" applyFont="1" applyAlignment="1">
      <alignment horizontal="right" vertical="center"/>
    </xf>
    <xf numFmtId="3" fontId="25" fillId="0" borderId="1" xfId="49" applyNumberFormat="1" applyFont="1" applyBorder="1"/>
    <xf numFmtId="3" fontId="25" fillId="0" borderId="1" xfId="47" applyNumberFormat="1" applyFont="1" applyFill="1" applyBorder="1" applyAlignment="1"/>
    <xf numFmtId="3" fontId="25" fillId="0" borderId="0" xfId="49" applyNumberFormat="1" applyFont="1" applyAlignment="1">
      <alignment wrapText="1"/>
    </xf>
    <xf numFmtId="3" fontId="25" fillId="0" borderId="1" xfId="5" applyNumberFormat="1" applyFont="1" applyBorder="1"/>
    <xf numFmtId="3" fontId="25" fillId="0" borderId="0" xfId="51" applyNumberFormat="1" applyFont="1" applyFill="1" applyBorder="1" applyAlignment="1"/>
    <xf numFmtId="3" fontId="25" fillId="0" borderId="0" xfId="51" applyNumberFormat="1" applyFont="1" applyFill="1" applyBorder="1" applyAlignment="1">
      <alignment horizontal="right"/>
    </xf>
    <xf numFmtId="0" fontId="25" fillId="0" borderId="20" xfId="44" applyFont="1" applyBorder="1" applyAlignment="1">
      <alignment horizontal="left" vertical="center"/>
    </xf>
    <xf numFmtId="17" fontId="25" fillId="0" borderId="20" xfId="19" applyNumberFormat="1" applyFont="1" applyBorder="1" applyAlignment="1">
      <alignment horizontal="right" vertical="center" wrapText="1"/>
    </xf>
    <xf numFmtId="3" fontId="25" fillId="0" borderId="15" xfId="44" applyNumberFormat="1" applyFont="1" applyBorder="1" applyAlignment="1">
      <alignment horizontal="right"/>
    </xf>
    <xf numFmtId="0" fontId="25" fillId="0" borderId="1" xfId="44" applyFont="1" applyBorder="1" applyAlignment="1">
      <alignment horizontal="center"/>
    </xf>
    <xf numFmtId="3" fontId="49" fillId="0" borderId="1" xfId="0" applyNumberFormat="1" applyFont="1" applyBorder="1" applyAlignment="1">
      <alignment horizontal="right"/>
    </xf>
    <xf numFmtId="0" fontId="25" fillId="0" borderId="15" xfId="44" applyFont="1" applyBorder="1" applyAlignment="1">
      <alignment horizontal="center"/>
    </xf>
    <xf numFmtId="3" fontId="49" fillId="0" borderId="0" xfId="0" applyNumberFormat="1" applyFont="1" applyAlignment="1">
      <alignment horizontal="right"/>
    </xf>
    <xf numFmtId="0" fontId="25" fillId="0" borderId="6" xfId="44" applyFont="1" applyBorder="1" applyAlignment="1">
      <alignment horizontal="center"/>
    </xf>
    <xf numFmtId="3" fontId="25" fillId="0" borderId="6" xfId="44" applyNumberFormat="1" applyFont="1" applyBorder="1" applyAlignment="1">
      <alignment horizontal="right"/>
    </xf>
    <xf numFmtId="3" fontId="25" fillId="0" borderId="0" xfId="49" quotePrefix="1" applyNumberFormat="1" applyFont="1" applyAlignment="1">
      <alignment horizontal="right"/>
    </xf>
    <xf numFmtId="0" fontId="0" fillId="0" borderId="1" xfId="0" applyBorder="1"/>
    <xf numFmtId="2" fontId="22" fillId="0" borderId="0" xfId="52" applyNumberFormat="1" applyFont="1" applyAlignment="1">
      <alignment horizontal="left" vertical="top"/>
    </xf>
    <xf numFmtId="0" fontId="20" fillId="0" borderId="0" xfId="52" applyFont="1" applyAlignment="1">
      <alignment vertical="top"/>
    </xf>
    <xf numFmtId="2" fontId="26" fillId="0" borderId="0" xfId="53" quotePrefix="1" applyNumberFormat="1" applyFont="1" applyAlignment="1">
      <alignment horizontal="left" vertical="top"/>
    </xf>
    <xf numFmtId="0" fontId="20" fillId="0" borderId="0" xfId="34" applyFont="1" applyAlignment="1">
      <alignment vertical="top"/>
    </xf>
    <xf numFmtId="0" fontId="36" fillId="0" borderId="0" xfId="50" applyFont="1" applyAlignment="1">
      <alignment vertical="top"/>
    </xf>
    <xf numFmtId="0" fontId="20" fillId="0" borderId="0" xfId="7" applyFont="1" applyAlignment="1">
      <alignment vertical="top"/>
    </xf>
    <xf numFmtId="0" fontId="36" fillId="0" borderId="0" xfId="50" applyFont="1" applyAlignment="1">
      <alignment horizontal="left" vertical="top"/>
    </xf>
    <xf numFmtId="0" fontId="36" fillId="0" borderId="0" xfId="50" applyFont="1" applyAlignment="1">
      <alignment vertical="top" wrapText="1"/>
    </xf>
    <xf numFmtId="0" fontId="36" fillId="0" borderId="0" xfId="50" applyFont="1" applyAlignment="1">
      <alignment horizontal="center" vertical="top"/>
    </xf>
    <xf numFmtId="0" fontId="20" fillId="0" borderId="0" xfId="5" applyFont="1" applyAlignment="1">
      <alignment horizontal="left" vertical="top"/>
    </xf>
    <xf numFmtId="164" fontId="20" fillId="0" borderId="0" xfId="52" applyNumberFormat="1" applyFont="1" applyAlignment="1">
      <alignment vertical="top"/>
    </xf>
    <xf numFmtId="0" fontId="20" fillId="0" borderId="0" xfId="52" applyFont="1" applyAlignment="1">
      <alignment horizontal="right" vertical="top"/>
    </xf>
    <xf numFmtId="0" fontId="48" fillId="0" borderId="0" xfId="52" applyFont="1" applyAlignment="1">
      <alignment horizontal="right" vertical="top"/>
    </xf>
    <xf numFmtId="0" fontId="48" fillId="0" borderId="0" xfId="52" applyFont="1" applyAlignment="1">
      <alignment vertical="top"/>
    </xf>
    <xf numFmtId="0" fontId="20" fillId="0" borderId="1" xfId="52" applyFont="1" applyBorder="1" applyAlignment="1">
      <alignment vertical="top"/>
    </xf>
    <xf numFmtId="0" fontId="22" fillId="0" borderId="1" xfId="54" applyFont="1" applyBorder="1" applyAlignment="1">
      <alignment horizontal="left" vertical="center"/>
    </xf>
    <xf numFmtId="0" fontId="32" fillId="0" borderId="6" xfId="30" applyFont="1" applyBorder="1" applyAlignment="1">
      <alignment horizontal="right" vertical="center" wrapText="1"/>
    </xf>
    <xf numFmtId="0" fontId="32" fillId="0" borderId="21" xfId="30" applyFont="1" applyBorder="1" applyAlignment="1">
      <alignment horizontal="right" vertical="center" wrapText="1"/>
    </xf>
    <xf numFmtId="0" fontId="38" fillId="0" borderId="21" xfId="30" applyFont="1" applyBorder="1" applyAlignment="1">
      <alignment horizontal="right" vertical="center" wrapText="1"/>
    </xf>
    <xf numFmtId="0" fontId="38" fillId="0" borderId="6" xfId="30" applyFont="1" applyBorder="1" applyAlignment="1">
      <alignment horizontal="right" vertical="center" wrapText="1"/>
    </xf>
    <xf numFmtId="0" fontId="20" fillId="0" borderId="21" xfId="30" applyFont="1" applyBorder="1" applyAlignment="1">
      <alignment horizontal="right" vertical="center" wrapText="1"/>
    </xf>
    <xf numFmtId="0" fontId="20" fillId="0" borderId="1" xfId="54" applyFont="1" applyBorder="1" applyAlignment="1">
      <alignment horizontal="right" vertical="center" wrapText="1"/>
    </xf>
    <xf numFmtId="0" fontId="22" fillId="0" borderId="1" xfId="54" applyFont="1" applyBorder="1" applyAlignment="1">
      <alignment horizontal="right" vertical="center" wrapText="1"/>
    </xf>
    <xf numFmtId="0" fontId="22" fillId="0" borderId="0" xfId="52" applyFont="1" applyAlignment="1">
      <alignment horizontal="left" vertical="top"/>
    </xf>
    <xf numFmtId="3" fontId="22" fillId="0" borderId="0" xfId="54" applyNumberFormat="1" applyFont="1" applyAlignment="1">
      <alignment horizontal="right" vertical="top"/>
    </xf>
    <xf numFmtId="3" fontId="22" fillId="0" borderId="22" xfId="54" applyNumberFormat="1" applyFont="1" applyBorder="1" applyAlignment="1">
      <alignment horizontal="right" vertical="top"/>
    </xf>
    <xf numFmtId="3" fontId="22" fillId="0" borderId="0" xfId="52" applyNumberFormat="1" applyFont="1" applyAlignment="1">
      <alignment horizontal="right" vertical="top"/>
    </xf>
    <xf numFmtId="3" fontId="22" fillId="0" borderId="2" xfId="54" applyNumberFormat="1" applyFont="1" applyBorder="1" applyAlignment="1">
      <alignment horizontal="right" vertical="top"/>
    </xf>
    <xf numFmtId="3" fontId="25" fillId="0" borderId="2" xfId="34" applyNumberFormat="1" applyFont="1" applyBorder="1" applyAlignment="1">
      <alignment horizontal="right" vertical="top"/>
    </xf>
    <xf numFmtId="3" fontId="25" fillId="0" borderId="0" xfId="34" applyNumberFormat="1" applyFont="1" applyAlignment="1">
      <alignment horizontal="right" vertical="top"/>
    </xf>
    <xf numFmtId="1" fontId="22" fillId="0" borderId="2" xfId="54" applyNumberFormat="1" applyFont="1" applyBorder="1" applyAlignment="1">
      <alignment horizontal="right" vertical="top"/>
    </xf>
    <xf numFmtId="1" fontId="22" fillId="0" borderId="0" xfId="54" applyNumberFormat="1" applyFont="1" applyAlignment="1">
      <alignment horizontal="right" vertical="top"/>
    </xf>
    <xf numFmtId="3" fontId="20" fillId="0" borderId="0" xfId="54" applyNumberFormat="1" applyFont="1" applyAlignment="1">
      <alignment horizontal="right" vertical="top"/>
    </xf>
    <xf numFmtId="3" fontId="20" fillId="0" borderId="22" xfId="54" applyNumberFormat="1" applyFont="1" applyBorder="1" applyAlignment="1">
      <alignment horizontal="right" vertical="top"/>
    </xf>
    <xf numFmtId="3" fontId="20" fillId="0" borderId="0" xfId="52" applyNumberFormat="1" applyFont="1" applyAlignment="1">
      <alignment horizontal="right" vertical="top"/>
    </xf>
    <xf numFmtId="3" fontId="20" fillId="0" borderId="2" xfId="54" applyNumberFormat="1" applyFont="1" applyBorder="1" applyAlignment="1">
      <alignment horizontal="right" vertical="top"/>
    </xf>
    <xf numFmtId="3" fontId="20" fillId="0" borderId="2" xfId="34" applyNumberFormat="1" applyFont="1" applyBorder="1" applyAlignment="1">
      <alignment horizontal="right" vertical="top"/>
    </xf>
    <xf numFmtId="3" fontId="20" fillId="0" borderId="0" xfId="34" applyNumberFormat="1" applyFont="1" applyAlignment="1">
      <alignment horizontal="right" vertical="top"/>
    </xf>
    <xf numFmtId="1" fontId="20" fillId="0" borderId="2" xfId="55" applyNumberFormat="1" applyFont="1" applyBorder="1" applyAlignment="1">
      <alignment horizontal="right" vertical="top"/>
    </xf>
    <xf numFmtId="1" fontId="20" fillId="0" borderId="0" xfId="55" applyNumberFormat="1" applyFont="1" applyAlignment="1">
      <alignment horizontal="right" vertical="top"/>
    </xf>
    <xf numFmtId="3" fontId="20" fillId="0" borderId="2" xfId="30" applyNumberFormat="1" applyFont="1" applyBorder="1" applyAlignment="1">
      <alignment horizontal="right" vertical="top"/>
    </xf>
    <xf numFmtId="3" fontId="20" fillId="0" borderId="22" xfId="30" applyNumberFormat="1" applyFont="1" applyBorder="1" applyAlignment="1">
      <alignment horizontal="right" vertical="top"/>
    </xf>
    <xf numFmtId="0" fontId="20" fillId="0" borderId="0" xfId="30" applyFont="1" applyAlignment="1">
      <alignment horizontal="right" vertical="top"/>
    </xf>
    <xf numFmtId="3" fontId="25" fillId="0" borderId="22" xfId="34" applyNumberFormat="1" applyFont="1" applyBorder="1" applyAlignment="1">
      <alignment horizontal="right" vertical="top"/>
    </xf>
    <xf numFmtId="3" fontId="22" fillId="0" borderId="2" xfId="30" applyNumberFormat="1" applyFont="1" applyBorder="1" applyAlignment="1">
      <alignment horizontal="right" vertical="top"/>
    </xf>
    <xf numFmtId="3" fontId="22" fillId="0" borderId="22" xfId="30" applyNumberFormat="1" applyFont="1" applyBorder="1" applyAlignment="1">
      <alignment horizontal="right" vertical="top"/>
    </xf>
    <xf numFmtId="1" fontId="22" fillId="0" borderId="2" xfId="55" applyNumberFormat="1" applyFont="1" applyBorder="1" applyAlignment="1">
      <alignment horizontal="right" vertical="top"/>
    </xf>
    <xf numFmtId="0" fontId="22" fillId="0" borderId="0" xfId="30" applyFont="1" applyAlignment="1">
      <alignment horizontal="right" vertical="top"/>
    </xf>
    <xf numFmtId="3" fontId="25" fillId="0" borderId="0" xfId="56" applyNumberFormat="1" applyFont="1" applyAlignment="1">
      <alignment horizontal="right" vertical="top"/>
    </xf>
    <xf numFmtId="3" fontId="22" fillId="0" borderId="0" xfId="30" applyNumberFormat="1" applyFont="1" applyAlignment="1">
      <alignment horizontal="right" vertical="top"/>
    </xf>
    <xf numFmtId="1" fontId="22" fillId="0" borderId="0" xfId="55" applyNumberFormat="1" applyFont="1" applyAlignment="1">
      <alignment horizontal="right" vertical="top"/>
    </xf>
    <xf numFmtId="3" fontId="20" fillId="0" borderId="0" xfId="56" applyNumberFormat="1" applyFont="1" applyAlignment="1">
      <alignment horizontal="right" vertical="top"/>
    </xf>
    <xf numFmtId="1" fontId="20" fillId="0" borderId="2" xfId="54" applyNumberFormat="1" applyFont="1" applyBorder="1" applyAlignment="1">
      <alignment horizontal="right" vertical="top"/>
    </xf>
    <xf numFmtId="1" fontId="25" fillId="0" borderId="0" xfId="30" applyNumberFormat="1" applyFont="1" applyAlignment="1">
      <alignment horizontal="right" vertical="top"/>
    </xf>
    <xf numFmtId="1" fontId="20" fillId="0" borderId="0" xfId="30" applyNumberFormat="1" applyFont="1" applyAlignment="1">
      <alignment horizontal="right" vertical="top"/>
    </xf>
    <xf numFmtId="1" fontId="20" fillId="0" borderId="0" xfId="54" applyNumberFormat="1" applyFont="1" applyAlignment="1">
      <alignment horizontal="right" vertical="top"/>
    </xf>
    <xf numFmtId="0" fontId="20" fillId="0" borderId="0" xfId="52" applyFont="1" applyAlignment="1">
      <alignment horizontal="left" vertical="top"/>
    </xf>
    <xf numFmtId="0" fontId="22" fillId="0" borderId="0" xfId="52" applyFont="1" applyAlignment="1">
      <alignment vertical="top"/>
    </xf>
    <xf numFmtId="3" fontId="20" fillId="0" borderId="0" xfId="30" applyNumberFormat="1" applyFont="1" applyAlignment="1">
      <alignment horizontal="right" vertical="top"/>
    </xf>
    <xf numFmtId="0" fontId="38" fillId="2" borderId="0" xfId="57" applyFont="1" applyFill="1"/>
    <xf numFmtId="0" fontId="12" fillId="0" borderId="0" xfId="57"/>
    <xf numFmtId="0" fontId="22" fillId="2" borderId="0" xfId="35" applyFill="1" applyAlignment="1"/>
    <xf numFmtId="0" fontId="22" fillId="2" borderId="0" xfId="35" applyFill="1" applyAlignment="1">
      <alignment horizontal="left" wrapText="1"/>
    </xf>
    <xf numFmtId="0" fontId="20" fillId="3" borderId="0" xfId="58" applyFont="1" applyFill="1" applyBorder="1" applyAlignment="1"/>
    <xf numFmtId="0" fontId="32" fillId="2" borderId="0" xfId="57" applyFont="1" applyFill="1"/>
    <xf numFmtId="0" fontId="20" fillId="3" borderId="0" xfId="57" applyFont="1" applyFill="1"/>
    <xf numFmtId="0" fontId="30" fillId="3" borderId="0" xfId="3" applyFont="1" applyFill="1"/>
    <xf numFmtId="2" fontId="25" fillId="2" borderId="0" xfId="15" applyNumberFormat="1" applyFont="1" applyFill="1" applyAlignment="1">
      <alignment horizontal="left" wrapText="1"/>
    </xf>
    <xf numFmtId="3" fontId="38" fillId="4" borderId="0" xfId="59" applyNumberFormat="1" applyFont="1" applyFill="1"/>
    <xf numFmtId="3" fontId="38" fillId="4" borderId="1" xfId="59" applyNumberFormat="1" applyFont="1" applyFill="1" applyBorder="1"/>
    <xf numFmtId="0" fontId="12" fillId="0" borderId="1" xfId="57" applyBorder="1"/>
    <xf numFmtId="0" fontId="17" fillId="0" borderId="1" xfId="14" applyBorder="1"/>
    <xf numFmtId="0" fontId="32" fillId="2" borderId="6" xfId="57" applyFont="1" applyFill="1" applyBorder="1" applyAlignment="1">
      <alignment vertical="center" wrapText="1"/>
    </xf>
    <xf numFmtId="0" fontId="32" fillId="2" borderId="6" xfId="57" applyFont="1" applyFill="1" applyBorder="1" applyAlignment="1">
      <alignment horizontal="right" vertical="center" wrapText="1"/>
    </xf>
    <xf numFmtId="0" fontId="32" fillId="5" borderId="6" xfId="30" applyFont="1" applyFill="1" applyBorder="1" applyAlignment="1">
      <alignment horizontal="right" vertical="center" wrapText="1"/>
    </xf>
    <xf numFmtId="1" fontId="32" fillId="0" borderId="1" xfId="14" applyNumberFormat="1" applyFont="1" applyBorder="1" applyAlignment="1">
      <alignment horizontal="right" vertical="center" wrapText="1"/>
    </xf>
    <xf numFmtId="0" fontId="38" fillId="4" borderId="6" xfId="30" quotePrefix="1" applyFont="1" applyFill="1" applyBorder="1" applyAlignment="1">
      <alignment horizontal="right" vertical="center" wrapText="1"/>
    </xf>
    <xf numFmtId="0" fontId="38" fillId="2" borderId="0" xfId="57" applyFont="1" applyFill="1" applyAlignment="1">
      <alignment horizontal="left"/>
    </xf>
    <xf numFmtId="166" fontId="25" fillId="0" borderId="0" xfId="60" applyNumberFormat="1" applyFont="1" applyAlignment="1">
      <alignment horizontal="right"/>
    </xf>
    <xf numFmtId="166" fontId="25" fillId="0" borderId="0" xfId="61" applyNumberFormat="1" applyFont="1" applyAlignment="1">
      <alignment horizontal="right"/>
    </xf>
    <xf numFmtId="1" fontId="22" fillId="0" borderId="0" xfId="14" applyNumberFormat="1" applyFont="1"/>
    <xf numFmtId="0" fontId="32" fillId="2" borderId="0" xfId="57" applyFont="1" applyFill="1" applyAlignment="1">
      <alignment horizontal="left"/>
    </xf>
    <xf numFmtId="166" fontId="28" fillId="0" borderId="0" xfId="60" applyNumberFormat="1" applyFont="1" applyAlignment="1">
      <alignment horizontal="right"/>
    </xf>
    <xf numFmtId="166" fontId="28" fillId="0" borderId="0" xfId="61" applyNumberFormat="1" applyFont="1" applyAlignment="1">
      <alignment horizontal="right"/>
    </xf>
    <xf numFmtId="1" fontId="20" fillId="0" borderId="0" xfId="14" applyNumberFormat="1" applyFont="1"/>
    <xf numFmtId="166" fontId="25" fillId="0" borderId="0" xfId="60" applyNumberFormat="1" applyFont="1" applyBorder="1" applyAlignment="1">
      <alignment horizontal="right"/>
    </xf>
    <xf numFmtId="166" fontId="25" fillId="0" borderId="0" xfId="61" applyNumberFormat="1" applyFont="1" applyBorder="1" applyAlignment="1">
      <alignment horizontal="right"/>
    </xf>
    <xf numFmtId="3" fontId="19" fillId="2" borderId="0" xfId="11" applyFont="1" applyFill="1" applyAlignment="1">
      <alignment vertical="center"/>
    </xf>
    <xf numFmtId="3" fontId="19" fillId="2" borderId="0" xfId="11" applyFont="1" applyFill="1" applyAlignment="1">
      <alignment horizontal="left" vertical="center" wrapText="1"/>
    </xf>
    <xf numFmtId="0" fontId="20" fillId="3" borderId="0" xfId="35" applyFont="1" applyFill="1" applyAlignment="1">
      <alignment vertical="center"/>
    </xf>
    <xf numFmtId="3" fontId="22" fillId="2" borderId="0" xfId="35" applyNumberFormat="1" applyFill="1" applyAlignment="1">
      <alignment horizontal="left" vertical="center" wrapText="1"/>
    </xf>
    <xf numFmtId="0" fontId="30" fillId="0" borderId="0" xfId="3" applyFont="1" applyAlignment="1">
      <alignment vertical="center"/>
    </xf>
    <xf numFmtId="2" fontId="23" fillId="2" borderId="0" xfId="15" applyNumberFormat="1" applyFont="1" applyFill="1" applyAlignment="1">
      <alignment horizontal="left" wrapText="1"/>
    </xf>
    <xf numFmtId="3" fontId="25" fillId="2" borderId="0" xfId="11" applyFont="1" applyFill="1"/>
    <xf numFmtId="3" fontId="17" fillId="2" borderId="0" xfId="11" applyFill="1"/>
    <xf numFmtId="3" fontId="25" fillId="2" borderId="1" xfId="11" applyFont="1" applyFill="1" applyBorder="1"/>
    <xf numFmtId="3" fontId="25" fillId="2" borderId="1" xfId="11" applyFont="1" applyFill="1" applyBorder="1" applyAlignment="1">
      <alignment horizontal="right" wrapText="1"/>
    </xf>
    <xf numFmtId="3" fontId="20" fillId="2" borderId="0" xfId="34" applyNumberFormat="1" applyFont="1" applyFill="1"/>
    <xf numFmtId="0" fontId="28" fillId="2" borderId="0" xfId="34" applyFont="1" applyFill="1"/>
    <xf numFmtId="3" fontId="28" fillId="6" borderId="0" xfId="14" applyNumberFormat="1" applyFont="1" applyFill="1" applyAlignment="1">
      <alignment horizontal="right"/>
    </xf>
    <xf numFmtId="1" fontId="28" fillId="0" borderId="0" xfId="14" applyNumberFormat="1" applyFont="1"/>
    <xf numFmtId="3" fontId="20" fillId="2" borderId="0" xfId="34" applyNumberFormat="1" applyFont="1" applyFill="1" applyAlignment="1">
      <alignment horizontal="left" wrapText="1"/>
    </xf>
    <xf numFmtId="0" fontId="28" fillId="6" borderId="0" xfId="14" applyFont="1" applyFill="1" applyAlignment="1">
      <alignment horizontal="right"/>
    </xf>
    <xf numFmtId="0" fontId="34" fillId="0" borderId="0" xfId="17" applyFont="1"/>
    <xf numFmtId="0" fontId="52" fillId="0" borderId="0" xfId="14" applyFont="1"/>
    <xf numFmtId="0" fontId="20" fillId="0" borderId="0" xfId="17" applyFont="1"/>
    <xf numFmtId="0" fontId="25" fillId="0" borderId="0" xfId="34" applyFont="1" applyAlignment="1">
      <alignment vertical="center"/>
    </xf>
    <xf numFmtId="0" fontId="52" fillId="0" borderId="1" xfId="14" applyFont="1" applyBorder="1"/>
    <xf numFmtId="0" fontId="22" fillId="0" borderId="6" xfId="34" applyFont="1" applyBorder="1" applyAlignment="1">
      <alignment vertical="center"/>
    </xf>
    <xf numFmtId="0" fontId="38" fillId="0" borderId="15" xfId="19" applyFont="1" applyBorder="1" applyAlignment="1">
      <alignment horizontal="right" vertical="center" wrapText="1"/>
    </xf>
    <xf numFmtId="0" fontId="25" fillId="0" borderId="6" xfId="19" applyFont="1" applyBorder="1" applyAlignment="1">
      <alignment horizontal="right" vertical="center" wrapText="1"/>
    </xf>
    <xf numFmtId="166" fontId="20" fillId="0" borderId="15" xfId="61" applyNumberFormat="1" applyFont="1" applyFill="1" applyBorder="1" applyAlignment="1">
      <alignment horizontal="right"/>
    </xf>
    <xf numFmtId="166" fontId="28" fillId="0" borderId="0" xfId="61" applyNumberFormat="1" applyFont="1" applyFill="1"/>
    <xf numFmtId="166" fontId="28" fillId="0" borderId="0" xfId="61" applyNumberFormat="1" applyFont="1" applyFill="1" applyAlignment="1">
      <alignment horizontal="right" vertical="center"/>
    </xf>
    <xf numFmtId="9" fontId="52" fillId="0" borderId="0" xfId="32" applyFont="1" applyFill="1"/>
    <xf numFmtId="166" fontId="20" fillId="0" borderId="0" xfId="61" applyNumberFormat="1" applyFont="1" applyFill="1" applyAlignment="1">
      <alignment horizontal="right"/>
    </xf>
    <xf numFmtId="166" fontId="20" fillId="0" borderId="23" xfId="61" applyNumberFormat="1" applyFont="1" applyFill="1" applyBorder="1" applyAlignment="1">
      <alignment horizontal="right"/>
    </xf>
    <xf numFmtId="166" fontId="20" fillId="0" borderId="1" xfId="61" applyNumberFormat="1" applyFont="1" applyFill="1" applyBorder="1" applyAlignment="1">
      <alignment horizontal="right"/>
    </xf>
    <xf numFmtId="0" fontId="20" fillId="0" borderId="0" xfId="34" applyFont="1" applyAlignment="1">
      <alignment wrapText="1"/>
    </xf>
    <xf numFmtId="166" fontId="22" fillId="0" borderId="0" xfId="61" applyNumberFormat="1" applyFont="1"/>
    <xf numFmtId="166" fontId="0" fillId="0" borderId="0" xfId="61" applyNumberFormat="1" applyFont="1"/>
    <xf numFmtId="166" fontId="22" fillId="0" borderId="0" xfId="61" applyNumberFormat="1" applyFont="1" applyAlignment="1">
      <alignment horizontal="left"/>
    </xf>
    <xf numFmtId="166" fontId="22" fillId="0" borderId="0" xfId="61" applyNumberFormat="1" applyFont="1" applyAlignment="1">
      <alignment wrapText="1"/>
    </xf>
    <xf numFmtId="166" fontId="22" fillId="0" borderId="0" xfId="61" applyNumberFormat="1" applyFont="1" applyAlignment="1">
      <alignment horizontal="left" wrapText="1"/>
    </xf>
    <xf numFmtId="166" fontId="20" fillId="0" borderId="0" xfId="61" applyNumberFormat="1" applyFont="1"/>
    <xf numFmtId="166" fontId="20" fillId="0" borderId="0" xfId="61" applyNumberFormat="1" applyFont="1" applyAlignment="1">
      <alignment wrapText="1"/>
    </xf>
    <xf numFmtId="166" fontId="20" fillId="0" borderId="0" xfId="61" applyNumberFormat="1" applyFont="1" applyAlignment="1">
      <alignment horizontal="right" wrapText="1"/>
    </xf>
    <xf numFmtId="166" fontId="20" fillId="0" borderId="0" xfId="61" applyNumberFormat="1" applyFont="1" applyFill="1" applyBorder="1" applyAlignment="1"/>
    <xf numFmtId="166" fontId="30" fillId="0" borderId="0" xfId="3" applyNumberFormat="1" applyFont="1" applyFill="1" applyAlignment="1"/>
    <xf numFmtId="166" fontId="22" fillId="0" borderId="0" xfId="61" applyNumberFormat="1" applyFont="1" applyAlignment="1"/>
    <xf numFmtId="166" fontId="20" fillId="0" borderId="0" xfId="61" applyNumberFormat="1" applyFont="1" applyBorder="1"/>
    <xf numFmtId="166" fontId="22" fillId="0" borderId="1" xfId="61" applyNumberFormat="1" applyFont="1" applyBorder="1"/>
    <xf numFmtId="166" fontId="20" fillId="0" borderId="1" xfId="61" applyNumberFormat="1" applyFont="1" applyBorder="1" applyAlignment="1">
      <alignment wrapText="1"/>
    </xf>
    <xf numFmtId="166" fontId="20" fillId="0" borderId="1" xfId="61" applyNumberFormat="1" applyFont="1" applyBorder="1" applyAlignment="1">
      <alignment horizontal="right" wrapText="1"/>
    </xf>
    <xf numFmtId="166" fontId="20" fillId="0" borderId="1" xfId="61" applyNumberFormat="1" applyFont="1" applyBorder="1" applyAlignment="1">
      <alignment vertical="center" wrapText="1"/>
    </xf>
    <xf numFmtId="3" fontId="20" fillId="2" borderId="1" xfId="63" applyFill="1" applyBorder="1" applyAlignment="1">
      <alignment horizontal="right" vertical="center" wrapText="1"/>
    </xf>
    <xf numFmtId="0" fontId="32" fillId="5" borderId="1" xfId="19" applyFont="1" applyFill="1" applyBorder="1" applyAlignment="1">
      <alignment horizontal="right" vertical="center" wrapText="1"/>
    </xf>
    <xf numFmtId="0" fontId="32" fillId="5" borderId="6" xfId="19" applyFont="1" applyFill="1" applyBorder="1" applyAlignment="1">
      <alignment horizontal="right" vertical="center" wrapText="1"/>
    </xf>
    <xf numFmtId="1" fontId="38" fillId="0" borderId="1" xfId="64" applyNumberFormat="1" applyFont="1" applyBorder="1" applyAlignment="1">
      <alignment horizontal="right" vertical="center" wrapText="1"/>
    </xf>
    <xf numFmtId="166" fontId="20" fillId="0" borderId="0" xfId="61" applyNumberFormat="1" applyFont="1" applyAlignment="1">
      <alignment vertical="center" wrapText="1"/>
    </xf>
    <xf numFmtId="166" fontId="32" fillId="0" borderId="6" xfId="61" applyNumberFormat="1" applyFont="1" applyBorder="1" applyAlignment="1">
      <alignment horizontal="left" vertical="center" wrapText="1"/>
    </xf>
    <xf numFmtId="166" fontId="20" fillId="2" borderId="1" xfId="61" applyNumberFormat="1" applyFont="1" applyFill="1" applyBorder="1" applyAlignment="1">
      <alignment horizontal="right" vertical="center" wrapText="1"/>
    </xf>
    <xf numFmtId="166" fontId="32" fillId="5" borderId="6" xfId="61" applyNumberFormat="1" applyFont="1" applyFill="1" applyBorder="1" applyAlignment="1">
      <alignment horizontal="right" vertical="center" wrapText="1"/>
    </xf>
    <xf numFmtId="1" fontId="20" fillId="0" borderId="0" xfId="65" applyNumberFormat="1" applyFont="1"/>
    <xf numFmtId="166" fontId="20" fillId="2" borderId="0" xfId="61" applyNumberFormat="1" applyFont="1" applyFill="1" applyAlignment="1"/>
    <xf numFmtId="166" fontId="25" fillId="0" borderId="0" xfId="61" applyNumberFormat="1" applyFont="1"/>
    <xf numFmtId="1" fontId="22" fillId="0" borderId="0" xfId="65" applyNumberFormat="1" applyFont="1"/>
    <xf numFmtId="166" fontId="22" fillId="0" borderId="0" xfId="61" applyNumberFormat="1" applyFont="1" applyBorder="1"/>
    <xf numFmtId="166" fontId="25" fillId="0" borderId="0" xfId="61" applyNumberFormat="1" applyFont="1" applyBorder="1"/>
    <xf numFmtId="1" fontId="22" fillId="0" borderId="0" xfId="65" applyNumberFormat="1" applyFont="1" applyBorder="1"/>
    <xf numFmtId="166" fontId="22" fillId="2" borderId="0" xfId="61" applyNumberFormat="1" applyFont="1" applyFill="1" applyBorder="1" applyAlignment="1"/>
    <xf numFmtId="3" fontId="54" fillId="0" borderId="0" xfId="66" applyFont="1"/>
    <xf numFmtId="3" fontId="22" fillId="0" borderId="0" xfId="24" applyNumberFormat="1" applyAlignment="1">
      <alignment horizontal="right" wrapText="1"/>
    </xf>
    <xf numFmtId="3" fontId="22" fillId="0" borderId="0" xfId="24" applyNumberFormat="1" applyAlignment="1">
      <alignment wrapText="1"/>
    </xf>
    <xf numFmtId="3" fontId="20" fillId="0" borderId="0" xfId="66" applyFont="1" applyAlignment="1">
      <alignment horizontal="right" wrapText="1"/>
    </xf>
    <xf numFmtId="3" fontId="20" fillId="0" borderId="0" xfId="66" applyFont="1" applyAlignment="1">
      <alignment wrapText="1"/>
    </xf>
    <xf numFmtId="0" fontId="20" fillId="0" borderId="0" xfId="67" applyFont="1" applyFill="1" applyBorder="1" applyAlignment="1"/>
    <xf numFmtId="0" fontId="21" fillId="0" borderId="0" xfId="69" applyFont="1" applyFill="1" applyAlignment="1" applyProtection="1"/>
    <xf numFmtId="3" fontId="22" fillId="0" borderId="1" xfId="66" applyFont="1" applyBorder="1"/>
    <xf numFmtId="3" fontId="20" fillId="0" borderId="1" xfId="66" applyFont="1" applyBorder="1" applyAlignment="1">
      <alignment horizontal="right" wrapText="1"/>
    </xf>
    <xf numFmtId="3" fontId="20" fillId="0" borderId="1" xfId="66" applyFont="1" applyBorder="1" applyAlignment="1">
      <alignment wrapText="1"/>
    </xf>
    <xf numFmtId="3" fontId="22" fillId="0" borderId="1" xfId="0" applyNumberFormat="1" applyFont="1" applyBorder="1" applyAlignment="1">
      <alignment vertical="center" wrapText="1"/>
    </xf>
    <xf numFmtId="49" fontId="20" fillId="0" borderId="1" xfId="0" applyNumberFormat="1" applyFont="1" applyBorder="1" applyAlignment="1">
      <alignment horizontal="right" vertical="center" wrapText="1"/>
    </xf>
    <xf numFmtId="3" fontId="20" fillId="2" borderId="1" xfId="0" applyNumberFormat="1" applyFont="1" applyFill="1" applyBorder="1" applyAlignment="1">
      <alignment horizontal="right" vertical="center" wrapText="1"/>
    </xf>
    <xf numFmtId="0" fontId="32" fillId="5" borderId="1" xfId="0" applyFont="1" applyFill="1" applyBorder="1" applyAlignment="1">
      <alignment horizontal="right" vertical="center" wrapText="1"/>
    </xf>
    <xf numFmtId="0" fontId="32" fillId="5" borderId="6" xfId="0" applyFont="1" applyFill="1" applyBorder="1" applyAlignment="1">
      <alignment horizontal="right" vertical="center" wrapText="1"/>
    </xf>
    <xf numFmtId="1" fontId="38" fillId="0" borderId="6" xfId="0" applyNumberFormat="1" applyFont="1" applyBorder="1" applyAlignment="1">
      <alignment horizontal="right" vertical="center" wrapText="1"/>
    </xf>
    <xf numFmtId="3" fontId="20" fillId="0" borderId="0" xfId="66" applyFont="1"/>
    <xf numFmtId="3" fontId="12" fillId="0" borderId="0" xfId="66"/>
    <xf numFmtId="3" fontId="12" fillId="0" borderId="15" xfId="66" applyBorder="1"/>
    <xf numFmtId="1" fontId="32" fillId="0" borderId="0" xfId="66" applyNumberFormat="1" applyFont="1"/>
    <xf numFmtId="3" fontId="25" fillId="0" borderId="0" xfId="66" applyFont="1"/>
    <xf numFmtId="1" fontId="38" fillId="0" borderId="0" xfId="66" applyNumberFormat="1" applyFont="1"/>
    <xf numFmtId="3" fontId="22" fillId="0" borderId="0" xfId="66" applyFont="1"/>
    <xf numFmtId="3" fontId="20" fillId="0" borderId="25" xfId="66" applyFont="1" applyBorder="1"/>
    <xf numFmtId="3" fontId="12" fillId="0" borderId="25" xfId="66" applyBorder="1"/>
    <xf numFmtId="1" fontId="32" fillId="0" borderId="25" xfId="66" applyNumberFormat="1" applyFont="1" applyBorder="1" applyAlignment="1">
      <alignment horizontal="right"/>
    </xf>
    <xf numFmtId="3" fontId="22" fillId="0" borderId="0" xfId="66" applyFont="1" applyAlignment="1">
      <alignment wrapText="1"/>
    </xf>
    <xf numFmtId="1" fontId="22" fillId="2" borderId="0" xfId="66" applyNumberFormat="1" applyFont="1" applyFill="1"/>
    <xf numFmtId="1" fontId="22" fillId="2" borderId="26" xfId="66" applyNumberFormat="1" applyFont="1" applyFill="1" applyBorder="1"/>
    <xf numFmtId="1" fontId="22" fillId="2" borderId="1" xfId="66" applyNumberFormat="1" applyFont="1" applyFill="1" applyBorder="1"/>
    <xf numFmtId="1" fontId="22" fillId="0" borderId="1" xfId="70" applyNumberFormat="1" applyFont="1" applyFill="1" applyBorder="1" applyAlignment="1"/>
    <xf numFmtId="3" fontId="22" fillId="0" borderId="15" xfId="66" applyFont="1" applyBorder="1" applyAlignment="1">
      <alignment wrapText="1"/>
    </xf>
    <xf numFmtId="1" fontId="20" fillId="2" borderId="15" xfId="66" applyNumberFormat="1" applyFont="1" applyFill="1" applyBorder="1"/>
    <xf numFmtId="1" fontId="22" fillId="2" borderId="15" xfId="66" applyNumberFormat="1" applyFont="1" applyFill="1" applyBorder="1"/>
    <xf numFmtId="3" fontId="25" fillId="0" borderId="1" xfId="66" applyFont="1" applyBorder="1"/>
    <xf numFmtId="3" fontId="0" fillId="0" borderId="1" xfId="66" applyFont="1" applyBorder="1"/>
    <xf numFmtId="3" fontId="0" fillId="0" borderId="0" xfId="66" applyFont="1"/>
    <xf numFmtId="3" fontId="20" fillId="0" borderId="1" xfId="66" applyFont="1" applyBorder="1" applyAlignment="1">
      <alignment vertical="center" wrapText="1"/>
    </xf>
    <xf numFmtId="49" fontId="20" fillId="0" borderId="1" xfId="66" applyNumberFormat="1" applyFont="1" applyBorder="1" applyAlignment="1">
      <alignment horizontal="right" vertical="center" wrapText="1"/>
    </xf>
    <xf numFmtId="0" fontId="32" fillId="0" borderId="1" xfId="30" applyFont="1" applyBorder="1" applyAlignment="1">
      <alignment horizontal="right" vertical="center" wrapText="1"/>
    </xf>
    <xf numFmtId="166" fontId="38" fillId="5" borderId="6" xfId="61" applyNumberFormat="1" applyFont="1" applyFill="1" applyBorder="1" applyAlignment="1">
      <alignment horizontal="right" vertical="center" wrapText="1"/>
    </xf>
    <xf numFmtId="1" fontId="20" fillId="2" borderId="0" xfId="71" applyNumberFormat="1" applyFont="1" applyFill="1" applyAlignment="1"/>
    <xf numFmtId="1" fontId="20" fillId="2" borderId="15" xfId="71" applyNumberFormat="1" applyFont="1" applyFill="1" applyBorder="1" applyAlignment="1"/>
    <xf numFmtId="1" fontId="20" fillId="2" borderId="0" xfId="71" applyNumberFormat="1" applyFont="1" applyFill="1" applyBorder="1" applyAlignment="1"/>
    <xf numFmtId="1" fontId="22" fillId="2" borderId="0" xfId="71" applyNumberFormat="1" applyFont="1" applyFill="1" applyAlignment="1"/>
    <xf numFmtId="1" fontId="22" fillId="2" borderId="0" xfId="71" applyNumberFormat="1" applyFont="1" applyFill="1" applyBorder="1" applyAlignment="1"/>
    <xf numFmtId="1" fontId="22" fillId="2" borderId="1" xfId="71" applyNumberFormat="1" applyFont="1" applyFill="1" applyBorder="1" applyAlignment="1"/>
    <xf numFmtId="0" fontId="20" fillId="0" borderId="0" xfId="24" applyFont="1" applyFill="1" applyAlignment="1"/>
    <xf numFmtId="0" fontId="22" fillId="0" borderId="0" xfId="35" applyFill="1" applyAlignment="1"/>
    <xf numFmtId="3" fontId="20" fillId="0" borderId="1" xfId="66" applyFont="1" applyBorder="1"/>
    <xf numFmtId="3" fontId="22" fillId="0" borderId="6" xfId="66" applyFont="1" applyBorder="1" applyAlignment="1">
      <alignment vertical="center" wrapText="1"/>
    </xf>
    <xf numFmtId="49" fontId="32" fillId="0" borderId="1" xfId="66" applyNumberFormat="1" applyFont="1" applyBorder="1" applyAlignment="1">
      <alignment horizontal="right" vertical="center" wrapText="1"/>
    </xf>
    <xf numFmtId="3" fontId="12" fillId="0" borderId="0" xfId="66" applyAlignment="1">
      <alignment horizontal="right"/>
    </xf>
    <xf numFmtId="1" fontId="12" fillId="0" borderId="0" xfId="66" applyNumberFormat="1" applyAlignment="1">
      <alignment horizontal="right"/>
    </xf>
    <xf numFmtId="3" fontId="25" fillId="0" borderId="0" xfId="66" applyFont="1" applyAlignment="1">
      <alignment horizontal="right"/>
    </xf>
    <xf numFmtId="1" fontId="25" fillId="0" borderId="0" xfId="66" applyNumberFormat="1" applyFont="1" applyAlignment="1">
      <alignment horizontal="right"/>
    </xf>
    <xf numFmtId="3" fontId="22" fillId="0" borderId="25" xfId="66" applyFont="1" applyBorder="1"/>
    <xf numFmtId="3" fontId="25" fillId="0" borderId="25" xfId="66" applyFont="1" applyBorder="1"/>
    <xf numFmtId="3" fontId="25" fillId="0" borderId="25" xfId="66" applyFont="1" applyBorder="1" applyAlignment="1">
      <alignment horizontal="right"/>
    </xf>
    <xf numFmtId="1" fontId="25" fillId="0" borderId="25" xfId="66" applyNumberFormat="1" applyFont="1" applyBorder="1" applyAlignment="1">
      <alignment horizontal="right"/>
    </xf>
    <xf numFmtId="3" fontId="12" fillId="2" borderId="0" xfId="66" applyFill="1"/>
    <xf numFmtId="3" fontId="12" fillId="2" borderId="0" xfId="66" applyFill="1" applyAlignment="1">
      <alignment horizontal="right"/>
    </xf>
    <xf numFmtId="1" fontId="12" fillId="2" borderId="0" xfId="66" applyNumberFormat="1" applyFill="1" applyAlignment="1">
      <alignment horizontal="right"/>
    </xf>
    <xf numFmtId="3" fontId="19" fillId="0" borderId="1" xfId="66" applyFont="1" applyBorder="1"/>
    <xf numFmtId="3" fontId="12" fillId="0" borderId="1" xfId="66" applyBorder="1"/>
    <xf numFmtId="1" fontId="32" fillId="2" borderId="0" xfId="71" applyNumberFormat="1" applyFont="1" applyFill="1" applyAlignment="1"/>
    <xf numFmtId="1" fontId="32" fillId="2" borderId="0" xfId="71" applyNumberFormat="1" applyFont="1" applyFill="1" applyAlignment="1">
      <alignment horizontal="right"/>
    </xf>
    <xf numFmtId="1" fontId="38" fillId="2" borderId="0" xfId="71" applyNumberFormat="1" applyFont="1" applyFill="1" applyAlignment="1"/>
    <xf numFmtId="1" fontId="38" fillId="2" borderId="0" xfId="71" applyNumberFormat="1" applyFont="1" applyFill="1" applyAlignment="1">
      <alignment horizontal="right"/>
    </xf>
    <xf numFmtId="1" fontId="38" fillId="2" borderId="1" xfId="71" applyNumberFormat="1" applyFont="1" applyFill="1" applyBorder="1" applyAlignment="1"/>
    <xf numFmtId="1" fontId="38" fillId="2" borderId="1" xfId="71" applyNumberFormat="1" applyFont="1" applyFill="1" applyBorder="1" applyAlignment="1">
      <alignment horizontal="right"/>
    </xf>
    <xf numFmtId="0" fontId="37" fillId="7" borderId="0" xfId="0" applyFont="1" applyFill="1" applyAlignment="1">
      <alignment horizontal="left" vertical="top"/>
    </xf>
    <xf numFmtId="0" fontId="28" fillId="7" borderId="0" xfId="0" applyFont="1" applyFill="1" applyAlignment="1">
      <alignment vertical="top"/>
    </xf>
    <xf numFmtId="0" fontId="22" fillId="7" borderId="0" xfId="0" applyFont="1" applyFill="1" applyAlignment="1">
      <alignment horizontal="center" vertical="top" wrapText="1"/>
    </xf>
    <xf numFmtId="0" fontId="22" fillId="7" borderId="0" xfId="0" applyFont="1" applyFill="1" applyAlignment="1">
      <alignment horizontal="left" vertical="top" wrapText="1"/>
    </xf>
    <xf numFmtId="0" fontId="22" fillId="7" borderId="0" xfId="0" applyFont="1" applyFill="1" applyAlignment="1">
      <alignment vertical="top"/>
    </xf>
    <xf numFmtId="0" fontId="20" fillId="7" borderId="0" xfId="0" applyFont="1" applyFill="1" applyAlignment="1">
      <alignment horizontal="center" vertical="top" wrapText="1"/>
    </xf>
    <xf numFmtId="0" fontId="20" fillId="7" borderId="0" xfId="0" applyFont="1" applyFill="1" applyAlignment="1">
      <alignment vertical="top" wrapText="1"/>
    </xf>
    <xf numFmtId="0" fontId="20" fillId="7" borderId="0" xfId="0" applyFont="1" applyFill="1" applyAlignment="1">
      <alignment horizontal="left" vertical="top" wrapText="1"/>
    </xf>
    <xf numFmtId="0" fontId="20" fillId="7" borderId="0" xfId="0" applyFont="1" applyFill="1" applyAlignment="1">
      <alignment vertical="top"/>
    </xf>
    <xf numFmtId="0" fontId="28" fillId="7" borderId="0" xfId="0" applyFont="1" applyFill="1"/>
    <xf numFmtId="0" fontId="28" fillId="7" borderId="0" xfId="0" applyFont="1" applyFill="1" applyAlignment="1">
      <alignment vertical="top" wrapText="1"/>
    </xf>
    <xf numFmtId="0" fontId="21" fillId="7" borderId="0" xfId="0" applyFont="1" applyFill="1" applyAlignment="1">
      <alignment vertical="top" wrapText="1"/>
    </xf>
    <xf numFmtId="0" fontId="28" fillId="7" borderId="0" xfId="0" applyFont="1" applyFill="1" applyAlignment="1">
      <alignment horizontal="left" vertical="top"/>
    </xf>
    <xf numFmtId="0" fontId="28" fillId="7" borderId="0" xfId="0" applyFont="1" applyFill="1" applyAlignment="1">
      <alignment horizontal="left" vertical="top" wrapText="1"/>
    </xf>
    <xf numFmtId="0" fontId="28" fillId="7" borderId="0" xfId="0" applyFont="1" applyFill="1" applyAlignment="1">
      <alignment horizontal="center" vertical="top"/>
    </xf>
    <xf numFmtId="0" fontId="20" fillId="7" borderId="0" xfId="0" applyFont="1" applyFill="1" applyAlignment="1">
      <alignment horizontal="center" vertical="top"/>
    </xf>
    <xf numFmtId="3" fontId="22" fillId="0" borderId="0" xfId="66" applyFont="1" applyAlignment="1">
      <alignment vertical="top"/>
    </xf>
    <xf numFmtId="0" fontId="24" fillId="0" borderId="0" xfId="75"/>
    <xf numFmtId="3" fontId="22" fillId="0" borderId="0" xfId="66" applyFont="1" applyAlignment="1">
      <alignment horizontal="left" vertical="top" wrapText="1"/>
    </xf>
    <xf numFmtId="0" fontId="20" fillId="0" borderId="0" xfId="76" applyFont="1" applyFill="1" applyAlignment="1">
      <alignment vertical="center"/>
    </xf>
    <xf numFmtId="3" fontId="22" fillId="0" borderId="0" xfId="76" applyNumberFormat="1" applyAlignment="1">
      <alignment horizontal="left" vertical="top" wrapText="1"/>
    </xf>
    <xf numFmtId="0" fontId="22" fillId="0" borderId="0" xfId="76"/>
    <xf numFmtId="2" fontId="23" fillId="0" borderId="0" xfId="66" applyNumberFormat="1" applyFont="1" applyAlignment="1">
      <alignment horizontal="left" wrapText="1"/>
    </xf>
    <xf numFmtId="3" fontId="24" fillId="0" borderId="0" xfId="75" applyNumberFormat="1"/>
    <xf numFmtId="3" fontId="25" fillId="0" borderId="1" xfId="66" applyFont="1" applyBorder="1" applyAlignment="1">
      <alignment vertical="center"/>
    </xf>
    <xf numFmtId="3" fontId="32" fillId="0" borderId="0" xfId="66" applyFont="1" applyAlignment="1">
      <alignment vertical="center"/>
    </xf>
    <xf numFmtId="3" fontId="12" fillId="0" borderId="0" xfId="66" applyAlignment="1">
      <alignment vertical="center"/>
    </xf>
    <xf numFmtId="0" fontId="24" fillId="0" borderId="0" xfId="75" applyAlignment="1">
      <alignment vertical="center"/>
    </xf>
    <xf numFmtId="0" fontId="24" fillId="0" borderId="1" xfId="75" applyBorder="1" applyAlignment="1">
      <alignment vertical="center"/>
    </xf>
    <xf numFmtId="0" fontId="17" fillId="0" borderId="1" xfId="14" applyBorder="1" applyAlignment="1">
      <alignment vertical="center"/>
    </xf>
    <xf numFmtId="3" fontId="38" fillId="0" borderId="1" xfId="66" applyFont="1" applyBorder="1" applyAlignment="1">
      <alignment horizontal="left" vertical="center"/>
    </xf>
    <xf numFmtId="1" fontId="32" fillId="0" borderId="6" xfId="66" applyNumberFormat="1" applyFont="1" applyBorder="1" applyAlignment="1">
      <alignment horizontal="right" vertical="center" wrapText="1"/>
    </xf>
    <xf numFmtId="1" fontId="32" fillId="0" borderId="6" xfId="19" applyNumberFormat="1" applyFont="1" applyBorder="1" applyAlignment="1">
      <alignment horizontal="right" vertical="center" wrapText="1"/>
    </xf>
    <xf numFmtId="1" fontId="32" fillId="0" borderId="1" xfId="66" applyNumberFormat="1" applyFont="1" applyBorder="1" applyAlignment="1">
      <alignment horizontal="right" vertical="center" wrapText="1"/>
    </xf>
    <xf numFmtId="0" fontId="25" fillId="0" borderId="1" xfId="14" applyFont="1" applyBorder="1" applyAlignment="1">
      <alignment horizontal="right" vertical="center" wrapText="1"/>
    </xf>
    <xf numFmtId="3" fontId="38" fillId="0" borderId="0" xfId="66" applyFont="1"/>
    <xf numFmtId="1" fontId="25" fillId="0" borderId="0" xfId="14" applyNumberFormat="1" applyFont="1"/>
    <xf numFmtId="3" fontId="32" fillId="0" borderId="0" xfId="66" applyFont="1"/>
    <xf numFmtId="166" fontId="12" fillId="0" borderId="0" xfId="61" applyNumberFormat="1"/>
    <xf numFmtId="1" fontId="17" fillId="0" borderId="0" xfId="14" applyNumberFormat="1"/>
    <xf numFmtId="166" fontId="12" fillId="0" borderId="0" xfId="61" applyNumberFormat="1" applyBorder="1"/>
    <xf numFmtId="3" fontId="22" fillId="0" borderId="1" xfId="66" applyFont="1" applyBorder="1" applyAlignment="1">
      <alignment vertical="top"/>
    </xf>
    <xf numFmtId="3" fontId="38" fillId="0" borderId="1" xfId="66" applyFont="1" applyBorder="1" applyAlignment="1">
      <alignment vertical="center"/>
    </xf>
    <xf numFmtId="49" fontId="32" fillId="0" borderId="6" xfId="66" applyNumberFormat="1" applyFont="1" applyBorder="1" applyAlignment="1">
      <alignment horizontal="right" vertical="center" wrapText="1"/>
    </xf>
    <xf numFmtId="1" fontId="12" fillId="0" borderId="0" xfId="66" applyNumberFormat="1"/>
    <xf numFmtId="1" fontId="32" fillId="0" borderId="15" xfId="66" applyNumberFormat="1" applyFont="1" applyBorder="1"/>
    <xf numFmtId="1" fontId="32" fillId="0" borderId="0" xfId="77" applyNumberFormat="1" applyFont="1"/>
    <xf numFmtId="0" fontId="26" fillId="2" borderId="0" xfId="9" applyFill="1" applyBorder="1" applyAlignment="1">
      <alignment horizontal="left"/>
    </xf>
    <xf numFmtId="0" fontId="22" fillId="2" borderId="0" xfId="35" applyFill="1" applyAlignment="1">
      <alignment horizontal="left"/>
    </xf>
    <xf numFmtId="0" fontId="20" fillId="2" borderId="0" xfId="29" applyFont="1" applyFill="1" applyBorder="1" applyAlignment="1"/>
    <xf numFmtId="0" fontId="30" fillId="2" borderId="0" xfId="16" applyFont="1" applyFill="1" applyAlignment="1"/>
    <xf numFmtId="0" fontId="20" fillId="2" borderId="0" xfId="14" applyFont="1" applyFill="1"/>
    <xf numFmtId="0" fontId="38" fillId="4" borderId="1" xfId="19" applyFont="1" applyFill="1" applyBorder="1" applyAlignment="1">
      <alignment horizontal="left" vertical="center" wrapText="1"/>
    </xf>
    <xf numFmtId="0" fontId="20" fillId="6" borderId="6" xfId="14" applyFont="1" applyFill="1" applyBorder="1" applyAlignment="1">
      <alignment horizontal="right" vertical="center" wrapText="1"/>
    </xf>
    <xf numFmtId="0" fontId="20" fillId="6" borderId="1" xfId="14" applyFont="1" applyFill="1" applyBorder="1" applyAlignment="1">
      <alignment horizontal="right" vertical="center" wrapText="1"/>
    </xf>
    <xf numFmtId="0" fontId="28" fillId="6" borderId="0" xfId="14" applyFont="1" applyFill="1"/>
    <xf numFmtId="1" fontId="28" fillId="6" borderId="0" xfId="14" applyNumberFormat="1" applyFont="1" applyFill="1"/>
    <xf numFmtId="1" fontId="0" fillId="2" borderId="0" xfId="17" applyNumberFormat="1" applyFont="1" applyFill="1" applyAlignment="1">
      <alignment horizontal="right"/>
    </xf>
    <xf numFmtId="0" fontId="28" fillId="6" borderId="1" xfId="14" applyFont="1" applyFill="1" applyBorder="1"/>
    <xf numFmtId="1" fontId="28" fillId="6" borderId="1" xfId="14" applyNumberFormat="1" applyFont="1" applyFill="1" applyBorder="1"/>
    <xf numFmtId="1" fontId="0" fillId="2" borderId="1" xfId="17" applyNumberFormat="1" applyFont="1" applyFill="1" applyBorder="1" applyAlignment="1">
      <alignment horizontal="right"/>
    </xf>
    <xf numFmtId="1" fontId="17" fillId="2" borderId="0" xfId="14" applyNumberFormat="1" applyFill="1"/>
    <xf numFmtId="1" fontId="17" fillId="2" borderId="0" xfId="14" applyNumberFormat="1" applyFill="1" applyAlignment="1">
      <alignment horizontal="right"/>
    </xf>
    <xf numFmtId="0" fontId="37" fillId="6" borderId="0" xfId="14" applyFont="1" applyFill="1"/>
    <xf numFmtId="0" fontId="17" fillId="2" borderId="0" xfId="14" applyFill="1" applyAlignment="1">
      <alignment horizontal="right"/>
    </xf>
    <xf numFmtId="1" fontId="17" fillId="2" borderId="1" xfId="14" applyNumberFormat="1" applyFill="1" applyBorder="1"/>
    <xf numFmtId="1" fontId="17" fillId="2" borderId="1" xfId="14" applyNumberFormat="1" applyFill="1" applyBorder="1" applyAlignment="1">
      <alignment horizontal="right"/>
    </xf>
    <xf numFmtId="3" fontId="19" fillId="0" borderId="0" xfId="11" applyFont="1"/>
    <xf numFmtId="3" fontId="19" fillId="0" borderId="0" xfId="11" applyFont="1" applyAlignment="1">
      <alignment horizontal="left" wrapText="1"/>
    </xf>
    <xf numFmtId="0" fontId="20" fillId="0" borderId="0" xfId="76" applyFont="1" applyFill="1" applyAlignment="1"/>
    <xf numFmtId="3" fontId="22" fillId="0" borderId="0" xfId="76" applyNumberFormat="1"/>
    <xf numFmtId="3" fontId="22" fillId="0" borderId="0" xfId="76" applyNumberFormat="1" applyAlignment="1">
      <alignment horizontal="left" wrapText="1"/>
    </xf>
    <xf numFmtId="2" fontId="23" fillId="0" borderId="0" xfId="11" applyNumberFormat="1" applyFont="1" applyAlignment="1">
      <alignment horizontal="left" wrapText="1"/>
    </xf>
    <xf numFmtId="3" fontId="17" fillId="0" borderId="0" xfId="11"/>
    <xf numFmtId="3" fontId="22" fillId="0" borderId="0" xfId="76" applyNumberFormat="1" applyAlignment="1"/>
    <xf numFmtId="3" fontId="19" fillId="0" borderId="27" xfId="11" applyFont="1" applyBorder="1"/>
    <xf numFmtId="3" fontId="19" fillId="0" borderId="3" xfId="11" applyFont="1" applyBorder="1"/>
    <xf numFmtId="3" fontId="32" fillId="0" borderId="6" xfId="11" applyFont="1" applyBorder="1" applyAlignment="1">
      <alignment horizontal="left" vertical="center"/>
    </xf>
    <xf numFmtId="1" fontId="38" fillId="0" borderId="6" xfId="11" applyNumberFormat="1" applyFont="1" applyBorder="1" applyAlignment="1">
      <alignment horizontal="right" vertical="center" wrapText="1"/>
    </xf>
    <xf numFmtId="1" fontId="38" fillId="0" borderId="6" xfId="14" applyNumberFormat="1" applyFont="1" applyBorder="1" applyAlignment="1">
      <alignment horizontal="right" vertical="center" wrapText="1"/>
    </xf>
    <xf numFmtId="3" fontId="38" fillId="0" borderId="0" xfId="11" applyFont="1"/>
    <xf numFmtId="3" fontId="25" fillId="0" borderId="0" xfId="11" applyFont="1"/>
    <xf numFmtId="1" fontId="25" fillId="0" borderId="0" xfId="11" applyNumberFormat="1" applyFont="1"/>
    <xf numFmtId="3" fontId="32" fillId="0" borderId="0" xfId="11" applyFont="1"/>
    <xf numFmtId="1" fontId="17" fillId="0" borderId="0" xfId="11" applyNumberFormat="1"/>
    <xf numFmtId="3" fontId="57" fillId="0" borderId="0" xfId="11" applyFont="1"/>
    <xf numFmtId="3" fontId="36" fillId="0" borderId="0" xfId="11" applyFont="1"/>
    <xf numFmtId="3" fontId="32" fillId="0" borderId="6" xfId="11" applyFont="1" applyBorder="1" applyAlignment="1">
      <alignment vertical="center"/>
    </xf>
    <xf numFmtId="0" fontId="22" fillId="0" borderId="6" xfId="65" applyFont="1" applyBorder="1" applyAlignment="1">
      <alignment horizontal="right" wrapText="1"/>
    </xf>
    <xf numFmtId="1" fontId="38" fillId="0" borderId="6" xfId="11" applyNumberFormat="1" applyFont="1" applyBorder="1" applyAlignment="1">
      <alignment horizontal="right" wrapText="1"/>
    </xf>
    <xf numFmtId="3" fontId="37" fillId="0" borderId="6" xfId="11" applyFont="1" applyBorder="1" applyAlignment="1">
      <alignment horizontal="right" wrapText="1"/>
    </xf>
    <xf numFmtId="0" fontId="22" fillId="0" borderId="6" xfId="19" applyFont="1" applyBorder="1" applyAlignment="1">
      <alignment horizontal="right" wrapText="1"/>
    </xf>
    <xf numFmtId="3" fontId="20" fillId="0" borderId="0" xfId="11" applyFont="1"/>
    <xf numFmtId="3" fontId="19" fillId="8" borderId="0" xfId="15" applyNumberFormat="1" applyFont="1" applyFill="1"/>
    <xf numFmtId="3" fontId="22" fillId="8" borderId="0" xfId="15" applyNumberFormat="1" applyFont="1" applyFill="1" applyAlignment="1">
      <alignment wrapText="1"/>
    </xf>
    <xf numFmtId="0" fontId="20" fillId="3" borderId="0" xfId="74" applyFont="1" applyFill="1" applyBorder="1" applyAlignment="1"/>
    <xf numFmtId="0" fontId="20" fillId="8" borderId="0" xfId="15" applyFont="1" applyFill="1"/>
    <xf numFmtId="3" fontId="22" fillId="8" borderId="1" xfId="15" applyNumberFormat="1" applyFont="1" applyFill="1" applyBorder="1" applyAlignment="1">
      <alignment horizontal="right"/>
    </xf>
    <xf numFmtId="3" fontId="22" fillId="8" borderId="0" xfId="15" applyNumberFormat="1" applyFont="1" applyFill="1" applyAlignment="1">
      <alignment horizontal="right"/>
    </xf>
    <xf numFmtId="0" fontId="22" fillId="8" borderId="1" xfId="15" applyFont="1" applyFill="1" applyBorder="1" applyAlignment="1">
      <alignment vertical="center"/>
    </xf>
    <xf numFmtId="0" fontId="32" fillId="0" borderId="6" xfId="15" applyFont="1" applyBorder="1" applyAlignment="1">
      <alignment horizontal="right" vertical="center" wrapText="1"/>
    </xf>
    <xf numFmtId="1" fontId="32" fillId="0" borderId="6" xfId="14" applyNumberFormat="1" applyFont="1" applyBorder="1" applyAlignment="1">
      <alignment horizontal="right" vertical="center" wrapText="1"/>
    </xf>
    <xf numFmtId="166" fontId="20" fillId="8" borderId="0" xfId="72" applyNumberFormat="1" applyFont="1" applyFill="1" applyAlignment="1">
      <alignment horizontal="right"/>
    </xf>
    <xf numFmtId="0" fontId="20" fillId="8" borderId="1" xfId="15" applyFont="1" applyFill="1" applyBorder="1"/>
    <xf numFmtId="3" fontId="20" fillId="0" borderId="0" xfId="0" applyNumberFormat="1" applyFont="1" applyAlignment="1">
      <alignment horizontal="right"/>
    </xf>
    <xf numFmtId="3" fontId="22" fillId="0" borderId="1" xfId="0" applyNumberFormat="1" applyFont="1" applyBorder="1" applyAlignment="1">
      <alignment horizontal="right"/>
    </xf>
    <xf numFmtId="3" fontId="22" fillId="0" borderId="0" xfId="0" applyNumberFormat="1" applyFont="1" applyAlignment="1">
      <alignment horizontal="right"/>
    </xf>
    <xf numFmtId="0" fontId="20" fillId="0" borderId="0" xfId="5" applyFont="1"/>
    <xf numFmtId="0" fontId="21" fillId="0" borderId="0" xfId="46" applyFont="1" applyFill="1" applyAlignment="1" applyProtection="1"/>
    <xf numFmtId="0" fontId="20" fillId="0" borderId="6" xfId="5" applyFont="1" applyBorder="1" applyAlignment="1">
      <alignment horizontal="left" vertical="center"/>
    </xf>
    <xf numFmtId="0" fontId="20" fillId="0" borderId="6" xfId="19" applyFont="1" applyBorder="1" applyAlignment="1">
      <alignment horizontal="right" vertical="top" wrapText="1"/>
    </xf>
    <xf numFmtId="0" fontId="20" fillId="0" borderId="6" xfId="5" applyFont="1" applyBorder="1" applyAlignment="1">
      <alignment horizontal="right" vertical="top" wrapText="1"/>
    </xf>
    <xf numFmtId="1" fontId="22" fillId="0" borderId="6" xfId="78" applyNumberFormat="1" applyFont="1" applyBorder="1" applyAlignment="1">
      <alignment horizontal="right" vertical="top" wrapText="1"/>
    </xf>
    <xf numFmtId="0" fontId="22" fillId="0" borderId="0" xfId="5" applyFont="1" applyAlignment="1">
      <alignment vertical="center"/>
    </xf>
    <xf numFmtId="3" fontId="20" fillId="0" borderId="0" xfId="5" applyNumberFormat="1" applyFont="1"/>
    <xf numFmtId="0" fontId="22" fillId="0" borderId="0" xfId="5" applyFont="1" applyAlignment="1">
      <alignment horizontal="left" indent="1"/>
    </xf>
    <xf numFmtId="0" fontId="20" fillId="0" borderId="0" xfId="5" applyFont="1" applyAlignment="1">
      <alignment horizontal="left" indent="1"/>
    </xf>
    <xf numFmtId="3" fontId="20" fillId="0" borderId="0" xfId="5" applyNumberFormat="1" applyFont="1" applyAlignment="1">
      <alignment horizontal="right"/>
    </xf>
    <xf numFmtId="0" fontId="20" fillId="0" borderId="0" xfId="78" applyFont="1"/>
    <xf numFmtId="0" fontId="22" fillId="0" borderId="0" xfId="5" applyFont="1"/>
    <xf numFmtId="0" fontId="22" fillId="0" borderId="1" xfId="5" applyFont="1" applyBorder="1" applyAlignment="1">
      <alignment vertical="center" wrapText="1"/>
    </xf>
    <xf numFmtId="3" fontId="22" fillId="0" borderId="1" xfId="5" applyNumberFormat="1" applyFont="1" applyBorder="1"/>
    <xf numFmtId="0" fontId="22" fillId="0" borderId="0" xfId="5" applyFont="1" applyAlignment="1">
      <alignment vertical="center" wrapText="1"/>
    </xf>
    <xf numFmtId="3" fontId="22" fillId="0" borderId="0" xfId="5" applyNumberFormat="1" applyFont="1"/>
    <xf numFmtId="0" fontId="26" fillId="0" borderId="0" xfId="1" applyFill="1" applyAlignment="1"/>
    <xf numFmtId="0" fontId="58" fillId="0" borderId="0" xfId="0" applyFont="1" applyAlignment="1">
      <alignment horizontal="center" wrapText="1"/>
    </xf>
    <xf numFmtId="0" fontId="32" fillId="0" borderId="0" xfId="0" applyFont="1"/>
    <xf numFmtId="0" fontId="20" fillId="0" borderId="1" xfId="0" applyFont="1" applyBorder="1" applyAlignment="1">
      <alignment horizontal="center" wrapText="1"/>
    </xf>
    <xf numFmtId="0" fontId="20" fillId="0" borderId="6" xfId="0" applyFont="1" applyBorder="1" applyAlignment="1">
      <alignment vertical="center"/>
    </xf>
    <xf numFmtId="0" fontId="20" fillId="0" borderId="6" xfId="8" applyFont="1" applyBorder="1" applyAlignment="1">
      <alignment horizontal="right" vertical="center" wrapText="1"/>
    </xf>
    <xf numFmtId="0" fontId="20" fillId="0" borderId="1" xfId="8" applyFont="1" applyBorder="1" applyAlignment="1">
      <alignment horizontal="right" vertical="center" wrapText="1"/>
    </xf>
    <xf numFmtId="0" fontId="25" fillId="0" borderId="28" xfId="19" applyFont="1" applyBorder="1" applyAlignment="1">
      <alignment horizontal="right" vertical="center" wrapText="1"/>
    </xf>
    <xf numFmtId="1" fontId="22" fillId="0" borderId="0" xfId="0" applyNumberFormat="1" applyFont="1"/>
    <xf numFmtId="1" fontId="59" fillId="0" borderId="0" xfId="0" applyNumberFormat="1" applyFont="1"/>
    <xf numFmtId="1" fontId="20" fillId="0" borderId="0" xfId="0" applyNumberFormat="1" applyFont="1"/>
    <xf numFmtId="1" fontId="20" fillId="0" borderId="0" xfId="0" applyNumberFormat="1" applyFont="1" applyAlignment="1">
      <alignment horizontal="right"/>
    </xf>
    <xf numFmtId="0" fontId="32" fillId="0" borderId="0" xfId="78" applyFont="1"/>
    <xf numFmtId="0" fontId="22" fillId="0" borderId="1" xfId="5" applyFont="1" applyBorder="1" applyAlignment="1">
      <alignment wrapText="1"/>
    </xf>
    <xf numFmtId="1" fontId="22" fillId="0" borderId="1" xfId="0" applyNumberFormat="1" applyFont="1" applyBorder="1"/>
    <xf numFmtId="0" fontId="22" fillId="0" borderId="0" xfId="50" applyFont="1" applyAlignment="1">
      <alignment wrapText="1"/>
    </xf>
    <xf numFmtId="0" fontId="32" fillId="0" borderId="0" xfId="8" quotePrefix="1" applyFont="1" applyAlignment="1">
      <alignment horizontal="left" wrapText="1"/>
    </xf>
    <xf numFmtId="0" fontId="32" fillId="0" borderId="0" xfId="8" applyFont="1" applyAlignment="1">
      <alignment wrapText="1"/>
    </xf>
    <xf numFmtId="0" fontId="22" fillId="0" borderId="0" xfId="8" applyFont="1" applyAlignment="1">
      <alignment wrapText="1"/>
    </xf>
    <xf numFmtId="1" fontId="22" fillId="0" borderId="0" xfId="0" applyNumberFormat="1" applyFont="1" applyAlignment="1">
      <alignment vertical="center"/>
    </xf>
    <xf numFmtId="0" fontId="61" fillId="0" borderId="29" xfId="4" quotePrefix="1" applyFont="1" applyFill="1" applyBorder="1" applyAlignment="1">
      <alignment horizontal="left"/>
    </xf>
    <xf numFmtId="0" fontId="17" fillId="0" borderId="29" xfId="14" applyBorder="1"/>
    <xf numFmtId="0" fontId="25" fillId="0" borderId="30" xfId="0" quotePrefix="1" applyFont="1" applyBorder="1" applyAlignment="1">
      <alignment horizontal="left"/>
    </xf>
    <xf numFmtId="0" fontId="0" fillId="0" borderId="30" xfId="0" applyBorder="1"/>
    <xf numFmtId="0" fontId="30" fillId="0" borderId="29" xfId="68" applyFont="1" applyFill="1" applyBorder="1"/>
    <xf numFmtId="0" fontId="37" fillId="0" borderId="31" xfId="14" applyFont="1" applyBorder="1"/>
    <xf numFmtId="0" fontId="17" fillId="0" borderId="31" xfId="14" applyBorder="1"/>
    <xf numFmtId="0" fontId="37" fillId="0" borderId="32" xfId="14" applyFont="1" applyBorder="1" applyAlignment="1">
      <alignment horizontal="left" vertical="center"/>
    </xf>
    <xf numFmtId="0" fontId="37" fillId="0" borderId="33" xfId="14" quotePrefix="1" applyFont="1" applyBorder="1" applyAlignment="1">
      <alignment horizontal="right" vertical="center" wrapText="1"/>
    </xf>
    <xf numFmtId="0" fontId="37" fillId="0" borderId="34" xfId="14" quotePrefix="1" applyFont="1" applyBorder="1" applyAlignment="1">
      <alignment horizontal="right" vertical="center" wrapText="1"/>
    </xf>
    <xf numFmtId="0" fontId="37" fillId="0" borderId="35" xfId="14" applyFont="1" applyBorder="1" applyAlignment="1">
      <alignment vertical="center"/>
    </xf>
    <xf numFmtId="0" fontId="37" fillId="0" borderId="36" xfId="14" applyFont="1" applyBorder="1"/>
    <xf numFmtId="3" fontId="37" fillId="0" borderId="37" xfId="14" applyNumberFormat="1" applyFont="1" applyBorder="1"/>
    <xf numFmtId="1" fontId="37" fillId="0" borderId="38" xfId="14" applyNumberFormat="1" applyFont="1" applyBorder="1"/>
    <xf numFmtId="1" fontId="37" fillId="0" borderId="39" xfId="14" applyNumberFormat="1" applyFont="1" applyBorder="1"/>
    <xf numFmtId="0" fontId="17" fillId="0" borderId="40" xfId="14" applyBorder="1"/>
    <xf numFmtId="0" fontId="37" fillId="0" borderId="41" xfId="14" applyFont="1" applyBorder="1"/>
    <xf numFmtId="164" fontId="37" fillId="0" borderId="38" xfId="14" applyNumberFormat="1" applyFont="1" applyBorder="1"/>
    <xf numFmtId="164" fontId="37" fillId="0" borderId="15" xfId="14" applyNumberFormat="1" applyFont="1" applyBorder="1"/>
    <xf numFmtId="0" fontId="17" fillId="0" borderId="42" xfId="14" applyBorder="1"/>
    <xf numFmtId="164" fontId="28" fillId="0" borderId="40" xfId="14" applyNumberFormat="1" applyFont="1" applyBorder="1"/>
    <xf numFmtId="164" fontId="17" fillId="0" borderId="0" xfId="14" applyNumberFormat="1"/>
    <xf numFmtId="0" fontId="17" fillId="0" borderId="43" xfId="14" applyBorder="1"/>
    <xf numFmtId="0" fontId="37" fillId="0" borderId="42" xfId="14" applyFont="1" applyBorder="1"/>
    <xf numFmtId="1" fontId="37" fillId="0" borderId="29" xfId="14" applyNumberFormat="1" applyFont="1" applyBorder="1"/>
    <xf numFmtId="1" fontId="37" fillId="0" borderId="44" xfId="14" applyNumberFormat="1" applyFont="1" applyBorder="1"/>
    <xf numFmtId="0" fontId="17" fillId="0" borderId="45" xfId="14" applyBorder="1"/>
    <xf numFmtId="164" fontId="28" fillId="0" borderId="31" xfId="14" applyNumberFormat="1" applyFont="1" applyBorder="1"/>
    <xf numFmtId="164" fontId="28" fillId="0" borderId="46" xfId="14" applyNumberFormat="1" applyFont="1" applyBorder="1"/>
    <xf numFmtId="1" fontId="17" fillId="0" borderId="31" xfId="14" applyNumberFormat="1" applyBorder="1"/>
    <xf numFmtId="0" fontId="25" fillId="0" borderId="0" xfId="10" applyFont="1" applyAlignment="1">
      <alignment horizontal="right"/>
    </xf>
    <xf numFmtId="0" fontId="20" fillId="0" borderId="1" xfId="78" applyFont="1" applyBorder="1" applyAlignment="1">
      <alignment vertical="center"/>
    </xf>
    <xf numFmtId="0" fontId="20" fillId="0" borderId="48" xfId="10" applyFont="1" applyBorder="1" applyAlignment="1">
      <alignment horizontal="left" vertical="center" wrapText="1"/>
    </xf>
    <xf numFmtId="0" fontId="25" fillId="0" borderId="49" xfId="10" applyFont="1" applyBorder="1" applyAlignment="1">
      <alignment vertical="center"/>
    </xf>
    <xf numFmtId="0" fontId="25" fillId="0" borderId="0" xfId="10" applyFont="1" applyAlignment="1">
      <alignment vertical="center"/>
    </xf>
    <xf numFmtId="0" fontId="20" fillId="0" borderId="0" xfId="10" applyFont="1" applyAlignment="1">
      <alignment horizontal="left" vertical="center" wrapText="1"/>
    </xf>
    <xf numFmtId="0" fontId="22" fillId="0" borderId="0" xfId="10" applyFont="1" applyAlignment="1">
      <alignment horizontal="left" vertical="center" wrapText="1"/>
    </xf>
    <xf numFmtId="0" fontId="20" fillId="0" borderId="0" xfId="7" applyFont="1" applyAlignment="1">
      <alignment horizontal="left"/>
    </xf>
    <xf numFmtId="0" fontId="45" fillId="0" borderId="0" xfId="44" applyFont="1"/>
    <xf numFmtId="0" fontId="45" fillId="0" borderId="0" xfId="44" applyFont="1" applyAlignment="1">
      <alignment horizontal="center"/>
    </xf>
    <xf numFmtId="0" fontId="25" fillId="0" borderId="0" xfId="45" applyFont="1"/>
    <xf numFmtId="0" fontId="36" fillId="0" borderId="0" xfId="44" applyFont="1"/>
    <xf numFmtId="0" fontId="20" fillId="2" borderId="0" xfId="0" applyFont="1" applyFill="1" applyAlignment="1">
      <alignment horizontal="left"/>
    </xf>
    <xf numFmtId="0" fontId="36" fillId="0" borderId="0" xfId="44" applyFont="1" applyAlignment="1">
      <alignment horizontal="center"/>
    </xf>
    <xf numFmtId="1" fontId="22" fillId="0" borderId="0" xfId="5" applyNumberFormat="1" applyFont="1"/>
    <xf numFmtId="0" fontId="22" fillId="0" borderId="0" xfId="74" applyFont="1" applyFill="1" applyBorder="1" applyAlignment="1"/>
    <xf numFmtId="3" fontId="20" fillId="0" borderId="0" xfId="0" applyNumberFormat="1" applyFont="1"/>
    <xf numFmtId="0" fontId="20" fillId="0" borderId="0" xfId="8" applyFont="1"/>
    <xf numFmtId="0" fontId="58" fillId="0" borderId="1" xfId="0" applyFont="1" applyBorder="1" applyAlignment="1">
      <alignment horizontal="center" wrapText="1"/>
    </xf>
    <xf numFmtId="0" fontId="36" fillId="0" borderId="0" xfId="0" applyFont="1"/>
    <xf numFmtId="0" fontId="20" fillId="0" borderId="1" xfId="0" applyFont="1" applyBorder="1"/>
    <xf numFmtId="0" fontId="36" fillId="0" borderId="1" xfId="0" applyFont="1" applyBorder="1"/>
    <xf numFmtId="0" fontId="60" fillId="0" borderId="1" xfId="0" applyFont="1" applyBorder="1"/>
    <xf numFmtId="0" fontId="20" fillId="7" borderId="0" xfId="0" quotePrefix="1" applyFont="1" applyFill="1" applyAlignment="1">
      <alignment horizontal="left" vertical="top" wrapText="1"/>
    </xf>
    <xf numFmtId="0" fontId="22" fillId="2" borderId="0" xfId="6" applyFont="1" applyFill="1" applyAlignment="1">
      <alignment horizontal="left" vertical="center" wrapText="1"/>
    </xf>
    <xf numFmtId="0" fontId="30" fillId="0" borderId="0" xfId="3" applyFont="1" applyAlignment="1">
      <alignment vertical="center" wrapText="1"/>
    </xf>
    <xf numFmtId="0" fontId="10" fillId="0" borderId="0" xfId="2" applyFont="1" applyAlignment="1">
      <alignment horizontal="left" vertical="center" wrapText="1"/>
    </xf>
    <xf numFmtId="0" fontId="10" fillId="0" borderId="0" xfId="8" applyFont="1" applyAlignment="1">
      <alignment vertical="top" wrapText="1"/>
    </xf>
    <xf numFmtId="0" fontId="10" fillId="0" borderId="0" xfId="2" applyFont="1" applyAlignment="1">
      <alignment vertical="top"/>
    </xf>
    <xf numFmtId="3" fontId="10" fillId="0" borderId="0" xfId="44" applyNumberFormat="1" applyFont="1"/>
    <xf numFmtId="0" fontId="10" fillId="0" borderId="0" xfId="44" applyFont="1"/>
    <xf numFmtId="0" fontId="10" fillId="0" borderId="0" xfId="44" applyFont="1" applyAlignment="1">
      <alignment horizontal="right"/>
    </xf>
    <xf numFmtId="0" fontId="10" fillId="0" borderId="0" xfId="0" applyFont="1"/>
    <xf numFmtId="3" fontId="10" fillId="0" borderId="0" xfId="44" applyNumberFormat="1" applyFont="1" applyAlignment="1">
      <alignment horizontal="right"/>
    </xf>
    <xf numFmtId="0" fontId="10" fillId="0" borderId="1" xfId="19" applyFont="1" applyBorder="1" applyAlignment="1">
      <alignment horizontal="right" wrapText="1"/>
    </xf>
    <xf numFmtId="17" fontId="10" fillId="0" borderId="1" xfId="19" applyNumberFormat="1" applyFont="1" applyBorder="1" applyAlignment="1">
      <alignment horizontal="right" wrapText="1"/>
    </xf>
    <xf numFmtId="0" fontId="10" fillId="0" borderId="0" xfId="44" applyFont="1" applyAlignment="1">
      <alignment horizontal="center"/>
    </xf>
    <xf numFmtId="49" fontId="10" fillId="0" borderId="0" xfId="44" applyNumberFormat="1" applyFont="1" applyAlignment="1">
      <alignment horizontal="center"/>
    </xf>
    <xf numFmtId="3" fontId="10" fillId="0" borderId="0" xfId="5" applyNumberFormat="1" applyFont="1" applyAlignment="1">
      <alignment horizontal="right"/>
    </xf>
    <xf numFmtId="3" fontId="10" fillId="0" borderId="0" xfId="5" applyNumberFormat="1" applyFont="1"/>
    <xf numFmtId="3" fontId="10" fillId="0" borderId="16" xfId="5" applyNumberFormat="1" applyFont="1" applyBorder="1" applyAlignment="1">
      <alignment horizontal="right"/>
    </xf>
    <xf numFmtId="3" fontId="10" fillId="0" borderId="17" xfId="5" applyNumberFormat="1" applyFont="1" applyBorder="1" applyAlignment="1">
      <alignment horizontal="right"/>
    </xf>
    <xf numFmtId="3" fontId="10" fillId="0" borderId="0" xfId="51" applyNumberFormat="1" applyFont="1" applyFill="1" applyBorder="1" applyAlignment="1">
      <alignment horizontal="right"/>
    </xf>
    <xf numFmtId="0" fontId="10" fillId="0" borderId="1" xfId="44" applyFont="1" applyBorder="1" applyAlignment="1">
      <alignment horizontal="center"/>
    </xf>
    <xf numFmtId="3" fontId="10" fillId="0" borderId="0" xfId="51" applyNumberFormat="1" applyFont="1" applyFill="1" applyBorder="1" applyAlignment="1"/>
    <xf numFmtId="0" fontId="10" fillId="0" borderId="0" xfId="5" applyFont="1" applyAlignment="1">
      <alignment horizontal="center"/>
    </xf>
    <xf numFmtId="3" fontId="10" fillId="0" borderId="0" xfId="47" applyNumberFormat="1" applyFont="1" applyFill="1" applyAlignment="1">
      <alignment horizontal="right"/>
    </xf>
    <xf numFmtId="3" fontId="10" fillId="0" borderId="0" xfId="47" applyNumberFormat="1" applyFont="1" applyFill="1" applyBorder="1" applyAlignment="1">
      <alignment horizontal="right"/>
    </xf>
    <xf numFmtId="1" fontId="10" fillId="0" borderId="0" xfId="44" applyNumberFormat="1" applyFont="1" applyAlignment="1">
      <alignment horizontal="right"/>
    </xf>
    <xf numFmtId="0" fontId="10" fillId="0" borderId="0" xfId="5" applyFont="1" applyAlignment="1">
      <alignment horizontal="right"/>
    </xf>
    <xf numFmtId="0" fontId="10" fillId="0" borderId="18" xfId="44" applyFont="1" applyBorder="1" applyAlignment="1">
      <alignment horizontal="center"/>
    </xf>
    <xf numFmtId="0" fontId="10" fillId="0" borderId="1" xfId="5" applyFont="1" applyBorder="1" applyAlignment="1">
      <alignment horizontal="center"/>
    </xf>
    <xf numFmtId="0" fontId="10" fillId="0" borderId="0" xfId="0" applyFont="1" applyAlignment="1">
      <alignment horizontal="right"/>
    </xf>
    <xf numFmtId="0" fontId="10" fillId="0" borderId="15" xfId="44" applyFont="1" applyBorder="1" applyAlignment="1">
      <alignment horizontal="center"/>
    </xf>
    <xf numFmtId="0" fontId="10" fillId="0" borderId="19" xfId="5" applyFont="1" applyBorder="1" applyAlignment="1">
      <alignment horizontal="center"/>
    </xf>
    <xf numFmtId="0" fontId="10" fillId="0" borderId="0" xfId="5" applyFont="1"/>
    <xf numFmtId="0" fontId="10" fillId="0" borderId="0" xfId="10" applyFont="1" applyAlignment="1">
      <alignment vertical="top" wrapText="1"/>
    </xf>
    <xf numFmtId="0" fontId="10" fillId="0" borderId="0" xfId="10" applyFont="1" applyAlignment="1">
      <alignment vertical="top"/>
    </xf>
    <xf numFmtId="0" fontId="10" fillId="0" borderId="0" xfId="12" applyFont="1" applyAlignment="1">
      <alignment vertical="top" wrapText="1"/>
    </xf>
    <xf numFmtId="0" fontId="10" fillId="0" borderId="0" xfId="12" quotePrefix="1" applyFont="1" applyAlignment="1">
      <alignment horizontal="left" vertical="top" wrapText="1"/>
    </xf>
    <xf numFmtId="0" fontId="10" fillId="0" borderId="0" xfId="10" applyFont="1" applyAlignment="1">
      <alignment horizontal="left" vertical="top" wrapText="1"/>
    </xf>
    <xf numFmtId="0" fontId="10" fillId="0" borderId="0" xfId="10" applyFont="1" applyAlignment="1">
      <alignment horizontal="left" vertical="top"/>
    </xf>
    <xf numFmtId="0" fontId="10" fillId="0" borderId="0" xfId="10" applyFont="1" applyAlignment="1">
      <alignment horizontal="center" vertical="top"/>
    </xf>
    <xf numFmtId="0" fontId="10" fillId="0" borderId="0" xfId="14" applyFont="1" applyAlignment="1">
      <alignment vertical="top" wrapText="1"/>
    </xf>
    <xf numFmtId="0" fontId="10" fillId="0" borderId="0" xfId="17" applyFont="1" applyAlignment="1">
      <alignment vertical="top"/>
    </xf>
    <xf numFmtId="43" fontId="10" fillId="0" borderId="13" xfId="28" applyNumberFormat="1" applyFont="1" applyBorder="1" applyAlignment="1">
      <alignment horizontal="right"/>
    </xf>
    <xf numFmtId="0" fontId="10" fillId="2" borderId="0" xfId="0" applyFont="1" applyFill="1"/>
    <xf numFmtId="0" fontId="10" fillId="0" borderId="6" xfId="15" applyFont="1" applyBorder="1" applyAlignment="1">
      <alignment horizontal="right" vertical="center" wrapText="1"/>
    </xf>
    <xf numFmtId="166" fontId="10" fillId="2" borderId="0" xfId="72" applyNumberFormat="1" applyFont="1" applyFill="1" applyAlignment="1">
      <alignment horizontal="right"/>
    </xf>
    <xf numFmtId="166" fontId="10" fillId="0" borderId="0" xfId="72" applyNumberFormat="1" applyFont="1" applyFill="1" applyAlignment="1">
      <alignment horizontal="right"/>
    </xf>
    <xf numFmtId="1" fontId="10" fillId="2" borderId="0" xfId="72" applyNumberFormat="1" applyFont="1" applyFill="1" applyAlignment="1">
      <alignment horizontal="right"/>
    </xf>
    <xf numFmtId="1" fontId="10" fillId="0" borderId="0" xfId="72" applyNumberFormat="1" applyFont="1" applyFill="1" applyAlignment="1">
      <alignment horizontal="right"/>
    </xf>
    <xf numFmtId="166" fontId="10" fillId="2" borderId="0" xfId="72" applyNumberFormat="1" applyFont="1" applyFill="1" applyBorder="1" applyAlignment="1">
      <alignment horizontal="right"/>
    </xf>
    <xf numFmtId="166" fontId="10" fillId="0" borderId="0" xfId="72" applyNumberFormat="1" applyFont="1" applyFill="1" applyBorder="1" applyAlignment="1">
      <alignment horizontal="right"/>
    </xf>
    <xf numFmtId="166" fontId="10" fillId="2" borderId="1" xfId="72" applyNumberFormat="1" applyFont="1" applyFill="1" applyBorder="1" applyAlignment="1">
      <alignment horizontal="right"/>
    </xf>
    <xf numFmtId="166" fontId="10" fillId="0" borderId="1" xfId="72" applyNumberFormat="1" applyFont="1" applyFill="1" applyBorder="1" applyAlignment="1">
      <alignment horizontal="right"/>
    </xf>
    <xf numFmtId="1" fontId="10" fillId="0" borderId="1" xfId="72" applyNumberFormat="1" applyFont="1" applyFill="1" applyBorder="1" applyAlignment="1">
      <alignment horizontal="right"/>
    </xf>
    <xf numFmtId="0" fontId="10" fillId="2" borderId="0" xfId="17" applyFont="1" applyFill="1"/>
    <xf numFmtId="0" fontId="10" fillId="2" borderId="0" xfId="17" applyFont="1" applyFill="1" applyAlignment="1">
      <alignment horizontal="right"/>
    </xf>
    <xf numFmtId="0" fontId="10" fillId="2" borderId="1" xfId="17" applyFont="1" applyFill="1" applyBorder="1" applyAlignment="1">
      <alignment horizontal="right"/>
    </xf>
    <xf numFmtId="0" fontId="10" fillId="0" borderId="0" xfId="15" applyFont="1"/>
    <xf numFmtId="3" fontId="10" fillId="2" borderId="0" xfId="34" applyNumberFormat="1" applyFont="1" applyFill="1" applyAlignment="1">
      <alignment horizontal="left" wrapText="1"/>
    </xf>
    <xf numFmtId="3" fontId="10" fillId="2" borderId="0" xfId="34" applyNumberFormat="1" applyFont="1" applyFill="1" applyAlignment="1">
      <alignment horizontal="left"/>
    </xf>
    <xf numFmtId="3" fontId="10" fillId="2" borderId="0" xfId="34" applyNumberFormat="1" applyFont="1" applyFill="1"/>
    <xf numFmtId="3" fontId="10" fillId="2" borderId="0" xfId="34" applyNumberFormat="1" applyFont="1" applyFill="1" applyAlignment="1">
      <alignment wrapText="1"/>
    </xf>
    <xf numFmtId="0" fontId="10" fillId="0" borderId="0" xfId="10" applyFont="1" applyAlignment="1">
      <alignment vertical="center" wrapText="1"/>
    </xf>
    <xf numFmtId="0" fontId="10" fillId="0" borderId="0" xfId="10" applyFont="1" applyAlignment="1">
      <alignment vertical="center"/>
    </xf>
    <xf numFmtId="0" fontId="10" fillId="0" borderId="0" xfId="28" applyFont="1" applyAlignment="1">
      <alignment vertical="top" wrapText="1"/>
    </xf>
    <xf numFmtId="1" fontId="10" fillId="0" borderId="0" xfId="0" applyNumberFormat="1" applyFont="1" applyAlignment="1">
      <alignment horizontal="right"/>
    </xf>
    <xf numFmtId="3" fontId="10" fillId="0" borderId="1" xfId="0" applyNumberFormat="1" applyFont="1" applyBorder="1" applyAlignment="1">
      <alignment horizontal="right"/>
    </xf>
    <xf numFmtId="0" fontId="10" fillId="0" borderId="0" xfId="17" applyFont="1"/>
    <xf numFmtId="0" fontId="10" fillId="0" borderId="0" xfId="17" applyFont="1" applyAlignment="1">
      <alignment vertical="center"/>
    </xf>
    <xf numFmtId="0" fontId="10" fillId="0" borderId="0" xfId="34" applyFont="1" applyAlignment="1">
      <alignment vertical="center"/>
    </xf>
    <xf numFmtId="0" fontId="10" fillId="0" borderId="1" xfId="17" applyFont="1" applyBorder="1" applyAlignment="1">
      <alignment vertical="center"/>
    </xf>
    <xf numFmtId="0" fontId="10" fillId="0" borderId="0" xfId="34" applyFont="1"/>
    <xf numFmtId="166" fontId="10" fillId="0" borderId="0" xfId="61" applyNumberFormat="1" applyFont="1" applyFill="1"/>
    <xf numFmtId="166" fontId="10" fillId="0" borderId="0" xfId="61" applyNumberFormat="1" applyFont="1" applyFill="1" applyAlignment="1">
      <alignment horizontal="right"/>
    </xf>
    <xf numFmtId="166" fontId="10" fillId="0" borderId="15" xfId="61" applyNumberFormat="1" applyFont="1" applyFill="1" applyBorder="1" applyAlignment="1">
      <alignment horizontal="right"/>
    </xf>
    <xf numFmtId="166" fontId="10" fillId="0" borderId="0" xfId="61" applyNumberFormat="1" applyFont="1" applyFill="1" applyAlignment="1">
      <alignment horizontal="right" vertical="center"/>
    </xf>
    <xf numFmtId="166" fontId="10" fillId="0" borderId="1" xfId="61" applyNumberFormat="1" applyFont="1" applyFill="1" applyBorder="1" applyAlignment="1">
      <alignment horizontal="right"/>
    </xf>
    <xf numFmtId="166" fontId="10" fillId="0" borderId="24" xfId="61" applyNumberFormat="1" applyFont="1" applyFill="1" applyBorder="1" applyAlignment="1">
      <alignment horizontal="right"/>
    </xf>
    <xf numFmtId="3" fontId="10" fillId="0" borderId="0" xfId="17" applyNumberFormat="1" applyFont="1"/>
    <xf numFmtId="0" fontId="10" fillId="0" borderId="29" xfId="14" applyFont="1" applyBorder="1"/>
    <xf numFmtId="0" fontId="10" fillId="2" borderId="0" xfId="17" applyFont="1" applyFill="1" applyAlignment="1">
      <alignment horizontal="center" vertical="top"/>
    </xf>
    <xf numFmtId="0" fontId="10" fillId="0" borderId="0" xfId="17" applyFont="1" applyAlignment="1">
      <alignment vertical="top" wrapText="1"/>
    </xf>
    <xf numFmtId="0" fontId="10" fillId="0" borderId="0" xfId="20" applyFont="1" applyAlignment="1">
      <alignment vertical="top" wrapText="1"/>
    </xf>
    <xf numFmtId="0" fontId="10" fillId="0" borderId="0" xfId="20" applyFont="1"/>
    <xf numFmtId="3" fontId="10" fillId="2" borderId="0" xfId="11" applyFont="1" applyFill="1" applyAlignment="1">
      <alignment vertical="top" wrapText="1"/>
    </xf>
    <xf numFmtId="0" fontId="10" fillId="2" borderId="0" xfId="10" applyFont="1" applyFill="1"/>
    <xf numFmtId="0" fontId="10" fillId="2" borderId="0" xfId="10" applyFont="1" applyFill="1" applyAlignment="1">
      <alignment vertical="top" wrapText="1"/>
    </xf>
    <xf numFmtId="166" fontId="20" fillId="2" borderId="0" xfId="72" applyNumberFormat="1" applyFont="1" applyFill="1" applyAlignment="1"/>
    <xf numFmtId="166" fontId="22" fillId="2" borderId="0" xfId="72" applyNumberFormat="1" applyFont="1" applyFill="1" applyAlignment="1"/>
    <xf numFmtId="0" fontId="25" fillId="0" borderId="0" xfId="0" applyFont="1" applyAlignment="1">
      <alignment horizontal="left" wrapText="1"/>
    </xf>
    <xf numFmtId="166" fontId="22" fillId="2" borderId="0" xfId="72" applyNumberFormat="1" applyFont="1" applyFill="1" applyBorder="1" applyAlignment="1"/>
    <xf numFmtId="166" fontId="22" fillId="0" borderId="0" xfId="61" applyNumberFormat="1" applyFont="1" applyFill="1"/>
    <xf numFmtId="3" fontId="25" fillId="2" borderId="0" xfId="10" applyNumberFormat="1" applyFont="1" applyFill="1"/>
    <xf numFmtId="3" fontId="9" fillId="2" borderId="0" xfId="10" applyNumberFormat="1" applyFont="1" applyFill="1"/>
    <xf numFmtId="0" fontId="25" fillId="0" borderId="0" xfId="2" applyFont="1"/>
    <xf numFmtId="0" fontId="25" fillId="0" borderId="0" xfId="50" applyFont="1"/>
    <xf numFmtId="0" fontId="25" fillId="0" borderId="0" xfId="1154" applyFont="1"/>
    <xf numFmtId="0" fontId="20" fillId="0" borderId="0" xfId="5484" applyFont="1" applyAlignment="1">
      <alignment horizontal="left"/>
    </xf>
    <xf numFmtId="0" fontId="25" fillId="0" borderId="1" xfId="1154" applyFont="1" applyBorder="1"/>
    <xf numFmtId="49" fontId="25" fillId="0" borderId="0" xfId="1154" applyNumberFormat="1" applyFont="1"/>
    <xf numFmtId="49" fontId="25" fillId="0" borderId="1" xfId="1154" applyNumberFormat="1" applyFont="1" applyBorder="1"/>
    <xf numFmtId="0" fontId="25" fillId="0" borderId="18" xfId="1154" applyFont="1" applyBorder="1" applyAlignment="1">
      <alignment horizontal="left" wrapText="1"/>
    </xf>
    <xf numFmtId="3" fontId="25" fillId="0" borderId="0" xfId="49" quotePrefix="1" applyNumberFormat="1" applyFont="1" applyAlignment="1">
      <alignment horizontal="left"/>
    </xf>
    <xf numFmtId="0" fontId="9" fillId="0" borderId="0" xfId="1154"/>
    <xf numFmtId="0" fontId="9" fillId="0" borderId="0" xfId="44" applyFont="1"/>
    <xf numFmtId="0" fontId="9" fillId="0" borderId="0" xfId="1154" applyAlignment="1">
      <alignment wrapText="1"/>
    </xf>
    <xf numFmtId="3" fontId="9" fillId="0" borderId="0" xfId="49" applyNumberFormat="1" applyFont="1"/>
    <xf numFmtId="0" fontId="9" fillId="0" borderId="0" xfId="44" applyFont="1" applyAlignment="1">
      <alignment horizontal="left"/>
    </xf>
    <xf numFmtId="0" fontId="9" fillId="0" borderId="0" xfId="5" applyFont="1" applyAlignment="1">
      <alignment horizontal="left"/>
    </xf>
    <xf numFmtId="0" fontId="9" fillId="0" borderId="0" xfId="5" applyFont="1" applyAlignment="1">
      <alignment horizontal="left" wrapText="1"/>
    </xf>
    <xf numFmtId="0" fontId="22" fillId="2" borderId="0" xfId="1" applyFont="1" applyFill="1" applyAlignment="1">
      <alignment vertical="center"/>
    </xf>
    <xf numFmtId="0" fontId="25" fillId="2" borderId="0" xfId="10" applyFont="1" applyFill="1" applyAlignment="1">
      <alignment horizontal="right"/>
    </xf>
    <xf numFmtId="0" fontId="32" fillId="4" borderId="47" xfId="19" applyFont="1" applyFill="1" applyBorder="1" applyAlignment="1">
      <alignment horizontal="right" vertical="center" wrapText="1"/>
    </xf>
    <xf numFmtId="0" fontId="38" fillId="4" borderId="47" xfId="19" applyFont="1" applyFill="1" applyBorder="1" applyAlignment="1">
      <alignment horizontal="right" vertical="center" wrapText="1"/>
    </xf>
    <xf numFmtId="0" fontId="20" fillId="2" borderId="0" xfId="233" applyFont="1" applyFill="1" applyAlignment="1">
      <alignment vertical="top" wrapText="1"/>
    </xf>
    <xf numFmtId="0" fontId="9" fillId="2" borderId="0" xfId="10" applyFont="1" applyFill="1" applyAlignment="1">
      <alignment horizontal="left" vertical="top" wrapText="1"/>
    </xf>
    <xf numFmtId="0" fontId="9" fillId="2" borderId="0" xfId="10" applyFont="1" applyFill="1"/>
    <xf numFmtId="0" fontId="25" fillId="0" borderId="0" xfId="10" applyFont="1" applyAlignment="1">
      <alignment vertical="top" wrapText="1"/>
    </xf>
    <xf numFmtId="0" fontId="20" fillId="2" borderId="0" xfId="1154" applyFont="1" applyFill="1" applyAlignment="1">
      <alignment vertical="top"/>
    </xf>
    <xf numFmtId="0" fontId="20" fillId="2" borderId="1" xfId="1154" applyFont="1" applyFill="1" applyBorder="1" applyAlignment="1">
      <alignment vertical="center" wrapText="1"/>
    </xf>
    <xf numFmtId="0" fontId="9" fillId="2" borderId="0" xfId="10" applyFont="1" applyFill="1" applyAlignment="1">
      <alignment horizontal="left" wrapText="1"/>
    </xf>
    <xf numFmtId="0" fontId="30" fillId="0" borderId="0" xfId="2773" applyFont="1" applyAlignment="1" applyProtection="1">
      <alignment vertical="center" wrapText="1"/>
    </xf>
    <xf numFmtId="0" fontId="8" fillId="0" borderId="0" xfId="5" applyFont="1" applyAlignment="1">
      <alignment vertical="top" wrapText="1"/>
    </xf>
    <xf numFmtId="0" fontId="30" fillId="0" borderId="0" xfId="22" applyFont="1" applyFill="1" applyAlignment="1">
      <alignment vertical="center"/>
    </xf>
    <xf numFmtId="166" fontId="7" fillId="0" borderId="0" xfId="72" applyNumberFormat="1" applyFont="1"/>
    <xf numFmtId="166" fontId="25" fillId="0" borderId="0" xfId="72" applyNumberFormat="1" applyFont="1"/>
    <xf numFmtId="166" fontId="25" fillId="0" borderId="0" xfId="72" applyNumberFormat="1" applyFont="1" applyBorder="1"/>
    <xf numFmtId="3" fontId="6" fillId="2" borderId="0" xfId="10" applyNumberFormat="1" applyFont="1" applyFill="1" applyAlignment="1">
      <alignment horizontal="right"/>
    </xf>
    <xf numFmtId="3" fontId="9" fillId="2" borderId="0" xfId="10" applyNumberFormat="1" applyFont="1" applyFill="1" applyAlignment="1">
      <alignment horizontal="right"/>
    </xf>
    <xf numFmtId="0" fontId="6" fillId="0" borderId="0" xfId="10" applyFont="1" applyAlignment="1">
      <alignment vertical="top" wrapText="1"/>
    </xf>
    <xf numFmtId="0" fontId="22" fillId="0" borderId="72" xfId="0" applyFont="1" applyBorder="1" applyAlignment="1">
      <alignment wrapText="1"/>
    </xf>
    <xf numFmtId="3" fontId="22" fillId="0" borderId="15" xfId="0" applyNumberFormat="1" applyFont="1" applyBorder="1" applyAlignment="1">
      <alignment horizontal="right" wrapText="1"/>
    </xf>
    <xf numFmtId="3" fontId="22" fillId="0" borderId="72" xfId="0" applyNumberFormat="1" applyFont="1" applyBorder="1" applyAlignment="1">
      <alignment horizontal="right" wrapText="1"/>
    </xf>
    <xf numFmtId="164" fontId="22" fillId="0" borderId="72" xfId="0" applyNumberFormat="1" applyFont="1" applyBorder="1" applyAlignment="1">
      <alignment horizontal="right" wrapText="1"/>
    </xf>
    <xf numFmtId="164" fontId="22" fillId="0" borderId="73" xfId="0" applyNumberFormat="1" applyFont="1" applyBorder="1" applyAlignment="1">
      <alignment horizontal="right" wrapText="1"/>
    </xf>
    <xf numFmtId="3" fontId="22" fillId="0" borderId="73" xfId="0" applyNumberFormat="1" applyFont="1" applyBorder="1" applyAlignment="1">
      <alignment horizontal="right" wrapText="1"/>
    </xf>
    <xf numFmtId="0" fontId="22" fillId="0" borderId="6" xfId="0" applyFont="1" applyBorder="1" applyAlignment="1">
      <alignment wrapText="1"/>
    </xf>
    <xf numFmtId="3" fontId="22" fillId="0" borderId="6" xfId="0" applyNumberFormat="1" applyFont="1" applyBorder="1" applyAlignment="1">
      <alignment horizontal="right" wrapText="1"/>
    </xf>
    <xf numFmtId="3" fontId="22" fillId="0" borderId="21" xfId="0" applyNumberFormat="1" applyFont="1" applyBorder="1" applyAlignment="1">
      <alignment horizontal="right" wrapText="1"/>
    </xf>
    <xf numFmtId="0" fontId="22" fillId="0" borderId="1" xfId="0" applyFont="1" applyBorder="1" applyAlignment="1">
      <alignment wrapText="1"/>
    </xf>
    <xf numFmtId="3" fontId="22" fillId="0" borderId="1" xfId="0" applyNumberFormat="1" applyFont="1" applyBorder="1" applyAlignment="1">
      <alignment horizontal="right" wrapText="1"/>
    </xf>
    <xf numFmtId="3" fontId="22" fillId="0" borderId="3" xfId="0" applyNumberFormat="1" applyFont="1" applyBorder="1" applyAlignment="1">
      <alignment horizontal="right" wrapText="1"/>
    </xf>
    <xf numFmtId="164" fontId="22" fillId="0" borderId="1" xfId="0" applyNumberFormat="1" applyFont="1" applyBorder="1" applyAlignment="1">
      <alignment horizontal="right" wrapText="1"/>
    </xf>
    <xf numFmtId="164" fontId="22" fillId="0" borderId="3" xfId="0" applyNumberFormat="1" applyFont="1" applyBorder="1" applyAlignment="1">
      <alignment horizontal="right" wrapText="1"/>
    </xf>
    <xf numFmtId="164" fontId="22" fillId="0" borderId="6" xfId="0" applyNumberFormat="1" applyFont="1" applyBorder="1" applyAlignment="1">
      <alignment horizontal="right" wrapText="1"/>
    </xf>
    <xf numFmtId="164" fontId="22" fillId="0" borderId="21" xfId="0" applyNumberFormat="1" applyFont="1" applyBorder="1" applyAlignment="1">
      <alignment horizontal="right" wrapText="1"/>
    </xf>
    <xf numFmtId="0" fontId="5" fillId="0" borderId="0" xfId="9605" applyAlignment="1">
      <alignment vertical="top" wrapText="1"/>
    </xf>
    <xf numFmtId="0" fontId="20" fillId="2" borderId="0" xfId="18" quotePrefix="1" applyFont="1" applyFill="1" applyAlignment="1">
      <alignment vertical="top" wrapText="1"/>
    </xf>
    <xf numFmtId="0" fontId="20" fillId="2" borderId="0" xfId="18" applyFont="1" applyFill="1" applyAlignment="1">
      <alignment vertical="top" wrapText="1"/>
    </xf>
    <xf numFmtId="0" fontId="37" fillId="0" borderId="47" xfId="0" applyFont="1" applyBorder="1" applyAlignment="1">
      <alignment horizontal="right" wrapText="1"/>
    </xf>
    <xf numFmtId="0" fontId="28" fillId="0" borderId="47" xfId="0" applyFont="1" applyBorder="1" applyAlignment="1">
      <alignment horizontal="right" wrapText="1"/>
    </xf>
    <xf numFmtId="0" fontId="5" fillId="0" borderId="0" xfId="9621" applyAlignment="1">
      <alignment vertical="top" wrapText="1"/>
    </xf>
    <xf numFmtId="0" fontId="20" fillId="2" borderId="0" xfId="15" applyFont="1" applyFill="1" applyAlignment="1">
      <alignment vertical="top" wrapText="1"/>
    </xf>
    <xf numFmtId="0" fontId="20" fillId="0" borderId="0" xfId="233" applyFont="1" applyAlignment="1">
      <alignment vertical="center" wrapText="1"/>
    </xf>
    <xf numFmtId="0" fontId="20" fillId="0" borderId="0" xfId="18" applyFont="1"/>
    <xf numFmtId="0" fontId="20" fillId="0" borderId="0" xfId="18" applyFont="1" applyAlignment="1">
      <alignment horizontal="left" vertical="center"/>
    </xf>
    <xf numFmtId="0" fontId="26" fillId="0" borderId="0" xfId="0" applyFont="1"/>
    <xf numFmtId="0" fontId="26" fillId="0" borderId="0" xfId="0" applyFont="1" applyAlignment="1">
      <alignment vertical="top"/>
    </xf>
    <xf numFmtId="0" fontId="34" fillId="0" borderId="0" xfId="44" applyFont="1" applyAlignment="1">
      <alignment horizontal="left"/>
    </xf>
    <xf numFmtId="0" fontId="34" fillId="0" borderId="0" xfId="1" applyFont="1" applyFill="1" applyAlignment="1"/>
    <xf numFmtId="1" fontId="34" fillId="0" borderId="0" xfId="1" applyNumberFormat="1" applyFont="1" applyFill="1" applyAlignment="1"/>
    <xf numFmtId="0" fontId="30" fillId="2" borderId="0" xfId="3" applyFont="1" applyFill="1" applyAlignment="1">
      <alignment vertical="top" wrapText="1"/>
    </xf>
    <xf numFmtId="0" fontId="36" fillId="2" borderId="0" xfId="12" applyFont="1" applyFill="1" applyAlignment="1">
      <alignment vertical="top" wrapText="1"/>
    </xf>
    <xf numFmtId="0" fontId="36" fillId="2" borderId="0" xfId="0" applyFont="1" applyFill="1" applyAlignment="1">
      <alignment vertical="top" wrapText="1"/>
    </xf>
    <xf numFmtId="0" fontId="30" fillId="2" borderId="0" xfId="4" applyFill="1" applyAlignment="1">
      <alignment vertical="top" wrapText="1"/>
    </xf>
    <xf numFmtId="0" fontId="26" fillId="0" borderId="0" xfId="9" applyFill="1" applyBorder="1" applyAlignment="1">
      <alignment vertical="center"/>
    </xf>
    <xf numFmtId="3" fontId="26" fillId="0" borderId="0" xfId="73" applyNumberFormat="1" applyFont="1" applyFill="1" applyBorder="1"/>
    <xf numFmtId="0" fontId="26" fillId="0" borderId="0" xfId="9" applyFill="1" applyBorder="1" applyAlignment="1"/>
    <xf numFmtId="166" fontId="26" fillId="0" borderId="0" xfId="61" applyNumberFormat="1" applyFont="1" applyFill="1" applyBorder="1" applyAlignment="1"/>
    <xf numFmtId="0" fontId="26" fillId="0" borderId="0" xfId="23" applyFill="1" applyBorder="1" applyAlignment="1">
      <alignment horizontal="left"/>
    </xf>
    <xf numFmtId="0" fontId="26" fillId="0" borderId="0" xfId="23" applyFill="1" applyBorder="1" applyAlignment="1"/>
    <xf numFmtId="0" fontId="26" fillId="2" borderId="0" xfId="1" applyFill="1" applyAlignment="1">
      <alignment vertical="top"/>
    </xf>
    <xf numFmtId="0" fontId="25" fillId="2" borderId="0" xfId="35" applyFont="1" applyFill="1" applyAlignment="1">
      <alignment horizontal="left"/>
    </xf>
    <xf numFmtId="0" fontId="25" fillId="0" borderId="0" xfId="9" applyFont="1" applyFill="1" applyBorder="1" applyAlignment="1">
      <alignment vertical="center"/>
    </xf>
    <xf numFmtId="0" fontId="4" fillId="3" borderId="0" xfId="74" applyFont="1" applyFill="1" applyBorder="1" applyAlignment="1"/>
    <xf numFmtId="0" fontId="25" fillId="0" borderId="0" xfId="9" applyFont="1" applyFill="1" applyBorder="1" applyAlignment="1"/>
    <xf numFmtId="0" fontId="25" fillId="0" borderId="0" xfId="24" applyFont="1" applyAlignment="1">
      <alignment horizontal="left"/>
    </xf>
    <xf numFmtId="166" fontId="25" fillId="0" borderId="0" xfId="61" applyNumberFormat="1" applyFont="1" applyAlignment="1">
      <alignment horizontal="left"/>
    </xf>
    <xf numFmtId="0" fontId="25" fillId="0" borderId="0" xfId="24" applyFont="1" applyFill="1" applyAlignment="1">
      <alignment horizontal="left"/>
    </xf>
    <xf numFmtId="0" fontId="25" fillId="0" borderId="0" xfId="24" applyFont="1" applyFill="1" applyAlignment="1"/>
    <xf numFmtId="0" fontId="20" fillId="2" borderId="0" xfId="233" applyFont="1" applyFill="1" applyAlignment="1">
      <alignment wrapText="1"/>
    </xf>
    <xf numFmtId="0" fontId="26" fillId="6" borderId="0" xfId="14" applyFont="1" applyFill="1" applyAlignment="1">
      <alignment vertical="center"/>
    </xf>
    <xf numFmtId="0" fontId="26" fillId="2" borderId="0" xfId="1" applyFill="1" applyAlignment="1"/>
    <xf numFmtId="2" fontId="26" fillId="0" borderId="0" xfId="1" quotePrefix="1" applyNumberFormat="1" applyAlignment="1">
      <alignment horizontal="left" vertical="top"/>
    </xf>
    <xf numFmtId="0" fontId="30" fillId="0" borderId="0" xfId="3" applyFont="1" applyFill="1" applyAlignment="1" applyProtection="1">
      <alignment vertical="top" wrapText="1"/>
    </xf>
    <xf numFmtId="164" fontId="20" fillId="0" borderId="1" xfId="52" applyNumberFormat="1" applyFont="1" applyBorder="1" applyAlignment="1">
      <alignment vertical="top"/>
    </xf>
    <xf numFmtId="0" fontId="4" fillId="0" borderId="0" xfId="10" applyFont="1" applyAlignment="1">
      <alignment horizontal="center" vertical="top"/>
    </xf>
    <xf numFmtId="0" fontId="17" fillId="0" borderId="30" xfId="14" applyBorder="1" applyAlignment="1">
      <alignment wrapText="1"/>
    </xf>
    <xf numFmtId="0" fontId="4" fillId="0" borderId="30" xfId="10" applyFont="1" applyBorder="1" applyAlignment="1">
      <alignment horizontal="left" vertical="center"/>
    </xf>
    <xf numFmtId="0" fontId="17" fillId="0" borderId="30" xfId="14" applyBorder="1"/>
    <xf numFmtId="0" fontId="26" fillId="0" borderId="29" xfId="14" quotePrefix="1" applyFont="1" applyBorder="1" applyAlignment="1">
      <alignment horizontal="left"/>
    </xf>
    <xf numFmtId="3" fontId="26" fillId="0" borderId="0" xfId="33" quotePrefix="1" applyFont="1" applyAlignment="1">
      <alignment vertical="center"/>
    </xf>
    <xf numFmtId="0" fontId="26" fillId="0" borderId="0" xfId="17" applyFont="1"/>
    <xf numFmtId="0" fontId="26" fillId="0" borderId="0" xfId="9" quotePrefix="1" applyFill="1" applyBorder="1" applyAlignment="1">
      <alignment horizontal="left" vertical="center"/>
    </xf>
    <xf numFmtId="0" fontId="92" fillId="0" borderId="0" xfId="4" applyFont="1" applyAlignment="1">
      <alignment vertical="center" wrapText="1"/>
    </xf>
    <xf numFmtId="0" fontId="9" fillId="0" borderId="0" xfId="10" applyFont="1" applyAlignment="1">
      <alignment horizontal="left" wrapText="1"/>
    </xf>
    <xf numFmtId="0" fontId="28" fillId="0" borderId="0" xfId="0" applyFont="1" applyAlignment="1">
      <alignment vertical="top" wrapText="1"/>
    </xf>
    <xf numFmtId="0" fontId="22" fillId="0" borderId="0" xfId="1" applyFont="1" applyFill="1" applyAlignment="1"/>
    <xf numFmtId="0" fontId="25" fillId="0" borderId="0" xfId="10" applyFont="1"/>
    <xf numFmtId="0" fontId="10" fillId="0" borderId="0" xfId="10" applyFont="1"/>
    <xf numFmtId="0" fontId="30" fillId="0" borderId="0" xfId="4" applyFill="1" applyAlignment="1" applyProtection="1"/>
    <xf numFmtId="0" fontId="20" fillId="0" borderId="0" xfId="79" applyFont="1"/>
    <xf numFmtId="0" fontId="3" fillId="0" borderId="1" xfId="19" applyFont="1" applyBorder="1" applyAlignment="1">
      <alignment horizontal="right" wrapText="1"/>
    </xf>
    <xf numFmtId="0" fontId="2" fillId="0" borderId="0" xfId="14" applyFont="1"/>
    <xf numFmtId="0" fontId="2" fillId="0" borderId="1" xfId="14" applyFont="1" applyBorder="1"/>
    <xf numFmtId="0" fontId="1" fillId="0" borderId="0" xfId="1154" applyFont="1"/>
  </cellXfs>
  <cellStyles count="9674">
    <cellStyle name="20% - Accent1 2" xfId="95" xr:uid="{5F01A7FF-4E81-44C5-A95B-E559BEBD1EAE}"/>
    <cellStyle name="20% - Accent1 2 2" xfId="96" xr:uid="{DCF390D4-9538-4496-BAB7-05096763731B}"/>
    <cellStyle name="20% - Accent1 2 2 2" xfId="565" xr:uid="{AD381DD9-597D-49A1-A7E6-3E2FFEF6A8E6}"/>
    <cellStyle name="20% - Accent1 2 2 2 2" xfId="1156" xr:uid="{0D7F9140-C465-4258-9BD5-0C3FA2D22863}"/>
    <cellStyle name="20% - Accent1 2 2 2 2 2" xfId="3349" xr:uid="{6942C520-A880-4535-BB71-4F9858F48BED}"/>
    <cellStyle name="20% - Accent1 2 2 2 2 2 2" xfId="7546" xr:uid="{40E2EFE4-7CBC-4F0C-ABA6-5C0C2ABADAFC}"/>
    <cellStyle name="20% - Accent1 2 2 2 2 3" xfId="4667" xr:uid="{B68DB935-DA05-4613-BFAF-FFF58FA04210}"/>
    <cellStyle name="20% - Accent1 2 2 2 2 3 2" xfId="8846" xr:uid="{DA511ECF-C963-4AB5-BEB6-3BD7C131AA36}"/>
    <cellStyle name="20% - Accent1 2 2 2 2 4" xfId="6231" xr:uid="{A1CD6B06-0C0B-4C7D-AFE7-F169529B7152}"/>
    <cellStyle name="20% - Accent1 2 2 2 3" xfId="2886" xr:uid="{73DC561B-B733-44FB-9691-985F40EB88F6}"/>
    <cellStyle name="20% - Accent1 2 2 2 3 2" xfId="7089" xr:uid="{E63635B5-E1BC-4572-9CC3-0F2CCF79A6C6}"/>
    <cellStyle name="20% - Accent1 2 2 2 4" xfId="4197" xr:uid="{1909A76B-AA60-4633-9B94-74A447141D7F}"/>
    <cellStyle name="20% - Accent1 2 2 2 4 2" xfId="8382" xr:uid="{7CC2F2F6-4454-4CA9-B41A-6195B3DB5CD8}"/>
    <cellStyle name="20% - Accent1 2 2 2 5" xfId="5766" xr:uid="{19051357-B644-4802-9D63-10C9DFF97F97}"/>
    <cellStyle name="20% - Accent1 2 2 3" xfId="981" xr:uid="{C4D7F7A2-00BC-4EDA-B8F2-6E75884D225A}"/>
    <cellStyle name="20% - Accent1 2 2 3 2" xfId="1222" xr:uid="{CEB8B143-5C2E-44C1-A348-3FCDD42EE60F}"/>
    <cellStyle name="20% - Accent1 2 2 3 2 2" xfId="3415" xr:uid="{834711F5-4D39-4957-9B22-ED3E6DF8FE71}"/>
    <cellStyle name="20% - Accent1 2 2 3 2 2 2" xfId="7612" xr:uid="{4CB31B8B-B324-4C40-BA87-509F949CBCDF}"/>
    <cellStyle name="20% - Accent1 2 2 3 2 3" xfId="4733" xr:uid="{F673869E-FB6E-46EB-A0E4-9F27C239941A}"/>
    <cellStyle name="20% - Accent1 2 2 3 2 3 2" xfId="8912" xr:uid="{5E30A84A-3CFC-40C6-B3AF-C38FD3C4726B}"/>
    <cellStyle name="20% - Accent1 2 2 3 2 4" xfId="6297" xr:uid="{BC60533A-A067-4F54-8381-5E3E04EB3CCE}"/>
    <cellStyle name="20% - Accent1 2 2 3 3" xfId="3189" xr:uid="{696C2E81-AA55-4C2F-BF5C-3F6C5ED67C30}"/>
    <cellStyle name="20% - Accent1 2 2 3 3 2" xfId="7390" xr:uid="{BF6EE6D8-C387-498A-86E1-256863F41CBD}"/>
    <cellStyle name="20% - Accent1 2 2 3 4" xfId="4506" xr:uid="{774B6B1C-7FE3-406A-8149-562C42D10A61}"/>
    <cellStyle name="20% - Accent1 2 2 3 4 2" xfId="8689" xr:uid="{4C657567-B0C6-4935-B8EF-5440458CAB7D}"/>
    <cellStyle name="20% - Accent1 2 2 3 5" xfId="6074" xr:uid="{46FB7DE1-41CE-411D-93F5-9F5B8FC3A935}"/>
    <cellStyle name="20% - Accent1 2 2 4" xfId="1090" xr:uid="{3C0C5006-00CD-427B-B1F9-58CBD051BD9B}"/>
    <cellStyle name="20% - Accent1 2 2 4 2" xfId="3283" xr:uid="{926F6055-2F7E-4F35-BEFF-D4D11241EEB1}"/>
    <cellStyle name="20% - Accent1 2 2 4 2 2" xfId="7480" xr:uid="{B504B930-8CCF-400A-8A06-99FB85D6011B}"/>
    <cellStyle name="20% - Accent1 2 2 4 3" xfId="4601" xr:uid="{6B093932-1ADE-42E4-AF51-F265B080E855}"/>
    <cellStyle name="20% - Accent1 2 2 4 3 2" xfId="8780" xr:uid="{F41B0124-90DE-42FB-88E1-4F8AEE8711EA}"/>
    <cellStyle name="20% - Accent1 2 2 4 4" xfId="6165" xr:uid="{C6EFAB24-90AA-4CCB-B318-42EB74CB4B48}"/>
    <cellStyle name="20% - Accent1 2 2 5" xfId="2799" xr:uid="{7017D256-61A5-4CEE-B6ED-8236E2162283}"/>
    <cellStyle name="20% - Accent1 2 2 5 2" xfId="7010" xr:uid="{1A511CCC-F353-4342-942D-2495658E87C5}"/>
    <cellStyle name="20% - Accent1 2 2 6" xfId="4107" xr:uid="{239B722B-5523-46C7-BD79-5E60F261E1EE}"/>
    <cellStyle name="20% - Accent1 2 2 6 2" xfId="8296" xr:uid="{3ED271DB-C726-4DE2-BF6F-E224C0DA4FDF}"/>
    <cellStyle name="20% - Accent1 2 2 7" xfId="5678" xr:uid="{1E254FDD-C713-4E69-AF60-5C5BB12F0EDA}"/>
    <cellStyle name="20% - Accent1 2 3" xfId="97" xr:uid="{CBA625E7-EB95-4763-AE4E-066FDDBA10CA}"/>
    <cellStyle name="20% - Accent1 2 3 2" xfId="98" xr:uid="{EFBC930C-074B-4247-9DBD-5F6FB5238CB2}"/>
    <cellStyle name="20% - Accent1 2 3 2 2" xfId="532" xr:uid="{1708929F-B286-4438-8D6D-FE65A147901D}"/>
    <cellStyle name="20% - Accent1 2 3 3" xfId="531" xr:uid="{5AB19B8B-7B31-4301-8C9F-53FB51BE6D83}"/>
    <cellStyle name="20% - Accent1 2 4" xfId="564" xr:uid="{4FEE3EBB-06A6-439D-8C06-C68996EC127B}"/>
    <cellStyle name="20% - Accent1 2 4 2" xfId="1155" xr:uid="{68D8B199-9875-4620-8057-07B5A7C767F6}"/>
    <cellStyle name="20% - Accent1 2 4 2 2" xfId="871" xr:uid="{DD1DA4AF-45C1-4CAA-84D2-1366B97FD3E6}"/>
    <cellStyle name="20% - Accent1 2 4 2 2 2" xfId="838" xr:uid="{1D550779-18C7-44DF-9997-1F68AF728A57}"/>
    <cellStyle name="20% - Accent1 2 4 2 3" xfId="675" xr:uid="{27A592F4-6A68-4190-A82B-3A5A49803ECD}"/>
    <cellStyle name="20% - Accent1 2 4 2 4" xfId="718" xr:uid="{1CECEA24-BBAE-4498-A1E6-1702100D0C83}"/>
    <cellStyle name="20% - Accent1 2 4 2 5" xfId="3348" xr:uid="{7B3F6D01-2E25-4253-85CC-D616EA5EE167}"/>
    <cellStyle name="20% - Accent1 2 4 2 5 2" xfId="7545" xr:uid="{54CAF4EC-A149-40C3-9B41-BBBCCCE1D938}"/>
    <cellStyle name="20% - Accent1 2 4 2 6" xfId="4666" xr:uid="{2F55774A-42D5-403E-B7C1-1A7FDAFAD3F4}"/>
    <cellStyle name="20% - Accent1 2 4 2 6 2" xfId="8845" xr:uid="{F613630F-6747-4245-BA03-ADBD0AA5A638}"/>
    <cellStyle name="20% - Accent1 2 4 2 7" xfId="6230" xr:uid="{04D4A6C2-3C87-423C-A079-640F08B9840B}"/>
    <cellStyle name="20% - Accent1 2 4 3" xfId="837" xr:uid="{07D182FB-59E4-4CFF-A24D-07FAEA49683A}"/>
    <cellStyle name="20% - Accent1 2 4 3 2" xfId="836" xr:uid="{77403FF2-ED92-47B0-AFBE-DCAE589B04A5}"/>
    <cellStyle name="20% - Accent1 2 4 4" xfId="870" xr:uid="{B3ABD599-BA02-4C30-8582-B0006045AD5D}"/>
    <cellStyle name="20% - Accent1 2 4 5" xfId="676" xr:uid="{D63E49F6-FEDB-4120-9BAE-E47C02D9E4C6}"/>
    <cellStyle name="20% - Accent1 2 4 6" xfId="2885" xr:uid="{762E3170-BADC-428B-ACB1-2B0D7AF0C2D2}"/>
    <cellStyle name="20% - Accent1 2 4 6 2" xfId="7088" xr:uid="{932ADFF0-E296-494D-B7DE-300244E002D2}"/>
    <cellStyle name="20% - Accent1 2 4 7" xfId="4196" xr:uid="{3D900BAA-19E2-4FF1-A70F-C50ED93F2932}"/>
    <cellStyle name="20% - Accent1 2 4 7 2" xfId="8381" xr:uid="{D13B7DFB-2FEE-4FBA-A514-C390F59572DB}"/>
    <cellStyle name="20% - Accent1 2 4 8" xfId="5765" xr:uid="{B15A84DF-1C8F-4FFB-902B-E32CB1CF644C}"/>
    <cellStyle name="20% - Accent1 2 5" xfId="980" xr:uid="{80B189AC-76EB-4887-A86A-6F8D1EE3112A}"/>
    <cellStyle name="20% - Accent1 2 5 2" xfId="1221" xr:uid="{A078C4C4-5178-43AE-9279-22059E47CFDF}"/>
    <cellStyle name="20% - Accent1 2 5 2 2" xfId="3414" xr:uid="{C5399CB5-877E-489E-AFB8-1772C5BB2646}"/>
    <cellStyle name="20% - Accent1 2 5 2 2 2" xfId="7611" xr:uid="{32BC1FEB-2E59-4555-9D8F-B9BA81B43442}"/>
    <cellStyle name="20% - Accent1 2 5 2 3" xfId="4732" xr:uid="{90334FBE-04A9-492D-81EB-33095822E2DB}"/>
    <cellStyle name="20% - Accent1 2 5 2 3 2" xfId="8911" xr:uid="{32D5BC39-B857-4E76-B0CE-8504D54AE601}"/>
    <cellStyle name="20% - Accent1 2 5 2 4" xfId="6296" xr:uid="{6F4F7480-349F-4669-8B2B-7C6EBE0E85F3}"/>
    <cellStyle name="20% - Accent1 2 5 3" xfId="835" xr:uid="{41A09CD2-25D0-4A24-AC19-6DF7A5352A8A}"/>
    <cellStyle name="20% - Accent1 2 5 4" xfId="3188" xr:uid="{B039098A-361C-4A32-B332-DC259F7989FA}"/>
    <cellStyle name="20% - Accent1 2 5 4 2" xfId="7389" xr:uid="{4E9251A0-D1A0-4F03-BE4F-1C11CDF9CE1A}"/>
    <cellStyle name="20% - Accent1 2 5 5" xfId="4505" xr:uid="{8D1A5BB7-8AA2-442B-B123-851AB8C1D93D}"/>
    <cellStyle name="20% - Accent1 2 5 5 2" xfId="8688" xr:uid="{936DA02C-2840-446A-9635-ED2E36E62EF2}"/>
    <cellStyle name="20% - Accent1 2 5 6" xfId="6073" xr:uid="{F3D4A7FF-FE83-4AB3-9112-3EB67890C506}"/>
    <cellStyle name="20% - Accent1 2 6" xfId="1089" xr:uid="{3A799D9C-E1AE-41C3-8E3D-57D699D77181}"/>
    <cellStyle name="20% - Accent1 2 6 2" xfId="3282" xr:uid="{1014E8DA-E230-4EA6-B450-055CC7902A2A}"/>
    <cellStyle name="20% - Accent1 2 6 2 2" xfId="7479" xr:uid="{93E27BFD-B63F-4888-8F84-F4F1E0D44A91}"/>
    <cellStyle name="20% - Accent1 2 6 3" xfId="4600" xr:uid="{3628EE9F-0FA9-4B80-9203-8E070EA1FCAB}"/>
    <cellStyle name="20% - Accent1 2 6 3 2" xfId="8779" xr:uid="{4F3A38F2-F81C-4E6D-9DF8-1EB067D080DB}"/>
    <cellStyle name="20% - Accent1 2 6 4" xfId="6164" xr:uid="{33B0E9DA-A6ED-4DCF-A4AC-60B6DD35C88C}"/>
    <cellStyle name="20% - Accent1 2 7" xfId="2798" xr:uid="{394B3AF8-32F2-4B8A-A4A3-4AAF757569B2}"/>
    <cellStyle name="20% - Accent1 2 7 2" xfId="7009" xr:uid="{B25CBF8B-9BA0-4765-BB21-9497AE87D7AA}"/>
    <cellStyle name="20% - Accent1 2 8" xfId="4106" xr:uid="{2F0BDAD8-0024-49B9-B07C-CCAA6500FBA0}"/>
    <cellStyle name="20% - Accent1 2 8 2" xfId="8295" xr:uid="{B65229CB-5BED-41BE-8701-CCE7B7A210E4}"/>
    <cellStyle name="20% - Accent1 2 9" xfId="5677" xr:uid="{001ED0D6-F061-4B96-B0CD-D008581EB829}"/>
    <cellStyle name="20% - Accent1 3" xfId="99" xr:uid="{A5C14AA8-3829-44FA-923A-9D98366A17D2}"/>
    <cellStyle name="20% - Accent1 3 2" xfId="566" xr:uid="{6DEF9EFB-971A-4B4F-8342-F3C383E8B7B0}"/>
    <cellStyle name="20% - Accent1 3 2 2" xfId="1157" xr:uid="{0C61D888-249F-41A1-83B4-6A06F22A0FDD}"/>
    <cellStyle name="20% - Accent1 3 2 2 2" xfId="3350" xr:uid="{9843B904-2EA7-4462-AF7D-CC95FD200591}"/>
    <cellStyle name="20% - Accent1 3 2 2 2 2" xfId="7547" xr:uid="{D3B0F06D-B9B3-48E6-BF97-335E051E001C}"/>
    <cellStyle name="20% - Accent1 3 2 2 3" xfId="4668" xr:uid="{635FBB91-314C-4E85-863B-AEAE8E01AC0A}"/>
    <cellStyle name="20% - Accent1 3 2 2 3 2" xfId="8847" xr:uid="{620B8D86-07DA-4740-BDD4-BDF2B24CBB24}"/>
    <cellStyle name="20% - Accent1 3 2 2 4" xfId="6232" xr:uid="{64A9426C-5B12-450C-986D-8AE2C2641907}"/>
    <cellStyle name="20% - Accent1 3 2 3" xfId="2887" xr:uid="{211974BA-F0B1-49C5-B962-A4C4D1852A6B}"/>
    <cellStyle name="20% - Accent1 3 2 3 2" xfId="7090" xr:uid="{04A0CA7C-710D-4A67-91A0-03CAB196D5AD}"/>
    <cellStyle name="20% - Accent1 3 2 4" xfId="4198" xr:uid="{9D46E790-1716-410A-AD59-036B351D4D90}"/>
    <cellStyle name="20% - Accent1 3 2 4 2" xfId="8383" xr:uid="{70753B12-583B-464A-9A7A-B58D8C8A9922}"/>
    <cellStyle name="20% - Accent1 3 2 5" xfId="5767" xr:uid="{DC4DFFFF-F6DC-4936-B462-A31FC5CA4529}"/>
    <cellStyle name="20% - Accent1 3 3" xfId="982" xr:uid="{6F1D57D4-3604-4B1F-8A50-90FE71FDE0A3}"/>
    <cellStyle name="20% - Accent1 3 3 2" xfId="1223" xr:uid="{27DF546A-7298-4C4E-8D94-29DABCCD41D8}"/>
    <cellStyle name="20% - Accent1 3 3 2 2" xfId="3416" xr:uid="{B3FB1EC5-A9A5-4EE4-AAA8-00D2C3A97B11}"/>
    <cellStyle name="20% - Accent1 3 3 2 2 2" xfId="7613" xr:uid="{E730BEE5-A1A5-45AC-9DA8-9F3E076084A9}"/>
    <cellStyle name="20% - Accent1 3 3 2 3" xfId="4734" xr:uid="{AE6C0A0A-270B-4FC9-AE43-8CC78D924B65}"/>
    <cellStyle name="20% - Accent1 3 3 2 3 2" xfId="8913" xr:uid="{3F8015A8-095D-4AF9-BA22-A5676155E64B}"/>
    <cellStyle name="20% - Accent1 3 3 2 4" xfId="6298" xr:uid="{C9D96DA1-507B-4FA8-AD18-AE2C6E1AFBBC}"/>
    <cellStyle name="20% - Accent1 3 3 3" xfId="3190" xr:uid="{8DEC6023-E5CD-4724-BE4D-5B5CE31EFA41}"/>
    <cellStyle name="20% - Accent1 3 3 3 2" xfId="7391" xr:uid="{DF618065-9CF4-48AE-A4D6-D7D5FD1CC487}"/>
    <cellStyle name="20% - Accent1 3 3 4" xfId="4507" xr:uid="{C1BFD31E-EFAA-49F9-94A8-CB358D166D57}"/>
    <cellStyle name="20% - Accent1 3 3 4 2" xfId="8690" xr:uid="{5159E9A6-B476-4DCF-AFB9-7C903FA2426A}"/>
    <cellStyle name="20% - Accent1 3 3 5" xfId="6075" xr:uid="{E4960FCE-C1B2-4EE1-A369-E6CF21A604F3}"/>
    <cellStyle name="20% - Accent1 3 4" xfId="1091" xr:uid="{435E54CC-CA98-4230-9C01-E158288B18B9}"/>
    <cellStyle name="20% - Accent1 3 4 2" xfId="3284" xr:uid="{00CFD601-0BEE-4DD9-B558-BFA1995FB231}"/>
    <cellStyle name="20% - Accent1 3 4 2 2" xfId="7481" xr:uid="{C75A890D-2EB6-44AB-A130-4581B9746965}"/>
    <cellStyle name="20% - Accent1 3 4 3" xfId="4602" xr:uid="{B52BA23B-4163-4B88-84EC-DF7B78B8F2D0}"/>
    <cellStyle name="20% - Accent1 3 4 3 2" xfId="8781" xr:uid="{6E75193D-F114-4CF4-9FA8-51434536211F}"/>
    <cellStyle name="20% - Accent1 3 4 4" xfId="6166" xr:uid="{02A46DDC-A2E5-4962-9641-819222249877}"/>
    <cellStyle name="20% - Accent1 3 5" xfId="2800" xr:uid="{1804E50D-68FB-4D60-8FB4-80A1D38263EB}"/>
    <cellStyle name="20% - Accent1 3 5 2" xfId="7011" xr:uid="{AC2C6B08-2EB7-441D-B4A8-7DA4E6FFC0A3}"/>
    <cellStyle name="20% - Accent1 3 6" xfId="4108" xr:uid="{91E61F78-2FC3-4B55-A590-855C5A015D46}"/>
    <cellStyle name="20% - Accent1 3 6 2" xfId="8297" xr:uid="{B8D7A1A8-AE5C-494B-B87E-78AFC7B487EF}"/>
    <cellStyle name="20% - Accent1 3 7" xfId="5679" xr:uid="{4F887D17-A635-4CE8-A008-332599780910}"/>
    <cellStyle name="20% - Accent1 4" xfId="100" xr:uid="{1C18CEB9-503A-4EE2-B819-3F648B77D6AF}"/>
    <cellStyle name="20% - Accent1 4 2" xfId="567" xr:uid="{EDFA0893-E06A-469E-A991-CFA3C0D36232}"/>
    <cellStyle name="20% - Accent1 4 2 2" xfId="1158" xr:uid="{4461BB3F-3646-40EE-9DA8-5D8AC181C9B1}"/>
    <cellStyle name="20% - Accent1 4 2 2 2" xfId="3351" xr:uid="{367E9984-DDC2-4926-91D5-C37D86065F84}"/>
    <cellStyle name="20% - Accent1 4 2 2 2 2" xfId="7548" xr:uid="{BEDB6B32-BEAB-4CC5-B327-B9C4E1924C93}"/>
    <cellStyle name="20% - Accent1 4 2 2 3" xfId="4669" xr:uid="{A7FAB462-8CB3-4F3B-8C5A-17EB6FBD84A5}"/>
    <cellStyle name="20% - Accent1 4 2 2 3 2" xfId="8848" xr:uid="{B71BB177-110E-41FF-81EC-FCD8204FE005}"/>
    <cellStyle name="20% - Accent1 4 2 2 4" xfId="6233" xr:uid="{6C2465A1-5B36-4291-BE13-0FCBB3267457}"/>
    <cellStyle name="20% - Accent1 4 2 3" xfId="2888" xr:uid="{58AF854E-EEA3-47AF-8025-9ABCFCA5E052}"/>
    <cellStyle name="20% - Accent1 4 2 3 2" xfId="7091" xr:uid="{5D483D40-57C8-48D9-A8A7-E62694C83809}"/>
    <cellStyle name="20% - Accent1 4 2 4" xfId="4199" xr:uid="{977460FD-48D4-4341-9AAD-9D06D357C7E9}"/>
    <cellStyle name="20% - Accent1 4 2 4 2" xfId="8384" xr:uid="{F17B6DB4-74CE-4798-99F4-6EE28F97F2BA}"/>
    <cellStyle name="20% - Accent1 4 2 5" xfId="5768" xr:uid="{105F2FDA-DE7C-4FED-9371-4ED605822295}"/>
    <cellStyle name="20% - Accent1 4 3" xfId="983" xr:uid="{A8E769C1-EDDD-4F5F-8C84-742291A4FF1B}"/>
    <cellStyle name="20% - Accent1 4 3 2" xfId="1224" xr:uid="{315E5162-EEC7-460B-B861-E0D9639E6811}"/>
    <cellStyle name="20% - Accent1 4 3 2 2" xfId="3417" xr:uid="{8801F2DF-7B28-48D3-934A-8804FB350FDC}"/>
    <cellStyle name="20% - Accent1 4 3 2 2 2" xfId="7614" xr:uid="{E4D8E97A-6BCF-46AA-BB7E-403515294C5E}"/>
    <cellStyle name="20% - Accent1 4 3 2 3" xfId="4735" xr:uid="{72F2036A-DE5C-4332-98A1-F65BDE049BDE}"/>
    <cellStyle name="20% - Accent1 4 3 2 3 2" xfId="8914" xr:uid="{3CD4D922-B7AE-417D-BCB8-371F6802F605}"/>
    <cellStyle name="20% - Accent1 4 3 2 4" xfId="6299" xr:uid="{2EFABA67-CFBD-4851-9841-6240CE5FA366}"/>
    <cellStyle name="20% - Accent1 4 3 3" xfId="3191" xr:uid="{E1CCA869-0BDB-4DA9-B621-A9DA1FAFD7EE}"/>
    <cellStyle name="20% - Accent1 4 3 3 2" xfId="7392" xr:uid="{986B3DF0-76A5-4CF6-B4E8-981769947F3F}"/>
    <cellStyle name="20% - Accent1 4 3 4" xfId="4508" xr:uid="{24640A57-FCA6-49D3-ABF1-3F96E82E3FF2}"/>
    <cellStyle name="20% - Accent1 4 3 4 2" xfId="8691" xr:uid="{89148BE5-A39E-4969-A5F0-83F3DE9B8A63}"/>
    <cellStyle name="20% - Accent1 4 3 5" xfId="6076" xr:uid="{31AB777E-8663-41B9-A738-44B5A4DF955C}"/>
    <cellStyle name="20% - Accent1 4 4" xfId="1092" xr:uid="{07147A31-AED1-414B-A6A8-7CC38FBC9C86}"/>
    <cellStyle name="20% - Accent1 4 4 2" xfId="3285" xr:uid="{579CB2FD-5A54-4289-BCB0-0238426CECCD}"/>
    <cellStyle name="20% - Accent1 4 4 2 2" xfId="7482" xr:uid="{E529F732-2F85-4250-A3B8-9C114A7169FD}"/>
    <cellStyle name="20% - Accent1 4 4 3" xfId="4603" xr:uid="{AEDD15C6-4E68-4434-A605-D4791275FD68}"/>
    <cellStyle name="20% - Accent1 4 4 3 2" xfId="8782" xr:uid="{F9DCFDEF-3B34-4661-A7EC-873428E9E324}"/>
    <cellStyle name="20% - Accent1 4 4 4" xfId="6167" xr:uid="{EDFC7F41-173C-49F5-9F87-384930553F9B}"/>
    <cellStyle name="20% - Accent1 4 5" xfId="2801" xr:uid="{399E5AFD-9E47-42F6-ACD0-ECD873004E68}"/>
    <cellStyle name="20% - Accent1 4 5 2" xfId="7012" xr:uid="{0C62DF6F-DD7B-4EEF-8FDA-49DBE5E65D43}"/>
    <cellStyle name="20% - Accent1 4 6" xfId="4109" xr:uid="{FF768230-AD97-4684-B1D6-1CE1BC2BACA1}"/>
    <cellStyle name="20% - Accent1 4 6 2" xfId="8298" xr:uid="{4A0A2FF2-CC7C-46AF-9121-3EC09624AE47}"/>
    <cellStyle name="20% - Accent1 4 7" xfId="5680" xr:uid="{B722A0E1-D267-4E76-98FF-0B0330C803FF}"/>
    <cellStyle name="20% - Accent2 2" xfId="101" xr:uid="{148ABF42-4AE0-4FF5-8169-90F3E26A0C86}"/>
    <cellStyle name="20% - Accent2 2 2" xfId="102" xr:uid="{762C88B2-37B6-459C-945D-7606A8F54450}"/>
    <cellStyle name="20% - Accent2 2 2 2" xfId="569" xr:uid="{24ADDD8C-6FD9-4564-9716-DD67FB72B0E7}"/>
    <cellStyle name="20% - Accent2 2 2 2 2" xfId="1160" xr:uid="{381E87DF-4995-4866-AB32-5876C8870A10}"/>
    <cellStyle name="20% - Accent2 2 2 2 2 2" xfId="3353" xr:uid="{C72E335E-94F6-4F3F-A1CF-72A1313F9676}"/>
    <cellStyle name="20% - Accent2 2 2 2 2 2 2" xfId="7550" xr:uid="{6CC538E6-E41E-41D9-AC84-B3089EB71A1D}"/>
    <cellStyle name="20% - Accent2 2 2 2 2 3" xfId="4671" xr:uid="{E3A0A2CA-684B-445D-8195-CDF5776C56CB}"/>
    <cellStyle name="20% - Accent2 2 2 2 2 3 2" xfId="8850" xr:uid="{A9399412-E60A-428B-AF12-1D9EFFFF493E}"/>
    <cellStyle name="20% - Accent2 2 2 2 2 4" xfId="6235" xr:uid="{915C08B0-2BE8-4894-A22F-6530DE914566}"/>
    <cellStyle name="20% - Accent2 2 2 2 3" xfId="2890" xr:uid="{DC53CDA0-CF46-496C-A880-960878A5AD09}"/>
    <cellStyle name="20% - Accent2 2 2 2 3 2" xfId="7093" xr:uid="{8DD3A61D-33BA-463A-B73D-BE50528AC72D}"/>
    <cellStyle name="20% - Accent2 2 2 2 4" xfId="4201" xr:uid="{C1C6B3C5-EE4E-49BD-9B3B-CA780CA8FCEB}"/>
    <cellStyle name="20% - Accent2 2 2 2 4 2" xfId="8386" xr:uid="{F97E2710-F5F4-487B-A50C-FD867B9B0E45}"/>
    <cellStyle name="20% - Accent2 2 2 2 5" xfId="5770" xr:uid="{1798668C-92F1-45A1-A601-CBA98526D946}"/>
    <cellStyle name="20% - Accent2 2 2 3" xfId="985" xr:uid="{CD678D02-5D6D-484A-9F7B-8CAE3D62F0EC}"/>
    <cellStyle name="20% - Accent2 2 2 3 2" xfId="1226" xr:uid="{87CD5960-3F02-4A17-B231-0C086D3D9C08}"/>
    <cellStyle name="20% - Accent2 2 2 3 2 2" xfId="3419" xr:uid="{E3DE5655-7EDA-41BD-A039-4ED4D149ED6A}"/>
    <cellStyle name="20% - Accent2 2 2 3 2 2 2" xfId="7616" xr:uid="{69EAA16B-857E-4890-BE53-5692BDE76DB8}"/>
    <cellStyle name="20% - Accent2 2 2 3 2 3" xfId="4737" xr:uid="{7B48B92B-B074-4975-AEA1-13A40A37F366}"/>
    <cellStyle name="20% - Accent2 2 2 3 2 3 2" xfId="8916" xr:uid="{D351B05D-3C3F-4EE2-874A-0B084AD1B24F}"/>
    <cellStyle name="20% - Accent2 2 2 3 2 4" xfId="6301" xr:uid="{BF10FBA3-8354-4A15-8D53-C4960FE0D95E}"/>
    <cellStyle name="20% - Accent2 2 2 3 3" xfId="3193" xr:uid="{59504A9D-C73C-4486-A872-56EAB360DDDC}"/>
    <cellStyle name="20% - Accent2 2 2 3 3 2" xfId="7394" xr:uid="{E1F9D9A5-D9C1-4501-978F-06CB6014A91A}"/>
    <cellStyle name="20% - Accent2 2 2 3 4" xfId="4510" xr:uid="{7D555A8C-70EB-43F0-9596-1AC1F8111BB5}"/>
    <cellStyle name="20% - Accent2 2 2 3 4 2" xfId="8693" xr:uid="{6FC6F1F7-63D8-481C-B985-D69884C44A09}"/>
    <cellStyle name="20% - Accent2 2 2 3 5" xfId="6078" xr:uid="{15F5D0C2-2681-4E71-9E06-1A11748A2262}"/>
    <cellStyle name="20% - Accent2 2 2 4" xfId="1094" xr:uid="{FF2BCC7E-4306-49E8-949B-1971669CF377}"/>
    <cellStyle name="20% - Accent2 2 2 4 2" xfId="3287" xr:uid="{EC88EA53-B8D1-4150-AB23-B68C5D62D0B1}"/>
    <cellStyle name="20% - Accent2 2 2 4 2 2" xfId="7484" xr:uid="{A4F691E8-3FD0-410C-9A5A-3C781312EE89}"/>
    <cellStyle name="20% - Accent2 2 2 4 3" xfId="4605" xr:uid="{59D4C0D3-15F1-49A2-B010-D02E4EB928BA}"/>
    <cellStyle name="20% - Accent2 2 2 4 3 2" xfId="8784" xr:uid="{E2FB39A5-F738-4334-A737-5DAD54E39DC6}"/>
    <cellStyle name="20% - Accent2 2 2 4 4" xfId="6169" xr:uid="{0ED2F8FF-1AC4-4F5E-9BCC-D579AE16CD98}"/>
    <cellStyle name="20% - Accent2 2 2 5" xfId="2803" xr:uid="{A62D11E5-4FE6-4503-B780-C04F52224215}"/>
    <cellStyle name="20% - Accent2 2 2 5 2" xfId="7014" xr:uid="{CB41D4EE-5141-4393-A667-8C9053ED6883}"/>
    <cellStyle name="20% - Accent2 2 2 6" xfId="4111" xr:uid="{601CEA6C-AEE6-40AB-BC15-DC1053E057E8}"/>
    <cellStyle name="20% - Accent2 2 2 6 2" xfId="8300" xr:uid="{6FA34F8C-E4AF-4209-8387-5EAE0D055D46}"/>
    <cellStyle name="20% - Accent2 2 2 7" xfId="5682" xr:uid="{6056EEA2-0E2F-46C6-BEA3-8B90680527E9}"/>
    <cellStyle name="20% - Accent2 2 3" xfId="103" xr:uid="{024E12DB-1532-4437-9B9E-044E0386A0C1}"/>
    <cellStyle name="20% - Accent2 2 3 2" xfId="104" xr:uid="{A967DED4-0BD2-4C2B-B440-F75753A96D29}"/>
    <cellStyle name="20% - Accent2 2 3 2 2" xfId="534" xr:uid="{AE6B80AB-EE3A-4C1E-95D5-2C20DF86E264}"/>
    <cellStyle name="20% - Accent2 2 3 3" xfId="533" xr:uid="{170B784E-B29A-4919-869F-765DFF99C0A0}"/>
    <cellStyle name="20% - Accent2 2 4" xfId="568" xr:uid="{515BFC98-DAD7-4B80-804D-FA9636A21614}"/>
    <cellStyle name="20% - Accent2 2 4 2" xfId="1159" xr:uid="{E3E7DA47-8E44-44B2-A24C-16B70FB60DE1}"/>
    <cellStyle name="20% - Accent2 2 4 2 2" xfId="1055" xr:uid="{5CAA2FA6-1C8C-4717-A54C-B3A783FCF403}"/>
    <cellStyle name="20% - Accent2 2 4 2 2 2" xfId="1362" xr:uid="{B26B7042-39D8-48D2-A3A5-016DF76E656D}"/>
    <cellStyle name="20% - Accent2 2 4 2 3" xfId="1056" xr:uid="{800F6948-39AB-43AF-B481-8FB4E1D68FEC}"/>
    <cellStyle name="20% - Accent2 2 4 2 4" xfId="1291" xr:uid="{3022C003-C227-4BAD-9E99-C59B03B0BE5A}"/>
    <cellStyle name="20% - Accent2 2 4 2 5" xfId="3352" xr:uid="{69F6A79B-54F5-4DF1-9DA7-AE879CDD0C5A}"/>
    <cellStyle name="20% - Accent2 2 4 2 5 2" xfId="7549" xr:uid="{359E4743-AA59-4F9A-896D-4F0E3F31BBF4}"/>
    <cellStyle name="20% - Accent2 2 4 2 6" xfId="4670" xr:uid="{461E60F3-945E-4212-9A7F-0877DA9EABE3}"/>
    <cellStyle name="20% - Accent2 2 4 2 6 2" xfId="8849" xr:uid="{85079159-2C5D-4395-B668-4631CC2CAAD2}"/>
    <cellStyle name="20% - Accent2 2 4 2 7" xfId="6234" xr:uid="{6D6A132D-9D46-4C7E-A7B1-61664493F5D8}"/>
    <cellStyle name="20% - Accent2 2 4 3" xfId="1327" xr:uid="{4533A4B0-ECCA-4C3F-A73E-C68A3ABAFDDA}"/>
    <cellStyle name="20% - Accent2 2 4 3 2" xfId="834" xr:uid="{434754B5-FA34-4713-A591-AED760F4CF16}"/>
    <cellStyle name="20% - Accent2 2 4 4" xfId="674" xr:uid="{7D1999C2-8D1D-4C09-8718-81BFDE415B75}"/>
    <cellStyle name="20% - Accent2 2 4 5" xfId="934" xr:uid="{CBD034CD-3C86-42CC-93C3-862AC5822D0E}"/>
    <cellStyle name="20% - Accent2 2 4 6" xfId="2889" xr:uid="{3E304979-5CEE-49C3-892C-E2A00AA52F78}"/>
    <cellStyle name="20% - Accent2 2 4 6 2" xfId="7092" xr:uid="{F0F6B508-3159-4B59-89BF-E897A8BEC74E}"/>
    <cellStyle name="20% - Accent2 2 4 7" xfId="4200" xr:uid="{C5F70233-2681-491C-9BE8-0720DDBB94BD}"/>
    <cellStyle name="20% - Accent2 2 4 7 2" xfId="8385" xr:uid="{A448BC25-D18D-4322-9723-513F328053DB}"/>
    <cellStyle name="20% - Accent2 2 4 8" xfId="5769" xr:uid="{ACAA80ED-09DD-480A-93C4-685EB950984B}"/>
    <cellStyle name="20% - Accent2 2 5" xfId="984" xr:uid="{F39F60B5-AFDF-48C3-9B01-FB85CAEB008E}"/>
    <cellStyle name="20% - Accent2 2 5 2" xfId="1225" xr:uid="{98B37B05-B7DF-4E0E-A7E1-25FDA24F2218}"/>
    <cellStyle name="20% - Accent2 2 5 2 2" xfId="3418" xr:uid="{3E40E438-45D2-44EF-98C7-F8A178898E1E}"/>
    <cellStyle name="20% - Accent2 2 5 2 2 2" xfId="7615" xr:uid="{209781E9-1546-4255-B8AF-9DCA61B6F777}"/>
    <cellStyle name="20% - Accent2 2 5 2 3" xfId="4736" xr:uid="{4520CAA3-C947-4802-A615-F6A822BFAA16}"/>
    <cellStyle name="20% - Accent2 2 5 2 3 2" xfId="8915" xr:uid="{1A1D9582-57CC-4D72-ACD5-38DD086713DA}"/>
    <cellStyle name="20% - Accent2 2 5 2 4" xfId="6300" xr:uid="{625E7B41-51F1-41E6-BB90-57B05A002F97}"/>
    <cellStyle name="20% - Accent2 2 5 3" xfId="662" xr:uid="{7889F9AC-9345-4C6A-9F45-1E8A4E83CC27}"/>
    <cellStyle name="20% - Accent2 2 5 4" xfId="3192" xr:uid="{28E1C7F7-9A26-4C48-80D6-03183DD27BC8}"/>
    <cellStyle name="20% - Accent2 2 5 4 2" xfId="7393" xr:uid="{4A10666E-CD45-4CF7-A535-72F1B4B4DB73}"/>
    <cellStyle name="20% - Accent2 2 5 5" xfId="4509" xr:uid="{B2C69FE5-BF34-403C-A87F-1D5AD0B6FD1F}"/>
    <cellStyle name="20% - Accent2 2 5 5 2" xfId="8692" xr:uid="{1D2C540B-CEB0-46BA-8E89-8E2EF088A732}"/>
    <cellStyle name="20% - Accent2 2 5 6" xfId="6077" xr:uid="{081E9F35-9E9D-4E2B-9D17-5FCE32BE67B6}"/>
    <cellStyle name="20% - Accent2 2 6" xfId="1093" xr:uid="{6B1B51DC-B4E6-477D-B409-34D457F06B3D}"/>
    <cellStyle name="20% - Accent2 2 6 2" xfId="3286" xr:uid="{8396AD22-F1D3-40FC-ACC8-B16213863537}"/>
    <cellStyle name="20% - Accent2 2 6 2 2" xfId="7483" xr:uid="{A28A9E2E-180E-46CA-B4CB-AA5A9FBAF002}"/>
    <cellStyle name="20% - Accent2 2 6 3" xfId="4604" xr:uid="{DA234A0C-726D-4E06-95DF-7F71511FF7A1}"/>
    <cellStyle name="20% - Accent2 2 6 3 2" xfId="8783" xr:uid="{A1780D8D-EE38-45F9-82A1-D1516830A8FE}"/>
    <cellStyle name="20% - Accent2 2 6 4" xfId="6168" xr:uid="{E7708D25-6D58-48CD-B237-3B76EC6C6B3B}"/>
    <cellStyle name="20% - Accent2 2 7" xfId="2802" xr:uid="{909810FC-7100-4A50-BD54-A8AB611CA6EA}"/>
    <cellStyle name="20% - Accent2 2 7 2" xfId="7013" xr:uid="{DF5DBFF8-C01A-41DF-A435-07248C59DF75}"/>
    <cellStyle name="20% - Accent2 2 8" xfId="4110" xr:uid="{C79F68AE-5686-4F83-9F88-D8109F4C4559}"/>
    <cellStyle name="20% - Accent2 2 8 2" xfId="8299" xr:uid="{39D1F758-1FB6-471C-83D3-8E2C1F3C1BF4}"/>
    <cellStyle name="20% - Accent2 2 9" xfId="5681" xr:uid="{0979D0D0-C3BE-4A3A-BF33-B0AD259C9D42}"/>
    <cellStyle name="20% - Accent2 3" xfId="105" xr:uid="{FFB70A98-27B9-4144-9116-A7425E76A429}"/>
    <cellStyle name="20% - Accent2 3 2" xfId="570" xr:uid="{D46807A8-2121-4168-9E05-3744A8816DC3}"/>
    <cellStyle name="20% - Accent2 3 2 2" xfId="1161" xr:uid="{D3E7B34F-A2AC-4A5A-89CD-D8EB8F9EBA6C}"/>
    <cellStyle name="20% - Accent2 3 2 2 2" xfId="3354" xr:uid="{66F1C81C-DA98-4265-AB26-0B2EBADA03EA}"/>
    <cellStyle name="20% - Accent2 3 2 2 2 2" xfId="7551" xr:uid="{EAFAF0D8-EDFA-4E4D-AE3E-A4062B4B5304}"/>
    <cellStyle name="20% - Accent2 3 2 2 3" xfId="4672" xr:uid="{98BFCE72-D839-4BE1-A515-35251359C0B3}"/>
    <cellStyle name="20% - Accent2 3 2 2 3 2" xfId="8851" xr:uid="{1EC4D655-E7C7-4785-9E8E-887F09F3CB0C}"/>
    <cellStyle name="20% - Accent2 3 2 2 4" xfId="6236" xr:uid="{54C43489-7576-4A55-BF04-B76977E02D9D}"/>
    <cellStyle name="20% - Accent2 3 2 3" xfId="2891" xr:uid="{81FBE6FE-F60A-46CD-98AB-8F9B684B89A4}"/>
    <cellStyle name="20% - Accent2 3 2 3 2" xfId="7094" xr:uid="{128AA4C1-4547-4CD6-8E4A-4B31BF0D5D77}"/>
    <cellStyle name="20% - Accent2 3 2 4" xfId="4202" xr:uid="{86570154-DEA8-4808-9EFB-C85AA2B5E033}"/>
    <cellStyle name="20% - Accent2 3 2 4 2" xfId="8387" xr:uid="{85F0E317-0355-480B-9FC3-7D8C81B0EA4A}"/>
    <cellStyle name="20% - Accent2 3 2 5" xfId="5771" xr:uid="{0A6769DD-1539-4EB1-B65E-9BD6707EEE75}"/>
    <cellStyle name="20% - Accent2 3 3" xfId="986" xr:uid="{8C96BFA2-1168-461B-BE26-FE00EFA37536}"/>
    <cellStyle name="20% - Accent2 3 3 2" xfId="1227" xr:uid="{4195A314-FA2A-412E-ABBE-CFF7FC490DC3}"/>
    <cellStyle name="20% - Accent2 3 3 2 2" xfId="3420" xr:uid="{0DD10A2D-51F8-49FA-A83F-A0A49A5AD904}"/>
    <cellStyle name="20% - Accent2 3 3 2 2 2" xfId="7617" xr:uid="{5898A33A-9A07-4FF8-BC0A-91D80B860B70}"/>
    <cellStyle name="20% - Accent2 3 3 2 3" xfId="4738" xr:uid="{EA8690A6-2B94-4784-B352-2811F4CF6808}"/>
    <cellStyle name="20% - Accent2 3 3 2 3 2" xfId="8917" xr:uid="{5805ABEE-51BA-4E5B-B62C-2AB0C4C9E666}"/>
    <cellStyle name="20% - Accent2 3 3 2 4" xfId="6302" xr:uid="{B626FF13-2E6A-432D-95B6-4DCBACDA92C7}"/>
    <cellStyle name="20% - Accent2 3 3 3" xfId="3194" xr:uid="{1B3033E7-5F58-45BB-9F73-210FDE4758E6}"/>
    <cellStyle name="20% - Accent2 3 3 3 2" xfId="7395" xr:uid="{7A6D5E1F-D4A5-4EEB-8865-DDBEF5F4B52E}"/>
    <cellStyle name="20% - Accent2 3 3 4" xfId="4511" xr:uid="{C8A411B8-5DC4-407C-90D3-297D28619EFE}"/>
    <cellStyle name="20% - Accent2 3 3 4 2" xfId="8694" xr:uid="{6B21BAC6-B87B-4F07-8332-0268B6A09790}"/>
    <cellStyle name="20% - Accent2 3 3 5" xfId="6079" xr:uid="{B7164E62-6DD2-442F-A11C-39E10DC2F6E9}"/>
    <cellStyle name="20% - Accent2 3 4" xfId="1095" xr:uid="{AF74F1C8-B9C1-4E2E-92EA-85AA756FA877}"/>
    <cellStyle name="20% - Accent2 3 4 2" xfId="3288" xr:uid="{631D4168-7693-46E0-9132-08DD03ECCC5E}"/>
    <cellStyle name="20% - Accent2 3 4 2 2" xfId="7485" xr:uid="{FB87EF51-D8F7-45C6-8918-032200DD1B26}"/>
    <cellStyle name="20% - Accent2 3 4 3" xfId="4606" xr:uid="{7E748EEC-1EB4-4E0F-9D43-7CB7408207AF}"/>
    <cellStyle name="20% - Accent2 3 4 3 2" xfId="8785" xr:uid="{57021D2A-1333-4E10-92EA-92B9BF4CE2A9}"/>
    <cellStyle name="20% - Accent2 3 4 4" xfId="6170" xr:uid="{DA2973C0-3185-4800-822B-6C0EFF560458}"/>
    <cellStyle name="20% - Accent2 3 5" xfId="2804" xr:uid="{62C0F55D-1AAE-4B4A-BBA7-CF5392DDED6A}"/>
    <cellStyle name="20% - Accent2 3 5 2" xfId="7015" xr:uid="{F76052C0-6DFC-44AB-9500-603269DFCC95}"/>
    <cellStyle name="20% - Accent2 3 6" xfId="4112" xr:uid="{2F225F6A-2EF7-4B9A-B349-2627F58EDDA8}"/>
    <cellStyle name="20% - Accent2 3 6 2" xfId="8301" xr:uid="{95234D8A-B02C-4DE2-B7D9-A22983997B18}"/>
    <cellStyle name="20% - Accent2 3 7" xfId="5683" xr:uid="{86B871E5-F52B-4B16-9AD8-829A427E9E73}"/>
    <cellStyle name="20% - Accent2 4" xfId="106" xr:uid="{C4C2DAE4-E1D1-499E-84DE-CAA3F46F88F5}"/>
    <cellStyle name="20% - Accent2 4 2" xfId="571" xr:uid="{0DF8A571-4E41-4C1B-B641-EF7BF919A735}"/>
    <cellStyle name="20% - Accent2 4 2 2" xfId="1162" xr:uid="{0004B5FC-FD95-495C-9E24-B60577688B93}"/>
    <cellStyle name="20% - Accent2 4 2 2 2" xfId="3355" xr:uid="{A201F5AD-DDC3-4511-A388-0918E25810F5}"/>
    <cellStyle name="20% - Accent2 4 2 2 2 2" xfId="7552" xr:uid="{0D295C71-F075-4DE2-9300-24EE3594DEE9}"/>
    <cellStyle name="20% - Accent2 4 2 2 3" xfId="4673" xr:uid="{9C17D0CF-53C4-45AA-BF33-49BF555DCE6C}"/>
    <cellStyle name="20% - Accent2 4 2 2 3 2" xfId="8852" xr:uid="{44BF5945-22C8-4A67-AA74-AC5F891A8599}"/>
    <cellStyle name="20% - Accent2 4 2 2 4" xfId="6237" xr:uid="{845A161A-909D-4ACD-A629-71A0662FD570}"/>
    <cellStyle name="20% - Accent2 4 2 3" xfId="2892" xr:uid="{343086EE-FBEA-4A7D-89C2-93CB667285F3}"/>
    <cellStyle name="20% - Accent2 4 2 3 2" xfId="7095" xr:uid="{FAC6DF1A-16B4-4FBC-A3C3-9630AEC37143}"/>
    <cellStyle name="20% - Accent2 4 2 4" xfId="4203" xr:uid="{EC8745B8-EFD5-4DD1-9976-0896CFE44E70}"/>
    <cellStyle name="20% - Accent2 4 2 4 2" xfId="8388" xr:uid="{F0E2B503-299D-47FD-A930-C4EC0A36F0F9}"/>
    <cellStyle name="20% - Accent2 4 2 5" xfId="5772" xr:uid="{494E79DB-C297-47C9-9D8B-30AB309F4DD3}"/>
    <cellStyle name="20% - Accent2 4 3" xfId="987" xr:uid="{9BA6F53A-F0B0-4520-884F-ED4176F96FF3}"/>
    <cellStyle name="20% - Accent2 4 3 2" xfId="1228" xr:uid="{53AB6589-2808-45BC-A378-6E677C5F68ED}"/>
    <cellStyle name="20% - Accent2 4 3 2 2" xfId="3421" xr:uid="{97CD5E62-951D-411B-B783-78B471AC52D2}"/>
    <cellStyle name="20% - Accent2 4 3 2 2 2" xfId="7618" xr:uid="{64E69F96-845E-4389-9263-E096B14EC9BD}"/>
    <cellStyle name="20% - Accent2 4 3 2 3" xfId="4739" xr:uid="{47F9F90E-FF5C-4634-B293-C80BE614DB5B}"/>
    <cellStyle name="20% - Accent2 4 3 2 3 2" xfId="8918" xr:uid="{7F8285C5-6A28-473C-B9C5-DEC40CE5CDB3}"/>
    <cellStyle name="20% - Accent2 4 3 2 4" xfId="6303" xr:uid="{1DD9182D-E282-4E3E-BFE0-412FCAF7B74B}"/>
    <cellStyle name="20% - Accent2 4 3 3" xfId="3195" xr:uid="{26B49B00-A2BE-4F7D-AD51-F8E5465ADC04}"/>
    <cellStyle name="20% - Accent2 4 3 3 2" xfId="7396" xr:uid="{44ECA287-AFE2-4172-8EC6-718E1DDF06DF}"/>
    <cellStyle name="20% - Accent2 4 3 4" xfId="4512" xr:uid="{0F9178E3-D66A-4C5C-A888-55AEC2485045}"/>
    <cellStyle name="20% - Accent2 4 3 4 2" xfId="8695" xr:uid="{14D576C0-0B06-44A6-ABBD-E1D9B973F4B0}"/>
    <cellStyle name="20% - Accent2 4 3 5" xfId="6080" xr:uid="{D48B5281-85D6-4494-90D7-6ECBC56BF627}"/>
    <cellStyle name="20% - Accent2 4 4" xfId="1096" xr:uid="{41554BB6-6C15-4232-BA90-4BF4058535B8}"/>
    <cellStyle name="20% - Accent2 4 4 2" xfId="3289" xr:uid="{ECCB55DB-4E0C-4ED8-B375-CB44E6E4CD76}"/>
    <cellStyle name="20% - Accent2 4 4 2 2" xfId="7486" xr:uid="{F98EC6F8-632D-4908-BCC6-434090C1619F}"/>
    <cellStyle name="20% - Accent2 4 4 3" xfId="4607" xr:uid="{5B4D24A2-18E7-481C-B006-E4998A1B0B8A}"/>
    <cellStyle name="20% - Accent2 4 4 3 2" xfId="8786" xr:uid="{DF535F15-4591-403C-BDAD-7D36FB061AA1}"/>
    <cellStyle name="20% - Accent2 4 4 4" xfId="6171" xr:uid="{2338B11F-EA47-4859-BBCC-E9CAD15DBCAC}"/>
    <cellStyle name="20% - Accent2 4 5" xfId="2805" xr:uid="{EBFAEE22-9A43-4593-85EA-2D4F0C9337F6}"/>
    <cellStyle name="20% - Accent2 4 5 2" xfId="7016" xr:uid="{65A40935-15EE-47DA-AE1B-3EB93D83A0C1}"/>
    <cellStyle name="20% - Accent2 4 6" xfId="4113" xr:uid="{BB078D46-5159-42E2-9209-13F69D11BD4D}"/>
    <cellStyle name="20% - Accent2 4 6 2" xfId="8302" xr:uid="{F4627E64-67EF-4624-9CB8-B7154CFDEC14}"/>
    <cellStyle name="20% - Accent2 4 7" xfId="5684" xr:uid="{DC6D5649-63B5-4417-9945-3AC53DC1BFED}"/>
    <cellStyle name="20% - Accent3 2" xfId="107" xr:uid="{4E790A7E-A3D9-4133-80B5-D149313BBF8B}"/>
    <cellStyle name="20% - Accent3 2 2" xfId="108" xr:uid="{922C3858-25FA-4D23-B275-3FE24DBC268D}"/>
    <cellStyle name="20% - Accent3 2 2 2" xfId="573" xr:uid="{EA9301AF-D192-4343-ACA3-1ACA9F449883}"/>
    <cellStyle name="20% - Accent3 2 2 2 2" xfId="1164" xr:uid="{829897A9-C51A-4174-8CA1-DBDBB1D1F9EF}"/>
    <cellStyle name="20% - Accent3 2 2 2 2 2" xfId="3357" xr:uid="{5A7DCBC8-4E25-439D-AD3F-EE471E2BE379}"/>
    <cellStyle name="20% - Accent3 2 2 2 2 2 2" xfId="7554" xr:uid="{E15695E7-6D86-40F2-A5B6-A7CA52C2BE5F}"/>
    <cellStyle name="20% - Accent3 2 2 2 2 3" xfId="4675" xr:uid="{54AB0A78-1699-488D-9D96-611551D050EE}"/>
    <cellStyle name="20% - Accent3 2 2 2 2 3 2" xfId="8854" xr:uid="{FADF8072-F5B6-42CF-8851-301C432201BB}"/>
    <cellStyle name="20% - Accent3 2 2 2 2 4" xfId="6239" xr:uid="{C68CF850-F7D5-4F97-8159-05436554F290}"/>
    <cellStyle name="20% - Accent3 2 2 2 3" xfId="2894" xr:uid="{A19BE216-019B-4A36-8663-62A8C6C0E893}"/>
    <cellStyle name="20% - Accent3 2 2 2 3 2" xfId="7097" xr:uid="{199B4ADD-A670-48E9-A9A0-7AFF84112CA1}"/>
    <cellStyle name="20% - Accent3 2 2 2 4" xfId="4205" xr:uid="{9D3312BC-6ED6-4EA4-918C-B7F2F5375959}"/>
    <cellStyle name="20% - Accent3 2 2 2 4 2" xfId="8390" xr:uid="{958DF4C9-C932-43A6-BE54-025DDB08CCEF}"/>
    <cellStyle name="20% - Accent3 2 2 2 5" xfId="5774" xr:uid="{DB252E5D-C7B1-4D5F-8682-C273EDC49823}"/>
    <cellStyle name="20% - Accent3 2 2 3" xfId="989" xr:uid="{41E0380F-A04C-4A59-9907-9729329B2370}"/>
    <cellStyle name="20% - Accent3 2 2 3 2" xfId="1230" xr:uid="{861E7633-8957-41F8-BFF8-5219F0A563DD}"/>
    <cellStyle name="20% - Accent3 2 2 3 2 2" xfId="3423" xr:uid="{CE562AFD-5C04-4177-A58A-96C06B3CD281}"/>
    <cellStyle name="20% - Accent3 2 2 3 2 2 2" xfId="7620" xr:uid="{DD2EA33F-F5FD-4392-8E61-6871D70567F3}"/>
    <cellStyle name="20% - Accent3 2 2 3 2 3" xfId="4741" xr:uid="{6C38B1D2-95C9-4EF9-A58A-6ACF42F681B1}"/>
    <cellStyle name="20% - Accent3 2 2 3 2 3 2" xfId="8920" xr:uid="{E64C5777-E590-42B1-9B5E-453A6D2A0742}"/>
    <cellStyle name="20% - Accent3 2 2 3 2 4" xfId="6305" xr:uid="{3B7357A0-D902-459F-9312-8535D25FFA32}"/>
    <cellStyle name="20% - Accent3 2 2 3 3" xfId="3197" xr:uid="{860AF9BC-C310-4B80-A04D-2273D2708609}"/>
    <cellStyle name="20% - Accent3 2 2 3 3 2" xfId="7398" xr:uid="{BD78EDAF-EF74-4113-8FDD-E0538E6D3869}"/>
    <cellStyle name="20% - Accent3 2 2 3 4" xfId="4514" xr:uid="{3613F419-109F-4448-A598-6D40E4E3016F}"/>
    <cellStyle name="20% - Accent3 2 2 3 4 2" xfId="8697" xr:uid="{194FFABB-DA7F-4005-BEBC-F469AC45861D}"/>
    <cellStyle name="20% - Accent3 2 2 3 5" xfId="6082" xr:uid="{004A7FF1-A222-4342-A8F1-D25101FA3A5C}"/>
    <cellStyle name="20% - Accent3 2 2 4" xfId="1098" xr:uid="{58ACD8B8-5662-4864-94C3-6FA92EAB5FA8}"/>
    <cellStyle name="20% - Accent3 2 2 4 2" xfId="3291" xr:uid="{ECE3996E-4701-4A0D-84C7-2435158F65AC}"/>
    <cellStyle name="20% - Accent3 2 2 4 2 2" xfId="7488" xr:uid="{B81D7D14-DB7C-4AE7-9238-3164754BA514}"/>
    <cellStyle name="20% - Accent3 2 2 4 3" xfId="4609" xr:uid="{0DB08F3A-A3C6-488A-A2A3-4E309FFC90CD}"/>
    <cellStyle name="20% - Accent3 2 2 4 3 2" xfId="8788" xr:uid="{0D9E1F96-994B-4490-A48A-6C7A361ADE68}"/>
    <cellStyle name="20% - Accent3 2 2 4 4" xfId="6173" xr:uid="{77D92028-41E1-475A-A310-EF7F36E4F7AB}"/>
    <cellStyle name="20% - Accent3 2 2 5" xfId="2807" xr:uid="{616F4800-53C4-47C0-9891-991BD5F33B7E}"/>
    <cellStyle name="20% - Accent3 2 2 5 2" xfId="7018" xr:uid="{B5225A9A-7225-46EC-AA8D-E7A13DA918F9}"/>
    <cellStyle name="20% - Accent3 2 2 6" xfId="4115" xr:uid="{99EF4DDE-080D-42E5-9210-0D926127692D}"/>
    <cellStyle name="20% - Accent3 2 2 6 2" xfId="8304" xr:uid="{A377F671-CEA1-4097-A8A1-4714DFF6A738}"/>
    <cellStyle name="20% - Accent3 2 2 7" xfId="5686" xr:uid="{26C22D12-6CE2-432F-9495-ECF3EA878373}"/>
    <cellStyle name="20% - Accent3 2 3" xfId="109" xr:uid="{8C65666B-3282-4B9A-A015-F3C3B517F7FD}"/>
    <cellStyle name="20% - Accent3 2 3 2" xfId="110" xr:uid="{9E862BFE-6FA4-46B5-943C-7C8651AF8A69}"/>
    <cellStyle name="20% - Accent3 2 3 2 2" xfId="536" xr:uid="{84DD1734-4DA7-4019-84C7-96B4A7802A0A}"/>
    <cellStyle name="20% - Accent3 2 3 3" xfId="535" xr:uid="{06E4399C-7487-43C6-ACE4-58E719B61529}"/>
    <cellStyle name="20% - Accent3 2 4" xfId="572" xr:uid="{8E651BA0-B3A0-4A41-ADF2-CE6C24700AC0}"/>
    <cellStyle name="20% - Accent3 2 4 2" xfId="1163" xr:uid="{93056AAE-06FF-40A5-831C-DC363066B578}"/>
    <cellStyle name="20% - Accent3 2 4 2 2" xfId="673" xr:uid="{D496C0AB-57A1-475C-BB85-15543B4ABA1A}"/>
    <cellStyle name="20% - Accent3 2 4 2 2 2" xfId="1326" xr:uid="{C91C0427-773C-4519-8DD0-72656A07C116}"/>
    <cellStyle name="20% - Accent3 2 4 2 3" xfId="832" xr:uid="{F08B55F1-D329-45B9-B5F8-5F1D1C980AA7}"/>
    <cellStyle name="20% - Accent3 2 4 2 4" xfId="833" xr:uid="{0B2D1B9B-E30E-4CC4-9F98-4D5082344D13}"/>
    <cellStyle name="20% - Accent3 2 4 2 5" xfId="3356" xr:uid="{33518EF5-DB10-4395-8364-E7F92B40CC30}"/>
    <cellStyle name="20% - Accent3 2 4 2 5 2" xfId="7553" xr:uid="{1C14B885-35BE-4A5F-A7B1-E6DD4BCA271B}"/>
    <cellStyle name="20% - Accent3 2 4 2 6" xfId="4674" xr:uid="{FEB4DC9D-5EE1-446E-A03D-2AE3E4275627}"/>
    <cellStyle name="20% - Accent3 2 4 2 6 2" xfId="8853" xr:uid="{BEDA3504-7488-416F-97A2-0D5F15AED298}"/>
    <cellStyle name="20% - Accent3 2 4 2 7" xfId="6238" xr:uid="{3B1CDD82-707D-4503-8818-B684B8A9153E}"/>
    <cellStyle name="20% - Accent3 2 4 3" xfId="663" xr:uid="{067DE900-BD16-4D88-953F-3FA6674E9338}"/>
    <cellStyle name="20% - Accent3 2 4 3 2" xfId="1333" xr:uid="{EAAF0F8A-D592-4A9C-A3C9-3DF451D8CFA0}"/>
    <cellStyle name="20% - Accent3 2 4 4" xfId="831" xr:uid="{E844C0F3-B9DD-4FB6-832B-E80FE77FD8DA}"/>
    <cellStyle name="20% - Accent3 2 4 5" xfId="947" xr:uid="{B0FA806B-D350-475D-8321-4E9BF8B453CA}"/>
    <cellStyle name="20% - Accent3 2 4 6" xfId="2893" xr:uid="{07884D70-8D24-42F9-9A9F-EA9395D419EC}"/>
    <cellStyle name="20% - Accent3 2 4 6 2" xfId="7096" xr:uid="{D60B5570-3CA0-4447-BD5D-B9B6D807E5EB}"/>
    <cellStyle name="20% - Accent3 2 4 7" xfId="4204" xr:uid="{DD4CE628-63FB-4F85-89D3-8C36F06B40EB}"/>
    <cellStyle name="20% - Accent3 2 4 7 2" xfId="8389" xr:uid="{18D04E30-8E54-4D8E-AB92-38A5B320BA35}"/>
    <cellStyle name="20% - Accent3 2 4 8" xfId="5773" xr:uid="{897229C8-162D-43B0-B7EC-0CD4CF6F9180}"/>
    <cellStyle name="20% - Accent3 2 5" xfId="988" xr:uid="{7716F3DD-3CD0-4B6C-BF5B-303B0EB83FC9}"/>
    <cellStyle name="20% - Accent3 2 5 2" xfId="1229" xr:uid="{AE610AA6-FE99-4D58-82A4-C056BE9E8F6F}"/>
    <cellStyle name="20% - Accent3 2 5 2 2" xfId="3422" xr:uid="{E652E3BE-E66B-434A-9C21-29FDE6CBADC5}"/>
    <cellStyle name="20% - Accent3 2 5 2 2 2" xfId="7619" xr:uid="{45C21C93-054A-4558-A170-E44376D43D04}"/>
    <cellStyle name="20% - Accent3 2 5 2 3" xfId="4740" xr:uid="{480E6795-0C66-4008-9AD4-1A7D4B955FA6}"/>
    <cellStyle name="20% - Accent3 2 5 2 3 2" xfId="8919" xr:uid="{ADAF2D42-15CC-47F9-8427-EDF5AD564ADF}"/>
    <cellStyle name="20% - Accent3 2 5 2 4" xfId="6304" xr:uid="{98D00CA3-170D-46E9-B0F0-069DE80519A3}"/>
    <cellStyle name="20% - Accent3 2 5 3" xfId="869" xr:uid="{BBACD9D8-BF20-432E-879B-6778D6B3713D}"/>
    <cellStyle name="20% - Accent3 2 5 4" xfId="3196" xr:uid="{6367EF7C-A997-41E8-A41A-59B6D2B8785C}"/>
    <cellStyle name="20% - Accent3 2 5 4 2" xfId="7397" xr:uid="{7F3F824F-3012-434A-A262-B092409BAA52}"/>
    <cellStyle name="20% - Accent3 2 5 5" xfId="4513" xr:uid="{55835A2E-C181-42EE-92AF-915F7FDE63B6}"/>
    <cellStyle name="20% - Accent3 2 5 5 2" xfId="8696" xr:uid="{CD15956A-B340-41FD-B693-3D6D58F1DB13}"/>
    <cellStyle name="20% - Accent3 2 5 6" xfId="6081" xr:uid="{BF258B3A-EFF0-4D3E-95CB-B2871273DFE6}"/>
    <cellStyle name="20% - Accent3 2 6" xfId="1097" xr:uid="{5A298DB3-59B8-4FDA-AC2E-7A0E179A454D}"/>
    <cellStyle name="20% - Accent3 2 6 2" xfId="3290" xr:uid="{54D339DB-9DAA-4C04-BF33-644F6F66B389}"/>
    <cellStyle name="20% - Accent3 2 6 2 2" xfId="7487" xr:uid="{7E1724BC-1FD6-4AF7-8F67-07D131C576FF}"/>
    <cellStyle name="20% - Accent3 2 6 3" xfId="4608" xr:uid="{BA786939-B348-4817-842C-E9AC036A840A}"/>
    <cellStyle name="20% - Accent3 2 6 3 2" xfId="8787" xr:uid="{6B40A49E-0116-406C-84F9-1FDF73691314}"/>
    <cellStyle name="20% - Accent3 2 6 4" xfId="6172" xr:uid="{0D25CC57-297F-4D55-9FCA-1D47C0491A58}"/>
    <cellStyle name="20% - Accent3 2 7" xfId="2806" xr:uid="{F3B25B96-6599-4A04-BA13-DD883F67C4AF}"/>
    <cellStyle name="20% - Accent3 2 7 2" xfId="7017" xr:uid="{84B839EF-9080-4885-96AE-BA4938823158}"/>
    <cellStyle name="20% - Accent3 2 8" xfId="4114" xr:uid="{8A57C48C-EB07-4F24-BD38-4810842F111F}"/>
    <cellStyle name="20% - Accent3 2 8 2" xfId="8303" xr:uid="{DD87B29E-474F-4336-98CE-F2B429014832}"/>
    <cellStyle name="20% - Accent3 2 9" xfId="5685" xr:uid="{6DB1D45F-C88A-4BE7-96AE-33EA6C457E46}"/>
    <cellStyle name="20% - Accent3 3" xfId="111" xr:uid="{D8CC6D18-DC00-4654-8EC6-7389673C01D1}"/>
    <cellStyle name="20% - Accent3 3 2" xfId="574" xr:uid="{29A96DD5-7D58-4441-9A7F-195DF3920B5B}"/>
    <cellStyle name="20% - Accent3 3 2 2" xfId="1165" xr:uid="{41264EEE-20EA-4EAC-A7E6-AD63C277DDF3}"/>
    <cellStyle name="20% - Accent3 3 2 2 2" xfId="3358" xr:uid="{637D5661-D019-42A0-B9B8-CC951894D78A}"/>
    <cellStyle name="20% - Accent3 3 2 2 2 2" xfId="7555" xr:uid="{C79E6006-CA49-49FC-A1D9-FC85FCEBBC4B}"/>
    <cellStyle name="20% - Accent3 3 2 2 3" xfId="4676" xr:uid="{5B54DE3E-F862-4C3E-A5B0-27F6B45E1C6C}"/>
    <cellStyle name="20% - Accent3 3 2 2 3 2" xfId="8855" xr:uid="{2DCA82F6-AD02-469B-AB82-4AB503552DD4}"/>
    <cellStyle name="20% - Accent3 3 2 2 4" xfId="6240" xr:uid="{6B90D3ED-783A-4376-940A-ACA1BF7785A6}"/>
    <cellStyle name="20% - Accent3 3 2 3" xfId="2895" xr:uid="{678FB233-CCB6-4C21-B401-FF2E6DCDD889}"/>
    <cellStyle name="20% - Accent3 3 2 3 2" xfId="7098" xr:uid="{9B0B532C-4FDA-4383-8C99-EE111B1BEADC}"/>
    <cellStyle name="20% - Accent3 3 2 4" xfId="4206" xr:uid="{28079C4B-B1CF-48DF-8C59-67E3FD2DF5D2}"/>
    <cellStyle name="20% - Accent3 3 2 4 2" xfId="8391" xr:uid="{49ECEF2E-F1CF-4EAF-B2CF-98CCFC43DB2F}"/>
    <cellStyle name="20% - Accent3 3 2 5" xfId="5775" xr:uid="{E5059F75-F7FD-46C6-B1A9-19EDC8980D7E}"/>
    <cellStyle name="20% - Accent3 3 3" xfId="990" xr:uid="{298EE7D2-F20F-4876-84D3-1B4F10B3A43C}"/>
    <cellStyle name="20% - Accent3 3 3 2" xfId="1231" xr:uid="{1429A196-811E-4386-9F55-EDFAE17166CB}"/>
    <cellStyle name="20% - Accent3 3 3 2 2" xfId="3424" xr:uid="{3F428E20-0D73-41C7-B2DE-EE8BAFBC2396}"/>
    <cellStyle name="20% - Accent3 3 3 2 2 2" xfId="7621" xr:uid="{A2D606C0-7D46-422F-874B-4C338B4B945B}"/>
    <cellStyle name="20% - Accent3 3 3 2 3" xfId="4742" xr:uid="{ED12422C-D9B1-433C-BD94-3D9394A1C152}"/>
    <cellStyle name="20% - Accent3 3 3 2 3 2" xfId="8921" xr:uid="{9DFFCD38-3F4B-496B-BBBC-236697883E40}"/>
    <cellStyle name="20% - Accent3 3 3 2 4" xfId="6306" xr:uid="{D1678C01-6E1E-438E-895B-15E75A67BBD6}"/>
    <cellStyle name="20% - Accent3 3 3 3" xfId="3198" xr:uid="{EA1407C1-AB33-450B-8251-73536045167C}"/>
    <cellStyle name="20% - Accent3 3 3 3 2" xfId="7399" xr:uid="{E73CABB0-4ADC-48D2-9F3D-824C83957336}"/>
    <cellStyle name="20% - Accent3 3 3 4" xfId="4515" xr:uid="{A80D4A31-07BD-4DCE-B3B1-ECEEB988CB24}"/>
    <cellStyle name="20% - Accent3 3 3 4 2" xfId="8698" xr:uid="{52C42858-C39F-4C1F-B4C1-17980344B77E}"/>
    <cellStyle name="20% - Accent3 3 3 5" xfId="6083" xr:uid="{199CAB58-F67D-46E5-AA8F-AC4891439D55}"/>
    <cellStyle name="20% - Accent3 3 4" xfId="1099" xr:uid="{8D0E8DB0-F391-4C6B-AD5A-BC058718DF3E}"/>
    <cellStyle name="20% - Accent3 3 4 2" xfId="3292" xr:uid="{6F06E9BB-2F17-497F-BDA7-9EDDEA4BB65C}"/>
    <cellStyle name="20% - Accent3 3 4 2 2" xfId="7489" xr:uid="{3F873AC2-B7A2-4288-92A3-11F0579C1665}"/>
    <cellStyle name="20% - Accent3 3 4 3" xfId="4610" xr:uid="{70A1A1B1-92DF-4446-85EE-5CAF57F7C8B2}"/>
    <cellStyle name="20% - Accent3 3 4 3 2" xfId="8789" xr:uid="{FAD9D28B-9DDF-41E9-B299-86FD406B72D0}"/>
    <cellStyle name="20% - Accent3 3 4 4" xfId="6174" xr:uid="{4AA65E4D-161C-4B90-B2B7-31CDD8F4F4BB}"/>
    <cellStyle name="20% - Accent3 3 5" xfId="2808" xr:uid="{392317DE-57AF-401B-A72D-4593EA550D98}"/>
    <cellStyle name="20% - Accent3 3 5 2" xfId="7019" xr:uid="{37FBE7B5-D70E-4BA0-BD1B-082ED7743D32}"/>
    <cellStyle name="20% - Accent3 3 6" xfId="4116" xr:uid="{F9BC227F-513F-4738-BA85-17B605606880}"/>
    <cellStyle name="20% - Accent3 3 6 2" xfId="8305" xr:uid="{4AD7E319-9BAC-4B61-AF02-6214C1E71762}"/>
    <cellStyle name="20% - Accent3 3 7" xfId="5687" xr:uid="{064B9E48-9A78-4F53-9463-7CC7E22ABE75}"/>
    <cellStyle name="20% - Accent3 4" xfId="112" xr:uid="{1EFB73D4-4423-4353-A800-6054FFF62BC3}"/>
    <cellStyle name="20% - Accent3 4 2" xfId="575" xr:uid="{D3F8DCAA-8D4F-4F15-8FA2-460CAFC3D214}"/>
    <cellStyle name="20% - Accent3 4 2 2" xfId="1166" xr:uid="{EFE3369D-2A78-43AE-8665-95678AF4966B}"/>
    <cellStyle name="20% - Accent3 4 2 2 2" xfId="3359" xr:uid="{CBAC6F02-E789-4B34-906C-E57A5102706E}"/>
    <cellStyle name="20% - Accent3 4 2 2 2 2" xfId="7556" xr:uid="{5E02617F-F4B4-4430-8ED7-258D39E5620B}"/>
    <cellStyle name="20% - Accent3 4 2 2 3" xfId="4677" xr:uid="{A7BC074E-BEFD-452F-8E21-9BA2E7756093}"/>
    <cellStyle name="20% - Accent3 4 2 2 3 2" xfId="8856" xr:uid="{F688FE41-D26B-432B-8B7A-6C40474C2AE2}"/>
    <cellStyle name="20% - Accent3 4 2 2 4" xfId="6241" xr:uid="{285DCF23-79A2-4408-BC60-8FD15189BC05}"/>
    <cellStyle name="20% - Accent3 4 2 3" xfId="2896" xr:uid="{55069B03-D1AE-469E-8422-6A1BDB1FC0A5}"/>
    <cellStyle name="20% - Accent3 4 2 3 2" xfId="7099" xr:uid="{A5B258CF-3545-4EE0-AD4F-815508FF5795}"/>
    <cellStyle name="20% - Accent3 4 2 4" xfId="4207" xr:uid="{C14895B4-8C94-43DC-9480-62B9B4CA3C51}"/>
    <cellStyle name="20% - Accent3 4 2 4 2" xfId="8392" xr:uid="{58EF121F-6D71-4ACF-B5FD-B1D0253A6328}"/>
    <cellStyle name="20% - Accent3 4 2 5" xfId="5776" xr:uid="{A6EB7EED-1CD1-4AE5-8CAE-EFC5E0B1A858}"/>
    <cellStyle name="20% - Accent3 4 3" xfId="991" xr:uid="{160E9708-C6D7-4108-801A-31D98DAA3197}"/>
    <cellStyle name="20% - Accent3 4 3 2" xfId="1232" xr:uid="{B5170DB0-76B7-4794-A548-C2456D5A1237}"/>
    <cellStyle name="20% - Accent3 4 3 2 2" xfId="3425" xr:uid="{BEBFB2B8-ACEA-483B-B9E1-574F266EA12D}"/>
    <cellStyle name="20% - Accent3 4 3 2 2 2" xfId="7622" xr:uid="{14187F7B-404F-49CA-AE45-2FE6396FEE70}"/>
    <cellStyle name="20% - Accent3 4 3 2 3" xfId="4743" xr:uid="{2C36765D-00D9-4BB1-A7A3-E156F43CDC4D}"/>
    <cellStyle name="20% - Accent3 4 3 2 3 2" xfId="8922" xr:uid="{7BA070EB-7C25-4F5C-BDC4-5F3757741D17}"/>
    <cellStyle name="20% - Accent3 4 3 2 4" xfId="6307" xr:uid="{629253EA-BD3B-4F28-BB6F-7BA8A4F98ED2}"/>
    <cellStyle name="20% - Accent3 4 3 3" xfId="3199" xr:uid="{6C43B490-CE18-4BF2-83E7-B355EFC4DE3A}"/>
    <cellStyle name="20% - Accent3 4 3 3 2" xfId="7400" xr:uid="{2378215A-F345-45AC-82BE-566F6087DE7E}"/>
    <cellStyle name="20% - Accent3 4 3 4" xfId="4516" xr:uid="{E5ACA6B9-C80E-466E-9432-830E40B4A076}"/>
    <cellStyle name="20% - Accent3 4 3 4 2" xfId="8699" xr:uid="{4E9B291B-8DE0-4B9F-84CD-DDFB5E2B0F48}"/>
    <cellStyle name="20% - Accent3 4 3 5" xfId="6084" xr:uid="{72A181BE-3223-4BB7-BDE6-EC3A0395615F}"/>
    <cellStyle name="20% - Accent3 4 4" xfId="1100" xr:uid="{BFCC5EC1-88DA-4A2C-810A-A9995F841362}"/>
    <cellStyle name="20% - Accent3 4 4 2" xfId="3293" xr:uid="{C76363B3-1108-42E5-A8AC-D1B0825F0704}"/>
    <cellStyle name="20% - Accent3 4 4 2 2" xfId="7490" xr:uid="{E0188E02-94BA-4E65-8102-D5D02E243DE2}"/>
    <cellStyle name="20% - Accent3 4 4 3" xfId="4611" xr:uid="{4F6B0666-0C05-40D4-B6F6-B87EC99EE754}"/>
    <cellStyle name="20% - Accent3 4 4 3 2" xfId="8790" xr:uid="{01A5B5AF-36E1-42A4-BC14-F73001F93C79}"/>
    <cellStyle name="20% - Accent3 4 4 4" xfId="6175" xr:uid="{7AA7DC31-8D86-4950-ABCF-F95A5D6D7679}"/>
    <cellStyle name="20% - Accent3 4 5" xfId="2809" xr:uid="{889B2C2E-6674-4243-8DAA-056BD398E0B6}"/>
    <cellStyle name="20% - Accent3 4 5 2" xfId="7020" xr:uid="{97A73D49-D68C-4CAF-ACC5-E794B5DD5876}"/>
    <cellStyle name="20% - Accent3 4 6" xfId="4117" xr:uid="{1E82C5F6-B592-4620-A392-23BD4400FF7A}"/>
    <cellStyle name="20% - Accent3 4 6 2" xfId="8306" xr:uid="{48E7F9C0-DDBA-4A41-8C4F-79BF1525213F}"/>
    <cellStyle name="20% - Accent3 4 7" xfId="5688" xr:uid="{758C86D1-B5F9-4FAF-B9AB-100C8247C616}"/>
    <cellStyle name="20% - Accent4 2" xfId="113" xr:uid="{20811EAD-210C-4E3F-AC65-6D340B2239D9}"/>
    <cellStyle name="20% - Accent4 2 2" xfId="114" xr:uid="{CB37D941-96DE-44E8-A0E7-7D68855471A6}"/>
    <cellStyle name="20% - Accent4 2 2 2" xfId="577" xr:uid="{7F8E448B-C463-412C-9337-4270BBE3FB17}"/>
    <cellStyle name="20% - Accent4 2 2 2 2" xfId="1168" xr:uid="{DED42DF8-2AD4-4F91-8321-F45B12045EA6}"/>
    <cellStyle name="20% - Accent4 2 2 2 2 2" xfId="3361" xr:uid="{ED8B5C8B-8441-4892-BDD9-A479498A9158}"/>
    <cellStyle name="20% - Accent4 2 2 2 2 2 2" xfId="7558" xr:uid="{4F403D25-D006-4F96-9691-0E253B740D2F}"/>
    <cellStyle name="20% - Accent4 2 2 2 2 3" xfId="4679" xr:uid="{A24DE997-CAB6-41F1-8B2B-2646DA963215}"/>
    <cellStyle name="20% - Accent4 2 2 2 2 3 2" xfId="8858" xr:uid="{0DC2E684-5C1F-4F7F-938A-966AF07D4475}"/>
    <cellStyle name="20% - Accent4 2 2 2 2 4" xfId="6243" xr:uid="{B6A2FEF2-096C-407F-BA01-5B325BF83699}"/>
    <cellStyle name="20% - Accent4 2 2 2 3" xfId="2898" xr:uid="{7C642C51-19AF-4F8C-9E9E-340EE7C39DD3}"/>
    <cellStyle name="20% - Accent4 2 2 2 3 2" xfId="7101" xr:uid="{BDD792CD-3DB0-473F-A3D3-7254414E6F07}"/>
    <cellStyle name="20% - Accent4 2 2 2 4" xfId="4209" xr:uid="{7C822AFA-1FC2-4164-BEE0-0F4361FE5DCE}"/>
    <cellStyle name="20% - Accent4 2 2 2 4 2" xfId="8394" xr:uid="{B746088C-B9F2-428C-BDBF-B3C680364144}"/>
    <cellStyle name="20% - Accent4 2 2 2 5" xfId="5778" xr:uid="{E6522AFB-BACE-466E-891E-30D0CA045D7C}"/>
    <cellStyle name="20% - Accent4 2 2 3" xfId="993" xr:uid="{6F84B6A9-542F-4778-BAA9-33E418508B60}"/>
    <cellStyle name="20% - Accent4 2 2 3 2" xfId="1234" xr:uid="{3A3A2303-DFCF-47A1-8443-3C4AFA8A8DEB}"/>
    <cellStyle name="20% - Accent4 2 2 3 2 2" xfId="3427" xr:uid="{036800A6-22D6-40C9-9A58-C62920F2CE68}"/>
    <cellStyle name="20% - Accent4 2 2 3 2 2 2" xfId="7624" xr:uid="{7C35940B-D10F-41C6-A7D9-9EAEA9756CC0}"/>
    <cellStyle name="20% - Accent4 2 2 3 2 3" xfId="4745" xr:uid="{C3C4C4FE-EB03-4B5E-86A4-C73581B8812E}"/>
    <cellStyle name="20% - Accent4 2 2 3 2 3 2" xfId="8924" xr:uid="{A0F08D22-2CA5-4FB4-86D6-D0CB14CB0041}"/>
    <cellStyle name="20% - Accent4 2 2 3 2 4" xfId="6309" xr:uid="{58703F74-7866-4CFC-83F6-E4E36FD15842}"/>
    <cellStyle name="20% - Accent4 2 2 3 3" xfId="3201" xr:uid="{FEE3B5C5-5876-44F7-9CB3-C96D727B50EA}"/>
    <cellStyle name="20% - Accent4 2 2 3 3 2" xfId="7402" xr:uid="{EB8BA739-4FC4-4E0D-AAA9-53E4D39A86CD}"/>
    <cellStyle name="20% - Accent4 2 2 3 4" xfId="4518" xr:uid="{20AFFCAB-9807-438E-90CC-B94D3846210D}"/>
    <cellStyle name="20% - Accent4 2 2 3 4 2" xfId="8701" xr:uid="{B05F4CBA-7DAB-429E-8D51-A6585834A9F9}"/>
    <cellStyle name="20% - Accent4 2 2 3 5" xfId="6086" xr:uid="{41155BD2-D07E-4288-AB47-0E22614B48A8}"/>
    <cellStyle name="20% - Accent4 2 2 4" xfId="1102" xr:uid="{901AD018-03D1-4885-92DF-62BEAB312C7A}"/>
    <cellStyle name="20% - Accent4 2 2 4 2" xfId="3295" xr:uid="{85A158C8-FF32-49C7-B1AA-DCC1EB3AE7C7}"/>
    <cellStyle name="20% - Accent4 2 2 4 2 2" xfId="7492" xr:uid="{45B1793E-422B-438D-8584-265C9B615A94}"/>
    <cellStyle name="20% - Accent4 2 2 4 3" xfId="4613" xr:uid="{DC9AB51D-0928-4FE9-92A3-6D785D5845E5}"/>
    <cellStyle name="20% - Accent4 2 2 4 3 2" xfId="8792" xr:uid="{EFA8E546-75D6-4AD0-AC6A-FF666376AD3F}"/>
    <cellStyle name="20% - Accent4 2 2 4 4" xfId="6177" xr:uid="{21B6293D-4EAF-4AD2-A687-FCF5977AE6FC}"/>
    <cellStyle name="20% - Accent4 2 2 5" xfId="2811" xr:uid="{E3574001-FF73-4507-A6A7-A9DAF5BA5921}"/>
    <cellStyle name="20% - Accent4 2 2 5 2" xfId="7022" xr:uid="{9D83C925-665D-48D1-92C0-738DDB4C136A}"/>
    <cellStyle name="20% - Accent4 2 2 6" xfId="4119" xr:uid="{A7F7F0A0-5CB3-465B-AD05-38A6E8EA1396}"/>
    <cellStyle name="20% - Accent4 2 2 6 2" xfId="8308" xr:uid="{0F12B9A5-728D-44E1-8FF5-09E26DAEA9DD}"/>
    <cellStyle name="20% - Accent4 2 2 7" xfId="5690" xr:uid="{3D432EA6-517C-48A4-B321-7E9684C396BE}"/>
    <cellStyle name="20% - Accent4 2 3" xfId="115" xr:uid="{F467BD64-852D-4047-856F-A3F95BCEE245}"/>
    <cellStyle name="20% - Accent4 2 3 2" xfId="116" xr:uid="{51888C2A-C6C6-4B06-A973-D7B5AB3DDB97}"/>
    <cellStyle name="20% - Accent4 2 3 2 2" xfId="538" xr:uid="{5717CCF6-D498-485C-9A4A-82D33F351FE0}"/>
    <cellStyle name="20% - Accent4 2 3 3" xfId="537" xr:uid="{9A5F5702-D08B-4EE7-A3E2-70C47EF337F2}"/>
    <cellStyle name="20% - Accent4 2 4" xfId="576" xr:uid="{15F8FAE8-2714-4551-BE64-824057E5D371}"/>
    <cellStyle name="20% - Accent4 2 4 2" xfId="1167" xr:uid="{B11D171F-7D4A-4FB8-8F99-9EF2C5A6A440}"/>
    <cellStyle name="20% - Accent4 2 4 2 2" xfId="672" xr:uid="{3EF697A6-3654-487A-8F35-F2650537CD99}"/>
    <cellStyle name="20% - Accent4 2 4 2 2 2" xfId="828" xr:uid="{8FAD1D69-C050-469B-96B4-B629550CA2A9}"/>
    <cellStyle name="20% - Accent4 2 4 2 3" xfId="725" xr:uid="{65FE0507-66AF-4787-8A2D-0B86187EB25A}"/>
    <cellStyle name="20% - Accent4 2 4 2 4" xfId="829" xr:uid="{08AEAE1B-C4A8-4DC2-B3F5-C68C2C42290B}"/>
    <cellStyle name="20% - Accent4 2 4 2 5" xfId="3360" xr:uid="{1E1036E2-1BA6-4A53-B245-1F1DD90938D4}"/>
    <cellStyle name="20% - Accent4 2 4 2 5 2" xfId="7557" xr:uid="{107A2A6A-478F-46D7-AE06-A6FAF1373A79}"/>
    <cellStyle name="20% - Accent4 2 4 2 6" xfId="4678" xr:uid="{95797C51-2AE7-4AB3-B975-0BEB27C63B3D}"/>
    <cellStyle name="20% - Accent4 2 4 2 6 2" xfId="8857" xr:uid="{E6ACF471-24CB-4577-9FA4-3868675D02B7}"/>
    <cellStyle name="20% - Accent4 2 4 2 7" xfId="6242" xr:uid="{13633397-1503-4996-B41A-7B5DC5E28100}"/>
    <cellStyle name="20% - Accent4 2 4 3" xfId="946" xr:uid="{1C4E8358-163B-4A82-8455-6296A067D24D}"/>
    <cellStyle name="20% - Accent4 2 4 3 2" xfId="717" xr:uid="{8F67FEEE-DA96-4AB6-8AA1-C7D60FE43558}"/>
    <cellStyle name="20% - Accent4 2 4 4" xfId="895" xr:uid="{84EB59F3-7768-45E5-8F39-F42AF0444B52}"/>
    <cellStyle name="20% - Accent4 2 4 5" xfId="830" xr:uid="{5FEB1D5A-3C1A-468D-903F-8E0601C6B73D}"/>
    <cellStyle name="20% - Accent4 2 4 6" xfId="2897" xr:uid="{123A0593-4EE5-4812-9E72-A3F781A0FA28}"/>
    <cellStyle name="20% - Accent4 2 4 6 2" xfId="7100" xr:uid="{F581954C-AD65-44FD-8DCB-D95C80F74A2C}"/>
    <cellStyle name="20% - Accent4 2 4 7" xfId="4208" xr:uid="{FEA00F2B-1CAF-4702-8D8A-FFEEB31523F5}"/>
    <cellStyle name="20% - Accent4 2 4 7 2" xfId="8393" xr:uid="{2207E7ED-698F-4FF1-BE68-D43A5C817B6C}"/>
    <cellStyle name="20% - Accent4 2 4 8" xfId="5777" xr:uid="{C11988E1-43E4-4F2D-B381-7EE693F88A61}"/>
    <cellStyle name="20% - Accent4 2 5" xfId="992" xr:uid="{ED7918BB-5C91-4161-8423-5D83C8E12A3F}"/>
    <cellStyle name="20% - Accent4 2 5 2" xfId="1233" xr:uid="{132280B9-EAAE-4F8B-9736-8E9C6265A5F7}"/>
    <cellStyle name="20% - Accent4 2 5 2 2" xfId="3426" xr:uid="{2F248B78-D8DD-4453-BE32-C932BB84E14E}"/>
    <cellStyle name="20% - Accent4 2 5 2 2 2" xfId="7623" xr:uid="{E5989A5C-8E39-4BD2-810E-543A0930F7C9}"/>
    <cellStyle name="20% - Accent4 2 5 2 3" xfId="4744" xr:uid="{D36B73F7-0907-44E3-88DC-7A5EABA007FE}"/>
    <cellStyle name="20% - Accent4 2 5 2 3 2" xfId="8923" xr:uid="{C20ACDC7-5578-4DC0-8ECC-53425E5E7108}"/>
    <cellStyle name="20% - Accent4 2 5 2 4" xfId="6308" xr:uid="{756C81E9-3C28-4919-8022-C8DF04FA3857}"/>
    <cellStyle name="20% - Accent4 2 5 3" xfId="1054" xr:uid="{209A12C3-E20E-4DC7-9F26-D15505DDCBF2}"/>
    <cellStyle name="20% - Accent4 2 5 4" xfId="3200" xr:uid="{CF14C305-9C17-43A3-9FBF-29F5D59C882E}"/>
    <cellStyle name="20% - Accent4 2 5 4 2" xfId="7401" xr:uid="{8F9B21E6-7080-4B96-9585-3C44693092A5}"/>
    <cellStyle name="20% - Accent4 2 5 5" xfId="4517" xr:uid="{5E33D44A-07A5-4B8B-86B8-D31D9AC60C85}"/>
    <cellStyle name="20% - Accent4 2 5 5 2" xfId="8700" xr:uid="{C649A1F2-86A6-4282-B253-C75A641C5A95}"/>
    <cellStyle name="20% - Accent4 2 5 6" xfId="6085" xr:uid="{9F25FCC5-C65E-46FE-9F3E-E6C10F5B158C}"/>
    <cellStyle name="20% - Accent4 2 6" xfId="1101" xr:uid="{0887DC6F-1680-42C0-99A6-14374A13773F}"/>
    <cellStyle name="20% - Accent4 2 6 2" xfId="3294" xr:uid="{B39A9B33-AE70-4EDD-80DD-99DA56A2593F}"/>
    <cellStyle name="20% - Accent4 2 6 2 2" xfId="7491" xr:uid="{CD1A253B-7B7E-4A70-B653-B40BCC6FD6F7}"/>
    <cellStyle name="20% - Accent4 2 6 3" xfId="4612" xr:uid="{31680B34-CF6C-46B7-9291-CC5F68B7C3C6}"/>
    <cellStyle name="20% - Accent4 2 6 3 2" xfId="8791" xr:uid="{CD642F79-33A0-4414-837E-AF573E29EAF6}"/>
    <cellStyle name="20% - Accent4 2 6 4" xfId="6176" xr:uid="{D4260ACA-6AF5-4865-A019-CD4E79DE4B71}"/>
    <cellStyle name="20% - Accent4 2 7" xfId="2810" xr:uid="{7D65BA44-474C-4DEE-BB0E-B65A758C36B9}"/>
    <cellStyle name="20% - Accent4 2 7 2" xfId="7021" xr:uid="{97446787-02DB-4673-9C26-905EE0DC16F3}"/>
    <cellStyle name="20% - Accent4 2 8" xfId="4118" xr:uid="{612B5974-34B0-47FC-BE14-8D135D956F6E}"/>
    <cellStyle name="20% - Accent4 2 8 2" xfId="8307" xr:uid="{CB8CAD8B-6C65-4AD6-B905-38575A8FDF90}"/>
    <cellStyle name="20% - Accent4 2 9" xfId="5689" xr:uid="{EFA81CFA-360D-4031-A4EB-89ED7CEA75A6}"/>
    <cellStyle name="20% - Accent4 3" xfId="117" xr:uid="{B77B5E4E-588D-4E88-9D74-BDE34A86EEC2}"/>
    <cellStyle name="20% - Accent4 3 2" xfId="578" xr:uid="{47443969-1FCA-479A-803D-6DB3DE1F577D}"/>
    <cellStyle name="20% - Accent4 3 2 2" xfId="1169" xr:uid="{832F3B76-30EA-4F91-B180-3625C2FD1448}"/>
    <cellStyle name="20% - Accent4 3 2 2 2" xfId="3362" xr:uid="{F7584AB6-D03D-4B0A-995E-DFF1707C7731}"/>
    <cellStyle name="20% - Accent4 3 2 2 2 2" xfId="7559" xr:uid="{1BD476F7-B96C-4D34-9255-B5B46CD42C18}"/>
    <cellStyle name="20% - Accent4 3 2 2 3" xfId="4680" xr:uid="{0D62EB57-6EAE-4856-BEA4-006CDE0CE986}"/>
    <cellStyle name="20% - Accent4 3 2 2 3 2" xfId="8859" xr:uid="{BD0B1F60-C58A-45B2-847A-372057B2813C}"/>
    <cellStyle name="20% - Accent4 3 2 2 4" xfId="6244" xr:uid="{74A21AF8-1B40-464F-ACA9-B7F19F0B34A2}"/>
    <cellStyle name="20% - Accent4 3 2 3" xfId="2899" xr:uid="{6FA81E56-272A-4BFC-9D78-B427911AFC52}"/>
    <cellStyle name="20% - Accent4 3 2 3 2" xfId="7102" xr:uid="{A0FA1E7F-6128-4FA7-B958-332213875246}"/>
    <cellStyle name="20% - Accent4 3 2 4" xfId="4210" xr:uid="{E9B18B5C-89CE-474D-9A2A-613BFB8584A2}"/>
    <cellStyle name="20% - Accent4 3 2 4 2" xfId="8395" xr:uid="{6087DAD1-4769-445C-9D70-74C561A9E7B6}"/>
    <cellStyle name="20% - Accent4 3 2 5" xfId="5779" xr:uid="{BC8F8A5F-C45B-41D6-A471-A22489A4C993}"/>
    <cellStyle name="20% - Accent4 3 3" xfId="994" xr:uid="{E90E036C-53C6-45AC-A846-26E24198D83D}"/>
    <cellStyle name="20% - Accent4 3 3 2" xfId="1235" xr:uid="{CCC2461B-28A3-4C4E-B9F6-D919C2F023B1}"/>
    <cellStyle name="20% - Accent4 3 3 2 2" xfId="3428" xr:uid="{5A89F119-54DB-4C7C-BD22-88DCB05DBE73}"/>
    <cellStyle name="20% - Accent4 3 3 2 2 2" xfId="7625" xr:uid="{9704A469-7D23-458A-AB30-A2AEDD248150}"/>
    <cellStyle name="20% - Accent4 3 3 2 3" xfId="4746" xr:uid="{8D1CDC38-D605-4764-9E45-A432C4A08AA7}"/>
    <cellStyle name="20% - Accent4 3 3 2 3 2" xfId="8925" xr:uid="{622A372B-DDEE-45EA-8392-36D63EE920A5}"/>
    <cellStyle name="20% - Accent4 3 3 2 4" xfId="6310" xr:uid="{6EA21E3A-78FA-4893-8E3D-36C6E9F34525}"/>
    <cellStyle name="20% - Accent4 3 3 3" xfId="3202" xr:uid="{3538ACEB-2EB4-4D50-906E-78CA4B1BAC33}"/>
    <cellStyle name="20% - Accent4 3 3 3 2" xfId="7403" xr:uid="{52905219-B7CA-4A07-8D18-A17ACC8B5366}"/>
    <cellStyle name="20% - Accent4 3 3 4" xfId="4519" xr:uid="{6A5946E7-9729-438A-8491-587ED7D77B7A}"/>
    <cellStyle name="20% - Accent4 3 3 4 2" xfId="8702" xr:uid="{A237B20F-A6FB-462E-9A84-726C38B3124A}"/>
    <cellStyle name="20% - Accent4 3 3 5" xfId="6087" xr:uid="{0F73F608-4DEB-4411-A7DC-6FB9A61D1F06}"/>
    <cellStyle name="20% - Accent4 3 4" xfId="1103" xr:uid="{9E41129A-B729-4661-A735-D41C0DAB8120}"/>
    <cellStyle name="20% - Accent4 3 4 2" xfId="3296" xr:uid="{0C001EB4-6181-4103-9D5C-E6F7D6E96B1C}"/>
    <cellStyle name="20% - Accent4 3 4 2 2" xfId="7493" xr:uid="{99876012-872C-4786-BE37-CF412DEE1623}"/>
    <cellStyle name="20% - Accent4 3 4 3" xfId="4614" xr:uid="{E2A7E104-A6DE-4598-82AF-0B7D4ECFF71C}"/>
    <cellStyle name="20% - Accent4 3 4 3 2" xfId="8793" xr:uid="{2DC9E8DA-F2A6-4A66-A662-6B9F2F9BC499}"/>
    <cellStyle name="20% - Accent4 3 4 4" xfId="6178" xr:uid="{32CE30ED-8B81-4569-B610-9747A2214601}"/>
    <cellStyle name="20% - Accent4 3 5" xfId="2812" xr:uid="{D677E583-CB2F-443D-9579-9693A8F543DE}"/>
    <cellStyle name="20% - Accent4 3 5 2" xfId="7023" xr:uid="{1E610992-B062-45F6-9323-A203395F8E4C}"/>
    <cellStyle name="20% - Accent4 3 6" xfId="4120" xr:uid="{951B4C33-4458-44C8-9A95-4215C98674DB}"/>
    <cellStyle name="20% - Accent4 3 6 2" xfId="8309" xr:uid="{2773C85D-5CCB-4956-A82D-5C1E4FD6D410}"/>
    <cellStyle name="20% - Accent4 3 7" xfId="5691" xr:uid="{64B6A955-3D90-477F-89FA-A89A3D4C8928}"/>
    <cellStyle name="20% - Accent4 4" xfId="118" xr:uid="{14A826AF-9902-4A2B-9C1D-A5B2AA63FB6E}"/>
    <cellStyle name="20% - Accent4 4 2" xfId="579" xr:uid="{A670C72D-08CC-49DC-ADCC-DAA022E7E734}"/>
    <cellStyle name="20% - Accent4 4 2 2" xfId="1170" xr:uid="{38E664B0-0C45-4376-AED3-C3C4434E3675}"/>
    <cellStyle name="20% - Accent4 4 2 2 2" xfId="3363" xr:uid="{540522B1-5705-4E89-8A9C-0D7138EE74A0}"/>
    <cellStyle name="20% - Accent4 4 2 2 2 2" xfId="7560" xr:uid="{8C7B5B73-74EE-4692-85B9-696DE0E7175F}"/>
    <cellStyle name="20% - Accent4 4 2 2 3" xfId="4681" xr:uid="{4A26DB27-18CA-45FF-93EC-B9DC3D53E427}"/>
    <cellStyle name="20% - Accent4 4 2 2 3 2" xfId="8860" xr:uid="{B0262AA7-D44D-49AB-AC58-AF5729DECA74}"/>
    <cellStyle name="20% - Accent4 4 2 2 4" xfId="6245" xr:uid="{82383222-0632-4BD6-BDB6-B1515249F394}"/>
    <cellStyle name="20% - Accent4 4 2 3" xfId="2900" xr:uid="{F6EED869-8C30-4B51-A04A-1EEB29EEEE20}"/>
    <cellStyle name="20% - Accent4 4 2 3 2" xfId="7103" xr:uid="{D8E69F00-85B9-4253-BFC3-13673B71181E}"/>
    <cellStyle name="20% - Accent4 4 2 4" xfId="4211" xr:uid="{B5195815-A7A3-44FC-A343-9DCADD8140A7}"/>
    <cellStyle name="20% - Accent4 4 2 4 2" xfId="8396" xr:uid="{1FD6212C-387F-45A7-B91F-0E1F6D851700}"/>
    <cellStyle name="20% - Accent4 4 2 5" xfId="5780" xr:uid="{F40E3331-47EC-4315-A3A2-61843A154839}"/>
    <cellStyle name="20% - Accent4 4 3" xfId="995" xr:uid="{D001D57C-FA1E-4F95-8BA9-BA50BE8248AF}"/>
    <cellStyle name="20% - Accent4 4 3 2" xfId="1236" xr:uid="{84A9EF7A-0120-4198-904A-BCCF1E175CF2}"/>
    <cellStyle name="20% - Accent4 4 3 2 2" xfId="3429" xr:uid="{392979E4-998D-4352-BE44-D70D3C9E9EEC}"/>
    <cellStyle name="20% - Accent4 4 3 2 2 2" xfId="7626" xr:uid="{035930E9-6423-4844-9883-625ACE5610A2}"/>
    <cellStyle name="20% - Accent4 4 3 2 3" xfId="4747" xr:uid="{D82872BB-6B16-4BF7-ACC4-BC16B0DFB470}"/>
    <cellStyle name="20% - Accent4 4 3 2 3 2" xfId="8926" xr:uid="{C8669DCE-5613-43C0-9D30-4100F1665DB7}"/>
    <cellStyle name="20% - Accent4 4 3 2 4" xfId="6311" xr:uid="{0C32061C-7051-4CC1-A7BC-82923C2D9D78}"/>
    <cellStyle name="20% - Accent4 4 3 3" xfId="3203" xr:uid="{DEB1D444-5BDB-4C3C-B0C6-3D50076EA36F}"/>
    <cellStyle name="20% - Accent4 4 3 3 2" xfId="7404" xr:uid="{C2E419FC-6DB1-4E70-8279-F77A2FFCBE5F}"/>
    <cellStyle name="20% - Accent4 4 3 4" xfId="4520" xr:uid="{CA7FA221-AAAF-4226-9D82-78538879C71B}"/>
    <cellStyle name="20% - Accent4 4 3 4 2" xfId="8703" xr:uid="{DFD13757-8B16-4D8F-BDA4-6582DF2615E1}"/>
    <cellStyle name="20% - Accent4 4 3 5" xfId="6088" xr:uid="{6E988E53-E2CC-4C15-B75E-C73882A105D3}"/>
    <cellStyle name="20% - Accent4 4 4" xfId="1104" xr:uid="{3E837C56-0659-4C10-BD45-E2145D2ACC07}"/>
    <cellStyle name="20% - Accent4 4 4 2" xfId="3297" xr:uid="{67D61DD3-906E-47DB-AC94-B8A286CB40B7}"/>
    <cellStyle name="20% - Accent4 4 4 2 2" xfId="7494" xr:uid="{3991D2B7-D085-4F43-B576-A3B49A7F5EA6}"/>
    <cellStyle name="20% - Accent4 4 4 3" xfId="4615" xr:uid="{ECD7B6B4-BA80-4A8D-B19A-4E818B486ACC}"/>
    <cellStyle name="20% - Accent4 4 4 3 2" xfId="8794" xr:uid="{BA0AEFFC-6350-4905-9144-390FEC826827}"/>
    <cellStyle name="20% - Accent4 4 4 4" xfId="6179" xr:uid="{C5DE0C23-44D8-4BAA-A0DC-4B226C993E1F}"/>
    <cellStyle name="20% - Accent4 4 5" xfId="2813" xr:uid="{11033A34-E7BF-4B39-9846-BC4612C5F8F0}"/>
    <cellStyle name="20% - Accent4 4 5 2" xfId="7024" xr:uid="{2D9E88CA-7F9C-4336-8135-B38C46D8A14A}"/>
    <cellStyle name="20% - Accent4 4 6" xfId="4121" xr:uid="{171A89E8-8904-497D-B7AC-1EDF89DAEC7E}"/>
    <cellStyle name="20% - Accent4 4 6 2" xfId="8310" xr:uid="{BD113096-FD5E-4BAE-9998-F9BB0B6FC329}"/>
    <cellStyle name="20% - Accent4 4 7" xfId="5692" xr:uid="{7910A7EB-A380-4DDC-BB83-CA8B160B268E}"/>
    <cellStyle name="20% - Accent5 2" xfId="119" xr:uid="{0289B7C4-27F2-4B41-BFD0-D7DCCA3E26FE}"/>
    <cellStyle name="20% - Accent5 2 2" xfId="120" xr:uid="{4A997E1D-C449-42B9-BFEF-34713DA03E89}"/>
    <cellStyle name="20% - Accent5 2 2 2" xfId="581" xr:uid="{FC389F68-3C90-44D6-8820-D83B31636720}"/>
    <cellStyle name="20% - Accent5 2 2 2 2" xfId="1172" xr:uid="{0DE5D783-374F-4D30-8A73-CE06661EDEF4}"/>
    <cellStyle name="20% - Accent5 2 2 2 2 2" xfId="3365" xr:uid="{AAFC7B30-8C53-46EF-8D28-8E839848EDD2}"/>
    <cellStyle name="20% - Accent5 2 2 2 2 2 2" xfId="7562" xr:uid="{9F4F9EF4-7B46-4AC6-B984-666247EC4679}"/>
    <cellStyle name="20% - Accent5 2 2 2 2 3" xfId="4683" xr:uid="{CD0F165D-98DF-4642-A7C1-2BA113FFA72B}"/>
    <cellStyle name="20% - Accent5 2 2 2 2 3 2" xfId="8862" xr:uid="{F1331101-0E67-410F-AA0E-676669024081}"/>
    <cellStyle name="20% - Accent5 2 2 2 2 4" xfId="6247" xr:uid="{14F216DD-12EE-41E7-9CF6-5F6B06B9BA31}"/>
    <cellStyle name="20% - Accent5 2 2 2 3" xfId="2902" xr:uid="{7D8D8205-1EFE-4E3F-A424-9C1DA3D37944}"/>
    <cellStyle name="20% - Accent5 2 2 2 3 2" xfId="7105" xr:uid="{519E7227-3B19-40E0-9D37-10923AB825C8}"/>
    <cellStyle name="20% - Accent5 2 2 2 4" xfId="4213" xr:uid="{CD748D7E-940C-41EF-9978-AC452117B767}"/>
    <cellStyle name="20% - Accent5 2 2 2 4 2" xfId="8398" xr:uid="{E4BDB6BC-6FF7-4B6F-B0DC-C3D6FA6F905B}"/>
    <cellStyle name="20% - Accent5 2 2 2 5" xfId="5782" xr:uid="{22C35449-2A2E-4E85-AFC1-D9803B894B02}"/>
    <cellStyle name="20% - Accent5 2 2 3" xfId="997" xr:uid="{B68CF936-8010-47AD-92DA-F6640C28AA16}"/>
    <cellStyle name="20% - Accent5 2 2 3 2" xfId="1238" xr:uid="{8FC4DB6D-ADF1-47BE-AE28-7E699AABA287}"/>
    <cellStyle name="20% - Accent5 2 2 3 2 2" xfId="3431" xr:uid="{04C862F1-FCF9-480A-BB6B-2F7C1E402B31}"/>
    <cellStyle name="20% - Accent5 2 2 3 2 2 2" xfId="7628" xr:uid="{3570A19D-B9F7-431D-8DED-0F42837EE26D}"/>
    <cellStyle name="20% - Accent5 2 2 3 2 3" xfId="4749" xr:uid="{8071EC20-5791-4F1C-B9A5-A8D99AC0AD60}"/>
    <cellStyle name="20% - Accent5 2 2 3 2 3 2" xfId="8928" xr:uid="{079706A9-E485-46D3-ABE1-B017C04C8341}"/>
    <cellStyle name="20% - Accent5 2 2 3 2 4" xfId="6313" xr:uid="{61BA3403-204D-43A6-A869-A7E5CC2912B9}"/>
    <cellStyle name="20% - Accent5 2 2 3 3" xfId="3205" xr:uid="{C3234732-10D9-4463-BF64-92FA7B63F567}"/>
    <cellStyle name="20% - Accent5 2 2 3 3 2" xfId="7406" xr:uid="{AC1CEFD5-CE17-4352-924C-D00511B59680}"/>
    <cellStyle name="20% - Accent5 2 2 3 4" xfId="4522" xr:uid="{38F02DB4-6A23-4A13-9A96-F3D52D37F18D}"/>
    <cellStyle name="20% - Accent5 2 2 3 4 2" xfId="8705" xr:uid="{346964BD-0951-44FD-9387-F546D96D2617}"/>
    <cellStyle name="20% - Accent5 2 2 3 5" xfId="6090" xr:uid="{F7FD99EB-2622-49C0-8D64-DED8AE7A73A7}"/>
    <cellStyle name="20% - Accent5 2 2 4" xfId="1106" xr:uid="{D7CB7DA5-0207-4C70-9ECE-57914EFBE881}"/>
    <cellStyle name="20% - Accent5 2 2 4 2" xfId="3299" xr:uid="{D394C2E3-CCDD-4DEF-A8C0-2B532DF1B190}"/>
    <cellStyle name="20% - Accent5 2 2 4 2 2" xfId="7496" xr:uid="{F563EBEC-CF1F-4838-A7A0-63909FFF8BF4}"/>
    <cellStyle name="20% - Accent5 2 2 4 3" xfId="4617" xr:uid="{90656338-401B-41D5-BC2B-3B1B8C137867}"/>
    <cellStyle name="20% - Accent5 2 2 4 3 2" xfId="8796" xr:uid="{DF397E18-9C86-449E-B298-55112EDE183C}"/>
    <cellStyle name="20% - Accent5 2 2 4 4" xfId="6181" xr:uid="{C324FAF3-100D-4418-9C00-B471D64E5060}"/>
    <cellStyle name="20% - Accent5 2 2 5" xfId="2815" xr:uid="{C2A1A68E-9CF0-4891-896C-4416A5CD19FE}"/>
    <cellStyle name="20% - Accent5 2 2 5 2" xfId="7026" xr:uid="{42D4C4EF-927B-4149-A71B-3631500A7224}"/>
    <cellStyle name="20% - Accent5 2 2 6" xfId="4123" xr:uid="{6D38603A-D107-48E9-8F81-82685AADF6DE}"/>
    <cellStyle name="20% - Accent5 2 2 6 2" xfId="8312" xr:uid="{6DF0E3F8-55D9-48E9-98A5-5561920EFBCE}"/>
    <cellStyle name="20% - Accent5 2 2 7" xfId="5694" xr:uid="{7796D444-C7FF-487D-A1D0-8C7705A29594}"/>
    <cellStyle name="20% - Accent5 2 3" xfId="121" xr:uid="{240B2B91-3299-4C4D-9D9F-A39CDBA5E9DB}"/>
    <cellStyle name="20% - Accent5 2 3 2" xfId="122" xr:uid="{D517F4D5-1D7D-4729-AEA4-F1C943855BD8}"/>
    <cellStyle name="20% - Accent5 2 3 2 2" xfId="540" xr:uid="{E3A3BA9A-FFBC-4075-8839-20074D681516}"/>
    <cellStyle name="20% - Accent5 2 3 3" xfId="539" xr:uid="{7D590A66-A499-4714-A7FF-6ABFFFA78964}"/>
    <cellStyle name="20% - Accent5 2 4" xfId="580" xr:uid="{571788E6-2CF3-47AC-996D-26D604305476}"/>
    <cellStyle name="20% - Accent5 2 4 2" xfId="1171" xr:uid="{4F515E9C-0F58-4A33-B432-C31F84F16AEF}"/>
    <cellStyle name="20% - Accent5 2 4 2 2" xfId="1084" xr:uid="{CBE5FEE1-FD9B-43B1-A3E9-AA15348B5FB7}"/>
    <cellStyle name="20% - Accent5 2 4 2 2 2" xfId="664" xr:uid="{A449CA59-AF02-40C0-BA49-AB37F4D414D0}"/>
    <cellStyle name="20% - Accent5 2 4 2 3" xfId="827" xr:uid="{7070DB29-9178-4FBD-93C1-6B357655CCFD}"/>
    <cellStyle name="20% - Accent5 2 4 2 4" xfId="894" xr:uid="{16EBA21E-86C5-4AE9-B92D-6925532871DA}"/>
    <cellStyle name="20% - Accent5 2 4 2 5" xfId="3364" xr:uid="{4726480E-D202-43F7-AC03-785E9D9E77B7}"/>
    <cellStyle name="20% - Accent5 2 4 2 5 2" xfId="7561" xr:uid="{1C139E31-C015-4719-AB63-25C525495BB9}"/>
    <cellStyle name="20% - Accent5 2 4 2 6" xfId="4682" xr:uid="{9E7098FE-E8A3-47EC-8EF3-2190D9FC0FD1}"/>
    <cellStyle name="20% - Accent5 2 4 2 6 2" xfId="8861" xr:uid="{85FA2E1E-4778-4268-8175-529D177F7E0D}"/>
    <cellStyle name="20% - Accent5 2 4 2 7" xfId="6246" xr:uid="{0EEEA58B-18B7-4A69-B57E-A4E3421DAE88}"/>
    <cellStyle name="20% - Accent5 2 4 3" xfId="715" xr:uid="{29DB4343-C41F-4EC5-AD4A-F7C424814580}"/>
    <cellStyle name="20% - Accent5 2 4 3 2" xfId="1081" xr:uid="{C1DB3947-2FF7-4B3F-800C-A45E2F9ACCDF}"/>
    <cellStyle name="20% - Accent5 2 4 4" xfId="1292" xr:uid="{D63AB709-A5DE-4E2D-81BB-0D48B9251443}"/>
    <cellStyle name="20% - Accent5 2 4 5" xfId="1085" xr:uid="{84AB2673-3DD9-4528-B273-76E01536BCD9}"/>
    <cellStyle name="20% - Accent5 2 4 6" xfId="2901" xr:uid="{F9A9D7D0-6AE8-4928-9CC7-7ABA77B87CFD}"/>
    <cellStyle name="20% - Accent5 2 4 6 2" xfId="7104" xr:uid="{D260049E-88B8-43E6-BAD9-A34D8C4F736F}"/>
    <cellStyle name="20% - Accent5 2 4 7" xfId="4212" xr:uid="{4237C611-E2F1-4B2B-A800-3522A3F84A7D}"/>
    <cellStyle name="20% - Accent5 2 4 7 2" xfId="8397" xr:uid="{E859DADD-1C6B-4F33-B8F3-64CABD22BCE8}"/>
    <cellStyle name="20% - Accent5 2 4 8" xfId="5781" xr:uid="{2A0D19B6-F881-4F24-B7D7-B5E0493530E6}"/>
    <cellStyle name="20% - Accent5 2 5" xfId="996" xr:uid="{D083BAE8-C4F3-4850-8811-949260AF0F4D}"/>
    <cellStyle name="20% - Accent5 2 5 2" xfId="1237" xr:uid="{652C2A5B-22E9-4CA4-BF9C-F858B61ED758}"/>
    <cellStyle name="20% - Accent5 2 5 2 2" xfId="3430" xr:uid="{2FAA2227-B2E4-4352-A665-4FB8C8F53553}"/>
    <cellStyle name="20% - Accent5 2 5 2 2 2" xfId="7627" xr:uid="{5ACACFA0-284A-42ED-8F59-311D30A8A6F9}"/>
    <cellStyle name="20% - Accent5 2 5 2 3" xfId="4748" xr:uid="{462CA9B9-1A77-4079-A072-43FDB66C57E0}"/>
    <cellStyle name="20% - Accent5 2 5 2 3 2" xfId="8927" xr:uid="{065138EE-28FE-43BC-96B8-025B2BF24A60}"/>
    <cellStyle name="20% - Accent5 2 5 2 4" xfId="6312" xr:uid="{EA861E46-176E-4A35-890B-62ED3C6AA11D}"/>
    <cellStyle name="20% - Accent5 2 5 3" xfId="1363" xr:uid="{2BDC036C-DFAF-46D4-B164-E2170E399358}"/>
    <cellStyle name="20% - Accent5 2 5 4" xfId="3204" xr:uid="{35911708-2B78-46EB-8849-E98F14B3EBD4}"/>
    <cellStyle name="20% - Accent5 2 5 4 2" xfId="7405" xr:uid="{E158882D-A1F4-493C-9667-50C505ED52AA}"/>
    <cellStyle name="20% - Accent5 2 5 5" xfId="4521" xr:uid="{CF612B58-5092-4541-87CD-3875E38E018C}"/>
    <cellStyle name="20% - Accent5 2 5 5 2" xfId="8704" xr:uid="{1A81308D-0092-4D3F-B027-B2DCD1C41004}"/>
    <cellStyle name="20% - Accent5 2 5 6" xfId="6089" xr:uid="{060DD252-30BD-4E5E-9285-92282509F54A}"/>
    <cellStyle name="20% - Accent5 2 6" xfId="1105" xr:uid="{0B32CA7D-95FE-4AF3-A8EC-59F7BD1945CE}"/>
    <cellStyle name="20% - Accent5 2 6 2" xfId="3298" xr:uid="{AA29AA47-CC5E-4E74-B45F-6D237E9F5C6D}"/>
    <cellStyle name="20% - Accent5 2 6 2 2" xfId="7495" xr:uid="{CBF54A12-061E-4407-99CA-7BCE64F0885B}"/>
    <cellStyle name="20% - Accent5 2 6 3" xfId="4616" xr:uid="{A0098787-5788-44A2-B1F6-77B0BEB14A04}"/>
    <cellStyle name="20% - Accent5 2 6 3 2" xfId="8795" xr:uid="{64777E75-FC58-4767-ABBD-C8B6994633EA}"/>
    <cellStyle name="20% - Accent5 2 6 4" xfId="6180" xr:uid="{3DF08783-E8D6-49F9-A100-7243E27A2295}"/>
    <cellStyle name="20% - Accent5 2 7" xfId="2814" xr:uid="{7A7FBA07-DF3E-4D9D-B8C5-EC957BC289FF}"/>
    <cellStyle name="20% - Accent5 2 7 2" xfId="7025" xr:uid="{0A5D2D91-AE4A-4864-A0AB-653A98397684}"/>
    <cellStyle name="20% - Accent5 2 8" xfId="4122" xr:uid="{E2CE9EAA-4182-4586-A997-6B522B7BA406}"/>
    <cellStyle name="20% - Accent5 2 8 2" xfId="8311" xr:uid="{B4B33D55-6397-400B-A1A2-44088261AD7C}"/>
    <cellStyle name="20% - Accent5 2 9" xfId="5693" xr:uid="{E14F1B56-A2BF-4ABE-A4A2-14412FACE2CC}"/>
    <cellStyle name="20% - Accent5 3" xfId="123" xr:uid="{EC908822-4045-4A46-B8C8-8B61ACFF38A5}"/>
    <cellStyle name="20% - Accent5 3 2" xfId="582" xr:uid="{0614BA89-D70A-4BA9-90C0-E85413310424}"/>
    <cellStyle name="20% - Accent5 3 2 2" xfId="1173" xr:uid="{2A566CAF-0D81-4064-A387-362CBD9B8B8E}"/>
    <cellStyle name="20% - Accent5 3 2 2 2" xfId="3366" xr:uid="{6F03B184-C3F5-49FD-8451-D402C7F18E4F}"/>
    <cellStyle name="20% - Accent5 3 2 2 2 2" xfId="7563" xr:uid="{4211C268-3C6C-4A7B-9DB8-698724596D85}"/>
    <cellStyle name="20% - Accent5 3 2 2 3" xfId="4684" xr:uid="{BB19A840-4AE7-42D6-A80C-40DF709675CC}"/>
    <cellStyle name="20% - Accent5 3 2 2 3 2" xfId="8863" xr:uid="{062906DA-65BD-497E-9A9C-A38EAA53B444}"/>
    <cellStyle name="20% - Accent5 3 2 2 4" xfId="6248" xr:uid="{BAAFF0A0-8930-49F3-BC6F-B473D2454DF5}"/>
    <cellStyle name="20% - Accent5 3 2 3" xfId="2903" xr:uid="{4623953F-3538-4DAA-965E-A6D9943A3864}"/>
    <cellStyle name="20% - Accent5 3 2 3 2" xfId="7106" xr:uid="{75B29453-A924-4653-9E80-3B4C429D9C8F}"/>
    <cellStyle name="20% - Accent5 3 2 4" xfId="4214" xr:uid="{00B6A925-9957-41A2-8795-4EDF3293C6FD}"/>
    <cellStyle name="20% - Accent5 3 2 4 2" xfId="8399" xr:uid="{7930DFEB-BE8E-4148-9F39-E235D3D6B022}"/>
    <cellStyle name="20% - Accent5 3 2 5" xfId="5783" xr:uid="{848EFFA9-48AF-4C13-83F7-DC1135F6C8F2}"/>
    <cellStyle name="20% - Accent5 3 3" xfId="998" xr:uid="{42088D42-593B-46A5-AD38-2CFC884BD3E7}"/>
    <cellStyle name="20% - Accent5 3 3 2" xfId="1239" xr:uid="{203046D8-591F-4D22-8A0F-1422715B85F8}"/>
    <cellStyle name="20% - Accent5 3 3 2 2" xfId="3432" xr:uid="{6A896DB2-4956-4EB8-8A34-DE90191FFE18}"/>
    <cellStyle name="20% - Accent5 3 3 2 2 2" xfId="7629" xr:uid="{4D32CEDB-6A86-4120-B053-133FBFCA0EE0}"/>
    <cellStyle name="20% - Accent5 3 3 2 3" xfId="4750" xr:uid="{498299E6-6D8F-4DFA-9408-32ABE51458D1}"/>
    <cellStyle name="20% - Accent5 3 3 2 3 2" xfId="8929" xr:uid="{E9C5B3FA-49A4-494B-8A83-08D5FE23FB6E}"/>
    <cellStyle name="20% - Accent5 3 3 2 4" xfId="6314" xr:uid="{0E2C87C3-E651-4A56-89FB-F8529F903BBE}"/>
    <cellStyle name="20% - Accent5 3 3 3" xfId="3206" xr:uid="{D6714AAA-D485-4DCD-9B8D-BBC5095892C8}"/>
    <cellStyle name="20% - Accent5 3 3 3 2" xfId="7407" xr:uid="{C2993D2F-01EC-4BC5-B55E-5F9B707EE95C}"/>
    <cellStyle name="20% - Accent5 3 3 4" xfId="4523" xr:uid="{79559941-34B1-4FAD-B481-BF0A78EE0AD1}"/>
    <cellStyle name="20% - Accent5 3 3 4 2" xfId="8706" xr:uid="{EDB277EF-C569-4ED8-A491-5DF0EFDCFB0A}"/>
    <cellStyle name="20% - Accent5 3 3 5" xfId="6091" xr:uid="{CBE0BCA1-4230-4980-B931-EE5EB16D7F67}"/>
    <cellStyle name="20% - Accent5 3 4" xfId="1107" xr:uid="{EF4CEEB8-479F-4EC3-B2DA-77A0C389B2BE}"/>
    <cellStyle name="20% - Accent5 3 4 2" xfId="3300" xr:uid="{F3A224B9-05BE-4174-82BA-59B314217A45}"/>
    <cellStyle name="20% - Accent5 3 4 2 2" xfId="7497" xr:uid="{B27C700A-7E6E-469A-BC06-5C3A8B79C814}"/>
    <cellStyle name="20% - Accent5 3 4 3" xfId="4618" xr:uid="{B6DD5E00-4DF3-472D-AA36-2D037AE7A26D}"/>
    <cellStyle name="20% - Accent5 3 4 3 2" xfId="8797" xr:uid="{2ECA7893-74D6-44E7-AD70-B1F0E4A4ADB3}"/>
    <cellStyle name="20% - Accent5 3 4 4" xfId="6182" xr:uid="{07731248-52D2-46E2-96E9-B9690B227421}"/>
    <cellStyle name="20% - Accent5 3 5" xfId="2816" xr:uid="{6A5BA3C4-53DF-4032-A006-F5591A085FEB}"/>
    <cellStyle name="20% - Accent5 3 5 2" xfId="7027" xr:uid="{3DF3D65D-A063-4707-A5DE-F65374FD1462}"/>
    <cellStyle name="20% - Accent5 3 6" xfId="4124" xr:uid="{AF78D1E2-F916-4942-B9E9-C94660AB3D36}"/>
    <cellStyle name="20% - Accent5 3 6 2" xfId="8313" xr:uid="{701A49F1-7AD8-4A8C-882B-F41604F136F5}"/>
    <cellStyle name="20% - Accent5 3 7" xfId="5695" xr:uid="{7EF7C7C3-68F7-4263-8CF5-B087757EEA49}"/>
    <cellStyle name="20% - Accent5 4" xfId="124" xr:uid="{50102C59-EE0A-4B76-8019-0C5D0D3CC70C}"/>
    <cellStyle name="20% - Accent5 4 2" xfId="583" xr:uid="{D721C6E8-F44E-40A4-934F-8C52013FAE9F}"/>
    <cellStyle name="20% - Accent5 4 2 2" xfId="1174" xr:uid="{D3F30893-BC71-482C-BBB2-928863DE0914}"/>
    <cellStyle name="20% - Accent5 4 2 2 2" xfId="3367" xr:uid="{30F93B15-19FE-4628-A7EA-BE8B4C2593A6}"/>
    <cellStyle name="20% - Accent5 4 2 2 2 2" xfId="7564" xr:uid="{2145DAE8-7376-4C11-B0DA-59DFF0FB05A5}"/>
    <cellStyle name="20% - Accent5 4 2 2 3" xfId="4685" xr:uid="{789EE012-F295-4E7E-B4D7-BA36CD9E7B76}"/>
    <cellStyle name="20% - Accent5 4 2 2 3 2" xfId="8864" xr:uid="{D3EA95D7-82CF-4046-B8D2-CFBC126FD133}"/>
    <cellStyle name="20% - Accent5 4 2 2 4" xfId="6249" xr:uid="{58E03703-CF0D-4C36-BEA3-031B14650661}"/>
    <cellStyle name="20% - Accent5 4 2 3" xfId="2904" xr:uid="{A6E82D4A-5717-4EA4-9D00-A68BAFC49298}"/>
    <cellStyle name="20% - Accent5 4 2 3 2" xfId="7107" xr:uid="{BD1A0BE3-6956-4286-98D4-E5D0437176E6}"/>
    <cellStyle name="20% - Accent5 4 2 4" xfId="4215" xr:uid="{ABE92CFE-578F-4388-875F-796ECA317525}"/>
    <cellStyle name="20% - Accent5 4 2 4 2" xfId="8400" xr:uid="{9E5604F7-F38D-49E9-9619-F839B363793B}"/>
    <cellStyle name="20% - Accent5 4 2 5" xfId="5784" xr:uid="{0D244730-13C3-49C9-8586-C274C44F6803}"/>
    <cellStyle name="20% - Accent5 4 3" xfId="999" xr:uid="{D87B03BF-70A4-49E3-8AB5-076B20611AED}"/>
    <cellStyle name="20% - Accent5 4 3 2" xfId="1240" xr:uid="{C0DB8A31-9E85-4A2E-8BF3-594748149327}"/>
    <cellStyle name="20% - Accent5 4 3 2 2" xfId="3433" xr:uid="{564D684B-FBF0-4540-9481-C0B5935421A8}"/>
    <cellStyle name="20% - Accent5 4 3 2 2 2" xfId="7630" xr:uid="{61BA6696-7792-493D-8087-4F6C29D5E141}"/>
    <cellStyle name="20% - Accent5 4 3 2 3" xfId="4751" xr:uid="{99579B35-98BA-4266-A55E-D4010138F2AA}"/>
    <cellStyle name="20% - Accent5 4 3 2 3 2" xfId="8930" xr:uid="{5C6D6E3C-2F0F-4E82-BB8A-2CC8CE7F1900}"/>
    <cellStyle name="20% - Accent5 4 3 2 4" xfId="6315" xr:uid="{FF73A493-B2C8-486C-8B94-34E6E6E61E2D}"/>
    <cellStyle name="20% - Accent5 4 3 3" xfId="3207" xr:uid="{F27B2FE2-7470-45CE-A30F-AC1B2E0ED630}"/>
    <cellStyle name="20% - Accent5 4 3 3 2" xfId="7408" xr:uid="{D7B3977A-3052-41A8-A051-37417E9CA5B1}"/>
    <cellStyle name="20% - Accent5 4 3 4" xfId="4524" xr:uid="{2BE5D826-9FBF-447C-908F-7562F47AE58D}"/>
    <cellStyle name="20% - Accent5 4 3 4 2" xfId="8707" xr:uid="{FD5D4F67-6EFD-4096-B355-5ED02C4F82FF}"/>
    <cellStyle name="20% - Accent5 4 3 5" xfId="6092" xr:uid="{4C4EB105-3D58-455E-A0EE-9AC1AE4A550D}"/>
    <cellStyle name="20% - Accent5 4 4" xfId="1108" xr:uid="{B5FD70D7-AF61-486E-A3CF-EACB99A7924D}"/>
    <cellStyle name="20% - Accent5 4 4 2" xfId="3301" xr:uid="{84BCEB34-9DFE-4102-B2C5-46672E120C64}"/>
    <cellStyle name="20% - Accent5 4 4 2 2" xfId="7498" xr:uid="{55B3DCFA-08A8-47C8-AAD3-1B1A479C5987}"/>
    <cellStyle name="20% - Accent5 4 4 3" xfId="4619" xr:uid="{666B30B4-4E4B-4886-8869-7B1D8CC947A0}"/>
    <cellStyle name="20% - Accent5 4 4 3 2" xfId="8798" xr:uid="{BE0919E2-7165-468C-9F4C-DF634455412F}"/>
    <cellStyle name="20% - Accent5 4 4 4" xfId="6183" xr:uid="{C084D888-EF83-4EB0-9F10-F3CB7F200E52}"/>
    <cellStyle name="20% - Accent5 4 5" xfId="2817" xr:uid="{FD00F365-12BD-434F-8191-990238C9F513}"/>
    <cellStyle name="20% - Accent5 4 5 2" xfId="7028" xr:uid="{269B0AF8-E72A-4BE1-B02B-521974AD0C05}"/>
    <cellStyle name="20% - Accent5 4 6" xfId="4125" xr:uid="{902A085B-D57C-4578-AFD9-D46C4690D42E}"/>
    <cellStyle name="20% - Accent5 4 6 2" xfId="8314" xr:uid="{F3F083E7-08EB-4588-A404-5F105ED1D9D4}"/>
    <cellStyle name="20% - Accent5 4 7" xfId="5696" xr:uid="{9431EA46-264A-45F9-8FC0-1FAA28B5BF63}"/>
    <cellStyle name="20% - Accent6 2" xfId="125" xr:uid="{CE66B285-7136-4B8B-B9B7-3A1AD77826D7}"/>
    <cellStyle name="20% - Accent6 2 2" xfId="126" xr:uid="{9435EBDE-69BE-47D4-BBF8-4D4D31D51ED9}"/>
    <cellStyle name="20% - Accent6 2 2 2" xfId="585" xr:uid="{ECA9F0DC-C42E-4444-8E96-CAC556350728}"/>
    <cellStyle name="20% - Accent6 2 2 2 2" xfId="1176" xr:uid="{9667B4BA-A524-4A77-87F1-2AE099DABC76}"/>
    <cellStyle name="20% - Accent6 2 2 2 2 2" xfId="3369" xr:uid="{F5020268-5E59-4E0C-B889-095F7E7FAC51}"/>
    <cellStyle name="20% - Accent6 2 2 2 2 2 2" xfId="7566" xr:uid="{AE3A5B70-F929-4970-8962-E32499C6C1E1}"/>
    <cellStyle name="20% - Accent6 2 2 2 2 3" xfId="4687" xr:uid="{AB2EDED2-4D5B-4F58-AC48-85E552177C3A}"/>
    <cellStyle name="20% - Accent6 2 2 2 2 3 2" xfId="8866" xr:uid="{DE96F7C8-3700-4322-A411-203018FE801A}"/>
    <cellStyle name="20% - Accent6 2 2 2 2 4" xfId="6251" xr:uid="{1F00D429-6961-4206-A411-4C8331F61D3D}"/>
    <cellStyle name="20% - Accent6 2 2 2 3" xfId="2906" xr:uid="{0E0A1BDB-B411-48D1-B153-E31133D26741}"/>
    <cellStyle name="20% - Accent6 2 2 2 3 2" xfId="7109" xr:uid="{BAFC94E1-33C1-4FC3-989D-A6FEC79A5887}"/>
    <cellStyle name="20% - Accent6 2 2 2 4" xfId="4217" xr:uid="{E8BAEFA5-519D-4A5E-B2A5-5B0F67B6A4CA}"/>
    <cellStyle name="20% - Accent6 2 2 2 4 2" xfId="8402" xr:uid="{AAFBE51B-3868-40D4-9BCD-ABA25DA49AA5}"/>
    <cellStyle name="20% - Accent6 2 2 2 5" xfId="5786" xr:uid="{987EBFAC-87C3-429A-8B46-540549939BE3}"/>
    <cellStyle name="20% - Accent6 2 2 3" xfId="1001" xr:uid="{9F645CF7-5E72-42CC-B8E5-BE9B68E51AA3}"/>
    <cellStyle name="20% - Accent6 2 2 3 2" xfId="1242" xr:uid="{46A3E4D7-DEF0-4FC0-A5C6-10D6C43F293B}"/>
    <cellStyle name="20% - Accent6 2 2 3 2 2" xfId="3435" xr:uid="{B4B560F1-2283-4499-ADB2-7AD54885D94C}"/>
    <cellStyle name="20% - Accent6 2 2 3 2 2 2" xfId="7632" xr:uid="{95BD1496-A604-4148-A98A-8841FD1995BF}"/>
    <cellStyle name="20% - Accent6 2 2 3 2 3" xfId="4753" xr:uid="{0194482F-685F-4EF2-A31F-BD8FAE5F11DC}"/>
    <cellStyle name="20% - Accent6 2 2 3 2 3 2" xfId="8932" xr:uid="{BCF9B453-ECAD-4C36-BC6C-E6ED6ACF6637}"/>
    <cellStyle name="20% - Accent6 2 2 3 2 4" xfId="6317" xr:uid="{96556ACE-3168-4F24-9C4B-7EE23F74CA97}"/>
    <cellStyle name="20% - Accent6 2 2 3 3" xfId="3209" xr:uid="{3AD986F0-BCE8-464F-8093-FAB474CBD1ED}"/>
    <cellStyle name="20% - Accent6 2 2 3 3 2" xfId="7410" xr:uid="{017E2AC6-FBBF-4D85-BFAB-4CA4F3DB2A48}"/>
    <cellStyle name="20% - Accent6 2 2 3 4" xfId="4526" xr:uid="{D1D76FF7-B4CA-488B-8656-3BF551679CD8}"/>
    <cellStyle name="20% - Accent6 2 2 3 4 2" xfId="8709" xr:uid="{147290C2-FD1C-4106-B826-65BA1EAE7DF7}"/>
    <cellStyle name="20% - Accent6 2 2 3 5" xfId="6094" xr:uid="{115AF351-4F8D-4DA7-AAE6-2BC1B125022D}"/>
    <cellStyle name="20% - Accent6 2 2 4" xfId="1110" xr:uid="{85AB5E2C-2F85-4AE0-AC32-DE385ED28234}"/>
    <cellStyle name="20% - Accent6 2 2 4 2" xfId="3303" xr:uid="{C3904DA8-8D89-43B4-8162-09E86C66819F}"/>
    <cellStyle name="20% - Accent6 2 2 4 2 2" xfId="7500" xr:uid="{2A25350E-4BA3-4DDC-9B60-AF302F9878A4}"/>
    <cellStyle name="20% - Accent6 2 2 4 3" xfId="4621" xr:uid="{97F95CF9-0DAA-4F1A-9594-8F0D276E3048}"/>
    <cellStyle name="20% - Accent6 2 2 4 3 2" xfId="8800" xr:uid="{614E81F2-6174-4D04-BED0-17211B10E189}"/>
    <cellStyle name="20% - Accent6 2 2 4 4" xfId="6185" xr:uid="{8DEB7373-DA1B-4061-B782-656389913144}"/>
    <cellStyle name="20% - Accent6 2 2 5" xfId="2819" xr:uid="{830940EB-BC5E-4997-B783-10D7672406B8}"/>
    <cellStyle name="20% - Accent6 2 2 5 2" xfId="7030" xr:uid="{3C4AB013-43AF-4D91-9D2B-7F6744E6A06A}"/>
    <cellStyle name="20% - Accent6 2 2 6" xfId="4127" xr:uid="{2F5C0255-D828-4D1F-8292-E8E7B08B18BA}"/>
    <cellStyle name="20% - Accent6 2 2 6 2" xfId="8316" xr:uid="{BDBFE56B-002B-424F-8357-CAA5C5CD3F14}"/>
    <cellStyle name="20% - Accent6 2 2 7" xfId="5698" xr:uid="{A3E2E799-4CAB-45E4-878A-206D4EFB76AD}"/>
    <cellStyle name="20% - Accent6 2 3" xfId="127" xr:uid="{0985B440-347F-412D-8C31-4375670A040F}"/>
    <cellStyle name="20% - Accent6 2 3 2" xfId="128" xr:uid="{1326CC5F-DAC5-4D7B-947E-8BD73F15417A}"/>
    <cellStyle name="20% - Accent6 2 3 2 2" xfId="542" xr:uid="{31A2AEF6-7E42-47E8-8069-AE6E1FD99B6F}"/>
    <cellStyle name="20% - Accent6 2 3 3" xfId="541" xr:uid="{F2E6C59F-1711-4C35-A4C2-2CEF72A3A5C2}"/>
    <cellStyle name="20% - Accent6 2 4" xfId="584" xr:uid="{F34D7B26-0F17-4D45-94C6-5CF03C96FE66}"/>
    <cellStyle name="20% - Accent6 2 4 2" xfId="1175" xr:uid="{E3A55E3A-FBDF-434E-8CB5-9A13DE98B7AA}"/>
    <cellStyle name="20% - Accent6 2 4 2 2" xfId="714" xr:uid="{8B727603-2653-4F48-9549-7DA7DF724001}"/>
    <cellStyle name="20% - Accent6 2 4 2 2 2" xfId="1082" xr:uid="{1BBF1991-A227-46CC-98B5-01F5926D7915}"/>
    <cellStyle name="20% - Accent6 2 4 2 3" xfId="825" xr:uid="{1CD9C620-1DD5-4583-8712-32910A2AAA2E}"/>
    <cellStyle name="20% - Accent6 2 4 2 4" xfId="1083" xr:uid="{A68F3BC8-F763-4FF7-BF4F-902A9E3B0166}"/>
    <cellStyle name="20% - Accent6 2 4 2 5" xfId="3368" xr:uid="{83FA5BC0-9E02-45ED-ABD0-D41BFDF929F6}"/>
    <cellStyle name="20% - Accent6 2 4 2 5 2" xfId="7565" xr:uid="{1854F5DE-E7CF-4647-8829-794205F5CCCF}"/>
    <cellStyle name="20% - Accent6 2 4 2 6" xfId="4686" xr:uid="{B71351C9-861F-498C-BA59-C061F6EEBDA5}"/>
    <cellStyle name="20% - Accent6 2 4 2 6 2" xfId="8865" xr:uid="{F7FD8D8D-F9C2-4668-A8B4-A8B7B379C4F6}"/>
    <cellStyle name="20% - Accent6 2 4 2 7" xfId="6250" xr:uid="{63A4A5E2-0F45-4444-802C-D39F55DA0D6D}"/>
    <cellStyle name="20% - Accent6 2 4 3" xfId="824" xr:uid="{59C3DFAF-E491-43B9-83AD-68E24C04EA33}"/>
    <cellStyle name="20% - Accent6 2 4 3 2" xfId="713" xr:uid="{0F3963E8-D3F2-4B94-B233-B2BA2BAC7832}"/>
    <cellStyle name="20% - Accent6 2 4 4" xfId="712" xr:uid="{25FE0A14-56B0-4167-B231-43ED923A19AA}"/>
    <cellStyle name="20% - Accent6 2 4 5" xfId="826" xr:uid="{546F2BF3-E63C-4E08-B96F-089DAB7452B4}"/>
    <cellStyle name="20% - Accent6 2 4 6" xfId="2905" xr:uid="{800C0E09-DE90-45EF-8D23-92345172A8FD}"/>
    <cellStyle name="20% - Accent6 2 4 6 2" xfId="7108" xr:uid="{BF32EC42-26DB-4E31-8A15-DA73D7764517}"/>
    <cellStyle name="20% - Accent6 2 4 7" xfId="4216" xr:uid="{83B00444-B87F-4CBF-BB01-E87BD4C70AED}"/>
    <cellStyle name="20% - Accent6 2 4 7 2" xfId="8401" xr:uid="{B315389A-8102-4D96-9FA0-BB82FA8DE705}"/>
    <cellStyle name="20% - Accent6 2 4 8" xfId="5785" xr:uid="{91571987-BED4-4032-A58B-7ADF58DD2443}"/>
    <cellStyle name="20% - Accent6 2 5" xfId="1000" xr:uid="{93CB8357-1DF1-4F08-9C38-3AAA024B13A6}"/>
    <cellStyle name="20% - Accent6 2 5 2" xfId="1241" xr:uid="{4D155B3F-E2E2-4520-9999-5DA10BFF0D7B}"/>
    <cellStyle name="20% - Accent6 2 5 2 2" xfId="3434" xr:uid="{14BD514B-E1DF-4792-9C5B-1C67746D368D}"/>
    <cellStyle name="20% - Accent6 2 5 2 2 2" xfId="7631" xr:uid="{D2A8E7B0-4C82-4080-B9F9-61C88F18CDF3}"/>
    <cellStyle name="20% - Accent6 2 5 2 3" xfId="4752" xr:uid="{9F09AF43-E99B-4463-9A8C-BFC9BA56D794}"/>
    <cellStyle name="20% - Accent6 2 5 2 3 2" xfId="8931" xr:uid="{D58DB213-E39E-4F31-AC7A-0F6B626CC3A2}"/>
    <cellStyle name="20% - Accent6 2 5 2 4" xfId="6316" xr:uid="{9248567C-41E7-49C7-9200-54C6DBE38A7A}"/>
    <cellStyle name="20% - Accent6 2 5 3" xfId="1080" xr:uid="{5F5AD0AA-707C-4994-AC69-67419C131A7B}"/>
    <cellStyle name="20% - Accent6 2 5 4" xfId="3208" xr:uid="{1285618E-4F31-4370-98BA-4A450BBA6C7A}"/>
    <cellStyle name="20% - Accent6 2 5 4 2" xfId="7409" xr:uid="{AE70E7EA-F6FD-4E25-A771-27762C2C8673}"/>
    <cellStyle name="20% - Accent6 2 5 5" xfId="4525" xr:uid="{70D74915-BEC5-4D59-B52B-0B47F2ACF4DE}"/>
    <cellStyle name="20% - Accent6 2 5 5 2" xfId="8708" xr:uid="{73DA9C34-D977-41EE-B0D4-C53AF99C81ED}"/>
    <cellStyle name="20% - Accent6 2 5 6" xfId="6093" xr:uid="{EB534085-13E1-43A3-9DB1-4C938D76DD69}"/>
    <cellStyle name="20% - Accent6 2 6" xfId="1109" xr:uid="{49835779-E2D5-4808-8121-1345AA2E3108}"/>
    <cellStyle name="20% - Accent6 2 6 2" xfId="3302" xr:uid="{EC47F369-50A1-4227-9BAB-88EC235D3E5E}"/>
    <cellStyle name="20% - Accent6 2 6 2 2" xfId="7499" xr:uid="{EBEE4B60-5F54-4520-AD68-4B752F0706EC}"/>
    <cellStyle name="20% - Accent6 2 6 3" xfId="4620" xr:uid="{3E7ED3E7-A28A-4487-9892-DEECDA3B3C61}"/>
    <cellStyle name="20% - Accent6 2 6 3 2" xfId="8799" xr:uid="{4268AF8D-64E2-4AB4-A28B-51DC179EF721}"/>
    <cellStyle name="20% - Accent6 2 6 4" xfId="6184" xr:uid="{38B656E6-97FD-440F-AE41-02AC73BFB722}"/>
    <cellStyle name="20% - Accent6 2 7" xfId="2818" xr:uid="{6419E7DF-524F-495E-A5D8-97699DF3B8A2}"/>
    <cellStyle name="20% - Accent6 2 7 2" xfId="7029" xr:uid="{4E1C6950-2795-4034-9B2F-8375FFD59E54}"/>
    <cellStyle name="20% - Accent6 2 8" xfId="4126" xr:uid="{93469C79-945B-4007-B7E0-DDB7663FA218}"/>
    <cellStyle name="20% - Accent6 2 8 2" xfId="8315" xr:uid="{99D31C45-85B4-4CC0-A5BB-9334F34B8D07}"/>
    <cellStyle name="20% - Accent6 2 9" xfId="5697" xr:uid="{4945CE28-03C0-4E1E-A533-4AA257BAE22E}"/>
    <cellStyle name="20% - Accent6 3" xfId="129" xr:uid="{5232885F-1E70-4F63-8320-5DF1C5BA9D7A}"/>
    <cellStyle name="20% - Accent6 3 2" xfId="586" xr:uid="{9401AF58-ED48-4DAE-865C-5A351D653F43}"/>
    <cellStyle name="20% - Accent6 3 2 2" xfId="1177" xr:uid="{4946BA25-FFC0-498D-B8FB-C62AEFABA5CC}"/>
    <cellStyle name="20% - Accent6 3 2 2 2" xfId="3370" xr:uid="{0202ED30-76A9-4A53-96F6-A1877E15D2C5}"/>
    <cellStyle name="20% - Accent6 3 2 2 2 2" xfId="7567" xr:uid="{93C92659-D828-45BE-993E-551357136712}"/>
    <cellStyle name="20% - Accent6 3 2 2 3" xfId="4688" xr:uid="{CEA69C12-1727-49D3-8937-2722054D3C16}"/>
    <cellStyle name="20% - Accent6 3 2 2 3 2" xfId="8867" xr:uid="{0FE2FE7C-9872-4E85-9BA2-05C038C77D3F}"/>
    <cellStyle name="20% - Accent6 3 2 2 4" xfId="6252" xr:uid="{327207C0-D324-4802-95E6-DE7D02041977}"/>
    <cellStyle name="20% - Accent6 3 2 3" xfId="2907" xr:uid="{BE355F73-6C63-4D6E-9709-E58A9D2C5D68}"/>
    <cellStyle name="20% - Accent6 3 2 3 2" xfId="7110" xr:uid="{0D5AD4F9-D947-472D-BA90-623E9930F078}"/>
    <cellStyle name="20% - Accent6 3 2 4" xfId="4218" xr:uid="{87E046A9-CC7B-4B53-BCD3-B400B29E420D}"/>
    <cellStyle name="20% - Accent6 3 2 4 2" xfId="8403" xr:uid="{E13114DE-6CA9-44C9-B20D-87D2F8D89D1B}"/>
    <cellStyle name="20% - Accent6 3 2 5" xfId="5787" xr:uid="{C2CBF70A-D0B6-4E20-A3EB-45F66D5D40CA}"/>
    <cellStyle name="20% - Accent6 3 3" xfId="1002" xr:uid="{52B3B95F-D79D-44A5-9EA2-6A9DF8AD75DF}"/>
    <cellStyle name="20% - Accent6 3 3 2" xfId="1243" xr:uid="{E3CD2973-2C66-46BC-AE67-0269AE050006}"/>
    <cellStyle name="20% - Accent6 3 3 2 2" xfId="3436" xr:uid="{D2039C4A-9036-47E4-B196-4F308B29A1CC}"/>
    <cellStyle name="20% - Accent6 3 3 2 2 2" xfId="7633" xr:uid="{5B8018E9-9FDF-466F-A18F-66316564E848}"/>
    <cellStyle name="20% - Accent6 3 3 2 3" xfId="4754" xr:uid="{158B2ED0-2056-4FDF-8AC4-CC6C58449D7A}"/>
    <cellStyle name="20% - Accent6 3 3 2 3 2" xfId="8933" xr:uid="{F94FCE06-2324-4018-8E76-55A9FF5AC2E1}"/>
    <cellStyle name="20% - Accent6 3 3 2 4" xfId="6318" xr:uid="{A9D9CD7E-75EE-4BCE-8D87-04821E38FB72}"/>
    <cellStyle name="20% - Accent6 3 3 3" xfId="3210" xr:uid="{D3692A5B-B164-44EF-9CAE-EF8F304BB6B6}"/>
    <cellStyle name="20% - Accent6 3 3 3 2" xfId="7411" xr:uid="{D3C7493C-A3E1-4191-8219-ABC72DEEADD3}"/>
    <cellStyle name="20% - Accent6 3 3 4" xfId="4527" xr:uid="{12832949-6BA5-46DD-AEFC-C8BF1BECB246}"/>
    <cellStyle name="20% - Accent6 3 3 4 2" xfId="8710" xr:uid="{7C34F9CD-B45D-4373-89AF-0BF574DF6EDF}"/>
    <cellStyle name="20% - Accent6 3 3 5" xfId="6095" xr:uid="{6E49D650-13FC-4BDD-BF2C-3B8C446857BA}"/>
    <cellStyle name="20% - Accent6 3 4" xfId="1111" xr:uid="{EA59C9E4-005A-4EF7-90BC-000AC9EC28D7}"/>
    <cellStyle name="20% - Accent6 3 4 2" xfId="3304" xr:uid="{3AA3D257-ED16-405F-9B6F-D0779A230181}"/>
    <cellStyle name="20% - Accent6 3 4 2 2" xfId="7501" xr:uid="{B0190387-1E83-4DC9-8826-BBC55670B41C}"/>
    <cellStyle name="20% - Accent6 3 4 3" xfId="4622" xr:uid="{0CF2250B-AB1A-48F7-9911-D09E53F50A9C}"/>
    <cellStyle name="20% - Accent6 3 4 3 2" xfId="8801" xr:uid="{CA35C3BF-52CE-4A85-9A95-361703D5FE8D}"/>
    <cellStyle name="20% - Accent6 3 4 4" xfId="6186" xr:uid="{498ECBE4-BD39-4A2C-BCED-90DD276ABE76}"/>
    <cellStyle name="20% - Accent6 3 5" xfId="2820" xr:uid="{C554CE00-353C-49AA-8013-82DA19AB8598}"/>
    <cellStyle name="20% - Accent6 3 5 2" xfId="7031" xr:uid="{8895217C-1EC3-41EF-8893-B6E157FD9B1D}"/>
    <cellStyle name="20% - Accent6 3 6" xfId="4128" xr:uid="{0CDA8024-A043-4B63-BFEB-4E6DBF04B822}"/>
    <cellStyle name="20% - Accent6 3 6 2" xfId="8317" xr:uid="{BA732446-783A-4217-B2E3-67B25FC8C110}"/>
    <cellStyle name="20% - Accent6 3 7" xfId="5699" xr:uid="{4FA9E8BE-3F3F-447F-B466-180639153E8E}"/>
    <cellStyle name="20% - Accent6 4" xfId="130" xr:uid="{9EA72050-424B-4384-8880-2C650884EFD5}"/>
    <cellStyle name="20% - Accent6 4 2" xfId="587" xr:uid="{711F2EAB-CB37-4C0C-BBE0-A37A63E9AD59}"/>
    <cellStyle name="20% - Accent6 4 2 2" xfId="1178" xr:uid="{F29E7FA1-408C-45F6-BB1C-15F9463A8E76}"/>
    <cellStyle name="20% - Accent6 4 2 2 2" xfId="3371" xr:uid="{CFE9E8BF-A458-4E23-844F-6C72B6D748F0}"/>
    <cellStyle name="20% - Accent6 4 2 2 2 2" xfId="7568" xr:uid="{7FC68E11-B893-43D0-8B1B-DE62E247005A}"/>
    <cellStyle name="20% - Accent6 4 2 2 3" xfId="4689" xr:uid="{5B79D425-F219-4FE3-B75D-4ECB80B07579}"/>
    <cellStyle name="20% - Accent6 4 2 2 3 2" xfId="8868" xr:uid="{C6C4CC28-DAEC-4136-BEE2-B0B40FBA44D8}"/>
    <cellStyle name="20% - Accent6 4 2 2 4" xfId="6253" xr:uid="{A3BA5141-9CDD-4520-8AB7-78F994DD708C}"/>
    <cellStyle name="20% - Accent6 4 2 3" xfId="2908" xr:uid="{F9479613-0530-438B-946C-A5D619682E73}"/>
    <cellStyle name="20% - Accent6 4 2 3 2" xfId="7111" xr:uid="{E08166F5-0146-4C34-B0E8-A36E6B050C50}"/>
    <cellStyle name="20% - Accent6 4 2 4" xfId="4219" xr:uid="{8E3274DA-1A3C-4B75-92DE-9785D4333B28}"/>
    <cellStyle name="20% - Accent6 4 2 4 2" xfId="8404" xr:uid="{CF638CB4-DDBF-4754-9B60-5BAA9A98511B}"/>
    <cellStyle name="20% - Accent6 4 2 5" xfId="5788" xr:uid="{A1887D96-D81A-45AE-9BCE-A63358733321}"/>
    <cellStyle name="20% - Accent6 4 3" xfId="1003" xr:uid="{1F6D32D9-A26C-42D5-ACB3-D14E3725DF71}"/>
    <cellStyle name="20% - Accent6 4 3 2" xfId="1244" xr:uid="{B700B228-B147-407B-9CB5-972CB57F024F}"/>
    <cellStyle name="20% - Accent6 4 3 2 2" xfId="3437" xr:uid="{926047AC-9DB5-4EC4-B326-8078A0FBF206}"/>
    <cellStyle name="20% - Accent6 4 3 2 2 2" xfId="7634" xr:uid="{042D150B-F1B7-4AE4-9936-12ABF5637F80}"/>
    <cellStyle name="20% - Accent6 4 3 2 3" xfId="4755" xr:uid="{BEC88F05-9238-43EB-947C-CE513238B0C0}"/>
    <cellStyle name="20% - Accent6 4 3 2 3 2" xfId="8934" xr:uid="{66373A12-E206-4E40-B95B-431E1BB96CF6}"/>
    <cellStyle name="20% - Accent6 4 3 2 4" xfId="6319" xr:uid="{9AEF3A9B-7B0A-40C3-B8BE-A4C06240B95E}"/>
    <cellStyle name="20% - Accent6 4 3 3" xfId="3211" xr:uid="{B71BF009-FF4F-4656-B93A-3E20F2071D0A}"/>
    <cellStyle name="20% - Accent6 4 3 3 2" xfId="7412" xr:uid="{F46F74F7-848B-4401-B493-0C344BAE72D2}"/>
    <cellStyle name="20% - Accent6 4 3 4" xfId="4528" xr:uid="{EEA60227-7D40-48BC-A012-2BD5726B375A}"/>
    <cellStyle name="20% - Accent6 4 3 4 2" xfId="8711" xr:uid="{765D7CF1-C05A-4809-B92E-27900DAE5761}"/>
    <cellStyle name="20% - Accent6 4 3 5" xfId="6096" xr:uid="{26CE95BD-52C8-4A55-9DC4-A4DF32E1677D}"/>
    <cellStyle name="20% - Accent6 4 4" xfId="1112" xr:uid="{21F389DA-70F7-43F9-AA46-528C8A540875}"/>
    <cellStyle name="20% - Accent6 4 4 2" xfId="3305" xr:uid="{81C6A55D-1798-491B-9ECD-2C4D179B8473}"/>
    <cellStyle name="20% - Accent6 4 4 2 2" xfId="7502" xr:uid="{36DD22E5-0F65-4FED-80E4-73AC5F1310B2}"/>
    <cellStyle name="20% - Accent6 4 4 3" xfId="4623" xr:uid="{788AC043-45F8-4CA0-8D4F-425C563F271B}"/>
    <cellStyle name="20% - Accent6 4 4 3 2" xfId="8802" xr:uid="{C1B9B594-3E5C-4483-B470-A6AD0D84DCC9}"/>
    <cellStyle name="20% - Accent6 4 4 4" xfId="6187" xr:uid="{70B2BA38-1298-41AC-9C5A-338AFE93AC98}"/>
    <cellStyle name="20% - Accent6 4 5" xfId="2821" xr:uid="{8ACDCC9C-7141-40C4-A3AF-9B6993462D28}"/>
    <cellStyle name="20% - Accent6 4 5 2" xfId="7032" xr:uid="{0F59765C-B04E-421B-A287-5828AAB7F39E}"/>
    <cellStyle name="20% - Accent6 4 6" xfId="4129" xr:uid="{3B8F1724-8E38-45A5-8C87-D9AC64055FD0}"/>
    <cellStyle name="20% - Accent6 4 6 2" xfId="8318" xr:uid="{59C28F39-0F74-4C48-9D07-B426BDB79837}"/>
    <cellStyle name="20% - Accent6 4 7" xfId="5700" xr:uid="{24D6D035-0EE8-4250-A63C-59F2F0D0873A}"/>
    <cellStyle name="40% - Accent1 2" xfId="131" xr:uid="{BB7E0D70-98DB-4DFD-B059-6A20739D2AAD}"/>
    <cellStyle name="40% - Accent1 2 2" xfId="132" xr:uid="{67FF1514-6E3A-475F-8F52-195E414BF672}"/>
    <cellStyle name="40% - Accent1 2 2 2" xfId="589" xr:uid="{BCA6AD3D-4AC9-45DB-96BD-E456C848886F}"/>
    <cellStyle name="40% - Accent1 2 2 2 2" xfId="1180" xr:uid="{EBC149E8-A161-4B9D-B682-E2106B475C78}"/>
    <cellStyle name="40% - Accent1 2 2 2 2 2" xfId="3373" xr:uid="{46605263-9B40-464E-8FE4-42EA842BE094}"/>
    <cellStyle name="40% - Accent1 2 2 2 2 2 2" xfId="7570" xr:uid="{47AE4599-1813-48D8-8985-91DFB64A565E}"/>
    <cellStyle name="40% - Accent1 2 2 2 2 3" xfId="4691" xr:uid="{25259661-AF92-4860-8353-C3A19F54D2C0}"/>
    <cellStyle name="40% - Accent1 2 2 2 2 3 2" xfId="8870" xr:uid="{32E34872-CC3C-4C9B-BF58-3723745DC41D}"/>
    <cellStyle name="40% - Accent1 2 2 2 2 4" xfId="6255" xr:uid="{AAF2538C-777A-4C1B-89A7-F26C8EA57CA8}"/>
    <cellStyle name="40% - Accent1 2 2 2 3" xfId="2910" xr:uid="{6E2A0306-B742-4C9E-ACB1-6D873E2FFB26}"/>
    <cellStyle name="40% - Accent1 2 2 2 3 2" xfId="7113" xr:uid="{4FC79C11-2CC7-48D8-AB15-C0A359830357}"/>
    <cellStyle name="40% - Accent1 2 2 2 4" xfId="4221" xr:uid="{136CFE32-749F-47A6-9E89-7C54211F9219}"/>
    <cellStyle name="40% - Accent1 2 2 2 4 2" xfId="8406" xr:uid="{EA9A6D4C-F112-4EA4-81E1-BC8AB939C390}"/>
    <cellStyle name="40% - Accent1 2 2 2 5" xfId="5790" xr:uid="{60E3BFA6-89B9-4BDF-979B-EC6DE28EC3EE}"/>
    <cellStyle name="40% - Accent1 2 2 3" xfId="1005" xr:uid="{2272B1E8-61C9-4A2D-AEB6-9F9768C47DF9}"/>
    <cellStyle name="40% - Accent1 2 2 3 2" xfId="1246" xr:uid="{A5080D4A-59CF-4672-A4C3-A4C5BB5FC203}"/>
    <cellStyle name="40% - Accent1 2 2 3 2 2" xfId="3439" xr:uid="{4629409F-2C9C-4BD1-845F-3EA9F526325A}"/>
    <cellStyle name="40% - Accent1 2 2 3 2 2 2" xfId="7636" xr:uid="{59624D89-5FA1-4E67-A8D7-134D8CC8EB1D}"/>
    <cellStyle name="40% - Accent1 2 2 3 2 3" xfId="4757" xr:uid="{B01FD4F9-1739-46CB-88DB-81130E6442B7}"/>
    <cellStyle name="40% - Accent1 2 2 3 2 3 2" xfId="8936" xr:uid="{AFF60498-04F2-4D5A-BA73-09DFCF1C5345}"/>
    <cellStyle name="40% - Accent1 2 2 3 2 4" xfId="6321" xr:uid="{9FB666A8-D454-4F37-B006-C66F89E0C24F}"/>
    <cellStyle name="40% - Accent1 2 2 3 3" xfId="3213" xr:uid="{46C57331-847D-4F62-BE1E-8CA2BB95793D}"/>
    <cellStyle name="40% - Accent1 2 2 3 3 2" xfId="7414" xr:uid="{9B6125FA-26AF-4530-BB3E-AA571200C4F1}"/>
    <cellStyle name="40% - Accent1 2 2 3 4" xfId="4530" xr:uid="{19F1ABBD-0DD6-4C42-BACC-5A2B658CB8CE}"/>
    <cellStyle name="40% - Accent1 2 2 3 4 2" xfId="8713" xr:uid="{8DE702A4-1133-478C-9D88-B6064A68CDAB}"/>
    <cellStyle name="40% - Accent1 2 2 3 5" xfId="6098" xr:uid="{9C600F84-AC2F-44EF-87A9-11DC4FCE5D8B}"/>
    <cellStyle name="40% - Accent1 2 2 4" xfId="1114" xr:uid="{66BEDB78-917B-45F3-A979-447C2A08CD7C}"/>
    <cellStyle name="40% - Accent1 2 2 4 2" xfId="3307" xr:uid="{D45B0843-FC7A-44AC-AC6B-CFD283C06295}"/>
    <cellStyle name="40% - Accent1 2 2 4 2 2" xfId="7504" xr:uid="{1908377B-04D7-45F0-B91A-3E59C97521EB}"/>
    <cellStyle name="40% - Accent1 2 2 4 3" xfId="4625" xr:uid="{94F9983C-7C54-40BC-A129-DD31A6BFA55A}"/>
    <cellStyle name="40% - Accent1 2 2 4 3 2" xfId="8804" xr:uid="{8FA8CA30-24B5-42F1-A817-2D62905440D5}"/>
    <cellStyle name="40% - Accent1 2 2 4 4" xfId="6189" xr:uid="{24843858-D059-4A80-92EC-A10378960357}"/>
    <cellStyle name="40% - Accent1 2 2 5" xfId="2823" xr:uid="{425F5E54-6A57-4857-8A80-A9FFFEF41195}"/>
    <cellStyle name="40% - Accent1 2 2 5 2" xfId="7034" xr:uid="{40CFCB63-8B92-4981-8080-019113B0F6AA}"/>
    <cellStyle name="40% - Accent1 2 2 6" xfId="4131" xr:uid="{D4E88278-56A4-45CE-99BE-13ED6E9CD332}"/>
    <cellStyle name="40% - Accent1 2 2 6 2" xfId="8320" xr:uid="{0C2F85AC-2D06-4770-8DE4-30BA0A5F9E41}"/>
    <cellStyle name="40% - Accent1 2 2 7" xfId="5702" xr:uid="{150A7FE3-1F17-4B11-9306-4C492B8FC51E}"/>
    <cellStyle name="40% - Accent1 2 3" xfId="133" xr:uid="{C28873F5-C822-486C-9061-FB55C9BE09FD}"/>
    <cellStyle name="40% - Accent1 2 3 2" xfId="134" xr:uid="{1CC6796E-2F55-49FB-862F-4C64F3A43935}"/>
    <cellStyle name="40% - Accent1 2 3 2 2" xfId="544" xr:uid="{EAE6D9B1-46C2-468F-99D7-BAD5C92B9AB8}"/>
    <cellStyle name="40% - Accent1 2 3 3" xfId="543" xr:uid="{58DF9388-6464-4F7F-9A03-C1909A9D963F}"/>
    <cellStyle name="40% - Accent1 2 4" xfId="588" xr:uid="{CB99BF61-D5D2-47A7-9A62-1A50BB07A531}"/>
    <cellStyle name="40% - Accent1 2 4 2" xfId="1179" xr:uid="{0A03D588-B068-4DEF-BD9E-1D201E41986D}"/>
    <cellStyle name="40% - Accent1 2 4 2 2" xfId="823" xr:uid="{3C59A034-DC44-4A9E-A46A-59552BD42A03}"/>
    <cellStyle name="40% - Accent1 2 4 2 2 2" xfId="711" xr:uid="{86C28D2D-4318-4BD8-A81D-8610B21029B2}"/>
    <cellStyle name="40% - Accent1 2 4 2 3" xfId="671" xr:uid="{5140729D-1EA4-4D12-A01B-B3C669909A34}"/>
    <cellStyle name="40% - Accent1 2 4 2 4" xfId="724" xr:uid="{AAE36CAC-A0C9-4B88-9276-34A7C28D619B}"/>
    <cellStyle name="40% - Accent1 2 4 2 5" xfId="3372" xr:uid="{E5F41E53-2624-4A6C-A317-B0D8EF8274E6}"/>
    <cellStyle name="40% - Accent1 2 4 2 5 2" xfId="7569" xr:uid="{B5880816-E4F2-4894-AF7D-BFF5D6AB4EBB}"/>
    <cellStyle name="40% - Accent1 2 4 2 6" xfId="4690" xr:uid="{487F161D-35FE-48BD-B9D7-9E4792B9832A}"/>
    <cellStyle name="40% - Accent1 2 4 2 6 2" xfId="8869" xr:uid="{17E84025-F067-4E1A-B11B-E04C022FF14D}"/>
    <cellStyle name="40% - Accent1 2 4 2 7" xfId="6254" xr:uid="{FA644594-DC62-4B0F-B4EF-056FC1C0081A}"/>
    <cellStyle name="40% - Accent1 2 4 3" xfId="1349" xr:uid="{42AC5EB3-34E1-4D7F-8A53-DD82BE547770}"/>
    <cellStyle name="40% - Accent1 2 4 3 2" xfId="1294" xr:uid="{0D676E71-4505-44F4-AA26-DE251FB2BFC3}"/>
    <cellStyle name="40% - Accent1 2 4 4" xfId="1365" xr:uid="{58DD762F-BD80-4C92-B506-454C47E58EC8}"/>
    <cellStyle name="40% - Accent1 2 4 5" xfId="937" xr:uid="{5FC1B266-73C8-4A1C-81DD-6E32E831CE34}"/>
    <cellStyle name="40% - Accent1 2 4 6" xfId="2909" xr:uid="{F5B5C97A-EDE6-4DBA-A38E-38AE70E9F2ED}"/>
    <cellStyle name="40% - Accent1 2 4 6 2" xfId="7112" xr:uid="{FB49699C-5DCC-4E8B-A35A-EA563FD013F0}"/>
    <cellStyle name="40% - Accent1 2 4 7" xfId="4220" xr:uid="{4687E925-30F3-437D-AEE9-DF73B8BD24C4}"/>
    <cellStyle name="40% - Accent1 2 4 7 2" xfId="8405" xr:uid="{36D0C464-BA63-44C9-8E72-049B88C4CC02}"/>
    <cellStyle name="40% - Accent1 2 4 8" xfId="5789" xr:uid="{825C02B7-51C7-4861-9742-65532D0A7410}"/>
    <cellStyle name="40% - Accent1 2 5" xfId="1004" xr:uid="{20F3A456-6C20-45F3-96B8-562589078621}"/>
    <cellStyle name="40% - Accent1 2 5 2" xfId="1245" xr:uid="{472B5FB3-4E67-4FA8-852A-A4E01F9C0208}"/>
    <cellStyle name="40% - Accent1 2 5 2 2" xfId="3438" xr:uid="{985F61F2-CD71-4283-B727-AFB1DEB51E3B}"/>
    <cellStyle name="40% - Accent1 2 5 2 2 2" xfId="7635" xr:uid="{C11591F3-B54C-4B58-9874-3626E81DEB4D}"/>
    <cellStyle name="40% - Accent1 2 5 2 3" xfId="4756" xr:uid="{B1DCCF46-3E32-4862-8DBC-D748605E8045}"/>
    <cellStyle name="40% - Accent1 2 5 2 3 2" xfId="8935" xr:uid="{03817E04-9A9B-46FE-8846-9ED850B0E402}"/>
    <cellStyle name="40% - Accent1 2 5 2 4" xfId="6320" xr:uid="{D2367C73-C4C8-41B0-A23C-184A9C6C618E}"/>
    <cellStyle name="40% - Accent1 2 5 3" xfId="1336" xr:uid="{4287EA90-945A-462A-8653-1ABCCDCD24B3}"/>
    <cellStyle name="40% - Accent1 2 5 4" xfId="3212" xr:uid="{CAFC6018-2E92-4605-B5DC-6A46A0980457}"/>
    <cellStyle name="40% - Accent1 2 5 4 2" xfId="7413" xr:uid="{5D87C943-1071-43C5-818F-0B98BEEEF90B}"/>
    <cellStyle name="40% - Accent1 2 5 5" xfId="4529" xr:uid="{79472B7A-55F7-4E6D-B367-379D21F6B021}"/>
    <cellStyle name="40% - Accent1 2 5 5 2" xfId="8712" xr:uid="{955F8878-3809-40A8-BA58-641236A610FC}"/>
    <cellStyle name="40% - Accent1 2 5 6" xfId="6097" xr:uid="{29B0FBF4-BDF2-48D8-8013-67A182BA546C}"/>
    <cellStyle name="40% - Accent1 2 6" xfId="1113" xr:uid="{A46EF3C4-5185-4170-ACCC-EAC9C3A49C8C}"/>
    <cellStyle name="40% - Accent1 2 6 2" xfId="3306" xr:uid="{E1AE5D82-2F41-4F6A-9F30-ECD15285D490}"/>
    <cellStyle name="40% - Accent1 2 6 2 2" xfId="7503" xr:uid="{CCC39D0C-2EFC-4478-8F5E-795E3FDBEC53}"/>
    <cellStyle name="40% - Accent1 2 6 3" xfId="4624" xr:uid="{B03A19B8-3F00-44DD-A904-09808D2F0459}"/>
    <cellStyle name="40% - Accent1 2 6 3 2" xfId="8803" xr:uid="{C6E8325B-0B03-4088-9367-2B4DBF382C00}"/>
    <cellStyle name="40% - Accent1 2 6 4" xfId="6188" xr:uid="{1B85A5BF-E175-4796-BF5A-1A54AC5A27A9}"/>
    <cellStyle name="40% - Accent1 2 7" xfId="2822" xr:uid="{4821AA3A-CA68-4BBF-9B45-1EF35C158298}"/>
    <cellStyle name="40% - Accent1 2 7 2" xfId="7033" xr:uid="{E3483476-7565-40EB-98CE-D2D146E53A0A}"/>
    <cellStyle name="40% - Accent1 2 8" xfId="4130" xr:uid="{CCDD05E2-E51F-4437-B385-FF04ACED2EEE}"/>
    <cellStyle name="40% - Accent1 2 8 2" xfId="8319" xr:uid="{6995AAAD-FABD-4E01-A5CF-C47D206BF1BE}"/>
    <cellStyle name="40% - Accent1 2 9" xfId="5701" xr:uid="{60A258B3-A9E8-4314-87CE-0570D801F5B9}"/>
    <cellStyle name="40% - Accent1 3" xfId="135" xr:uid="{F9087408-49AF-4A2C-943E-6E5FB68B1A3C}"/>
    <cellStyle name="40% - Accent1 3 2" xfId="590" xr:uid="{65415465-BE23-43D4-B7FB-DF77756CEBD3}"/>
    <cellStyle name="40% - Accent1 3 2 2" xfId="1181" xr:uid="{5FF399FB-BCE3-4A5C-AF9C-A7CDB2A9A12B}"/>
    <cellStyle name="40% - Accent1 3 2 2 2" xfId="3374" xr:uid="{DDBBC17A-393A-4A23-8263-921D399B4CA4}"/>
    <cellStyle name="40% - Accent1 3 2 2 2 2" xfId="7571" xr:uid="{FF3462B9-BFFF-47E1-B6BF-DD27392E768E}"/>
    <cellStyle name="40% - Accent1 3 2 2 3" xfId="4692" xr:uid="{66377A59-E79D-4958-B24A-AAE44B35607C}"/>
    <cellStyle name="40% - Accent1 3 2 2 3 2" xfId="8871" xr:uid="{C6AE382D-47FC-41E0-831A-AB10C9798BA0}"/>
    <cellStyle name="40% - Accent1 3 2 2 4" xfId="6256" xr:uid="{7A5B6F51-C817-4EE4-A6B0-ACCCDBEABC12}"/>
    <cellStyle name="40% - Accent1 3 2 3" xfId="2911" xr:uid="{AC7D414F-4C09-41F3-9942-21415C426FA8}"/>
    <cellStyle name="40% - Accent1 3 2 3 2" xfId="7114" xr:uid="{D2DF325D-F9F2-4C14-9B64-954E1613171B}"/>
    <cellStyle name="40% - Accent1 3 2 4" xfId="4222" xr:uid="{703F7CFB-7180-4213-BA36-8B78CEBDEC2D}"/>
    <cellStyle name="40% - Accent1 3 2 4 2" xfId="8407" xr:uid="{8C1D1B6B-F44A-4AEC-BCA4-E5E2A4A833F6}"/>
    <cellStyle name="40% - Accent1 3 2 5" xfId="5791" xr:uid="{4D195997-A0B4-4FD5-B8A7-C8CB1396B13A}"/>
    <cellStyle name="40% - Accent1 3 3" xfId="1006" xr:uid="{42409CF4-1F3B-4BCF-AF03-6F2438FE8F0E}"/>
    <cellStyle name="40% - Accent1 3 3 2" xfId="1247" xr:uid="{83505955-7170-4A29-8FDA-52858416D39E}"/>
    <cellStyle name="40% - Accent1 3 3 2 2" xfId="3440" xr:uid="{BEA04B93-10CF-478C-91CA-E152CA986012}"/>
    <cellStyle name="40% - Accent1 3 3 2 2 2" xfId="7637" xr:uid="{365ED300-2B25-4C43-B617-B90889F13921}"/>
    <cellStyle name="40% - Accent1 3 3 2 3" xfId="4758" xr:uid="{5A13B20D-8CA6-489A-9C78-3FF3A1DA2795}"/>
    <cellStyle name="40% - Accent1 3 3 2 3 2" xfId="8937" xr:uid="{74536802-32BA-4C82-AC53-FD47E84C7BCF}"/>
    <cellStyle name="40% - Accent1 3 3 2 4" xfId="6322" xr:uid="{83D391CE-D8B1-4AAA-903F-72C6C4B9B9FD}"/>
    <cellStyle name="40% - Accent1 3 3 3" xfId="3214" xr:uid="{C68BECC0-C498-41DE-BEF1-D7B74F5595B4}"/>
    <cellStyle name="40% - Accent1 3 3 3 2" xfId="7415" xr:uid="{194E584D-0B08-4424-9EA8-CCE6E6C29B92}"/>
    <cellStyle name="40% - Accent1 3 3 4" xfId="4531" xr:uid="{A0D987B5-A635-4F98-9D2E-15FDA34F2646}"/>
    <cellStyle name="40% - Accent1 3 3 4 2" xfId="8714" xr:uid="{511F4784-7897-4639-9D75-9EDC695CF819}"/>
    <cellStyle name="40% - Accent1 3 3 5" xfId="6099" xr:uid="{71E5F746-E6F4-48D2-9052-75EBB87A6459}"/>
    <cellStyle name="40% - Accent1 3 4" xfId="1115" xr:uid="{D9FB2257-99D1-4CA3-9437-5E581BFF34A3}"/>
    <cellStyle name="40% - Accent1 3 4 2" xfId="3308" xr:uid="{AF7A9262-F13C-4CFC-8BA2-27694FFDCE9F}"/>
    <cellStyle name="40% - Accent1 3 4 2 2" xfId="7505" xr:uid="{11D33FA6-2B6B-4F7A-BE88-2B6741941EEB}"/>
    <cellStyle name="40% - Accent1 3 4 3" xfId="4626" xr:uid="{A28DEAC1-53C0-4B79-BC85-3A5EAF3C74B6}"/>
    <cellStyle name="40% - Accent1 3 4 3 2" xfId="8805" xr:uid="{204AEDF0-5327-4A71-9370-C6F107405FB8}"/>
    <cellStyle name="40% - Accent1 3 4 4" xfId="6190" xr:uid="{84E3E69E-2BE0-449A-8E6C-93CD9EA19D6F}"/>
    <cellStyle name="40% - Accent1 3 5" xfId="2824" xr:uid="{329802B9-02C8-44F7-9C9F-3E5ABACE42FC}"/>
    <cellStyle name="40% - Accent1 3 5 2" xfId="7035" xr:uid="{F8FF3F57-EDE4-40BA-A468-77B2B32B0B69}"/>
    <cellStyle name="40% - Accent1 3 6" xfId="4132" xr:uid="{7EAD613E-BCD7-4C15-85CC-E3FCF805F145}"/>
    <cellStyle name="40% - Accent1 3 6 2" xfId="8321" xr:uid="{88BF06C4-BBAE-423D-BE14-7016C636030D}"/>
    <cellStyle name="40% - Accent1 3 7" xfId="5703" xr:uid="{A65C06E0-29C3-4A7C-A99B-AE6AC978B71C}"/>
    <cellStyle name="40% - Accent1 4" xfId="136" xr:uid="{C48544FD-CCCA-410E-8760-109E8D9CEE9F}"/>
    <cellStyle name="40% - Accent1 4 2" xfId="591" xr:uid="{94A1F236-CA40-4118-B8C0-25D99EB4A8CD}"/>
    <cellStyle name="40% - Accent1 4 2 2" xfId="1182" xr:uid="{C8C20F28-5250-4DA7-B158-5D3267C7DBB2}"/>
    <cellStyle name="40% - Accent1 4 2 2 2" xfId="3375" xr:uid="{6EA5F560-A66A-475F-A778-BB14CDE67B11}"/>
    <cellStyle name="40% - Accent1 4 2 2 2 2" xfId="7572" xr:uid="{5B92849A-0C12-45D8-80B1-551065467741}"/>
    <cellStyle name="40% - Accent1 4 2 2 3" xfId="4693" xr:uid="{A15CE23C-9AC4-4323-9E49-82A3C6D4A765}"/>
    <cellStyle name="40% - Accent1 4 2 2 3 2" xfId="8872" xr:uid="{C2B48B0B-9B25-491B-A0AD-02265A3A1C88}"/>
    <cellStyle name="40% - Accent1 4 2 2 4" xfId="6257" xr:uid="{B0FF01AD-1EB7-4B87-A0E3-0914592B9462}"/>
    <cellStyle name="40% - Accent1 4 2 3" xfId="2912" xr:uid="{5D7ECF0D-6F63-4836-B18A-447AF6956E5E}"/>
    <cellStyle name="40% - Accent1 4 2 3 2" xfId="7115" xr:uid="{EAC2D3F5-1BE0-422F-AE9E-DC87771D399B}"/>
    <cellStyle name="40% - Accent1 4 2 4" xfId="4223" xr:uid="{D68A893A-DBE6-41DC-8206-023293406EA9}"/>
    <cellStyle name="40% - Accent1 4 2 4 2" xfId="8408" xr:uid="{712CCE50-8B53-48D3-BEA3-C47518F6545C}"/>
    <cellStyle name="40% - Accent1 4 2 5" xfId="5792" xr:uid="{DCF8BBAD-F35A-4B3E-89C1-9A7CA0FC1D0E}"/>
    <cellStyle name="40% - Accent1 4 3" xfId="1007" xr:uid="{91D60779-676D-48BA-B8AB-938995217058}"/>
    <cellStyle name="40% - Accent1 4 3 2" xfId="1248" xr:uid="{14367A59-3376-4D66-909A-3773D5678C9F}"/>
    <cellStyle name="40% - Accent1 4 3 2 2" xfId="3441" xr:uid="{45634822-7137-459C-BA06-5B23B32B49F1}"/>
    <cellStyle name="40% - Accent1 4 3 2 2 2" xfId="7638" xr:uid="{D9AC291E-BDD2-40E6-A9FD-7E2A42DBD0F8}"/>
    <cellStyle name="40% - Accent1 4 3 2 3" xfId="4759" xr:uid="{01CBF5AF-D7FD-4056-85E6-A78824D32C52}"/>
    <cellStyle name="40% - Accent1 4 3 2 3 2" xfId="8938" xr:uid="{2F327E79-A92B-4EE0-838A-3E0A8FBF7606}"/>
    <cellStyle name="40% - Accent1 4 3 2 4" xfId="6323" xr:uid="{C290FFFE-7748-40AB-A8A2-C4B1B8C85A71}"/>
    <cellStyle name="40% - Accent1 4 3 3" xfId="3215" xr:uid="{7973A9AE-5F55-4F2E-B81C-B3940CEBBCC0}"/>
    <cellStyle name="40% - Accent1 4 3 3 2" xfId="7416" xr:uid="{1D05C29D-3508-4F7A-8243-A3043E279034}"/>
    <cellStyle name="40% - Accent1 4 3 4" xfId="4532" xr:uid="{4D91F102-01E8-4FD1-AECA-680121E04177}"/>
    <cellStyle name="40% - Accent1 4 3 4 2" xfId="8715" xr:uid="{AAAE2658-CC7A-41D8-A80D-31B056E016F8}"/>
    <cellStyle name="40% - Accent1 4 3 5" xfId="6100" xr:uid="{8DEA8D92-BC2C-4797-A86C-B8378A614959}"/>
    <cellStyle name="40% - Accent1 4 4" xfId="1116" xr:uid="{F26D4E29-CAF8-4123-A95A-B5D609C9E1AB}"/>
    <cellStyle name="40% - Accent1 4 4 2" xfId="3309" xr:uid="{FECE27E4-0804-4B9B-8BAF-A2D25B1BE7F5}"/>
    <cellStyle name="40% - Accent1 4 4 2 2" xfId="7506" xr:uid="{01B637C9-A2F5-4A88-884C-42DA8435551A}"/>
    <cellStyle name="40% - Accent1 4 4 3" xfId="4627" xr:uid="{0B96D52C-A14C-428B-B68A-BA153B94C530}"/>
    <cellStyle name="40% - Accent1 4 4 3 2" xfId="8806" xr:uid="{8F78BA11-1D30-41DD-9DB9-EC7936473E8F}"/>
    <cellStyle name="40% - Accent1 4 4 4" xfId="6191" xr:uid="{04DE8A37-508D-4C5C-8ACA-1D4A721EE239}"/>
    <cellStyle name="40% - Accent1 4 5" xfId="2825" xr:uid="{4DE84E80-774A-4836-89A6-9B5408BD345E}"/>
    <cellStyle name="40% - Accent1 4 5 2" xfId="7036" xr:uid="{C6E81FDE-E4DD-48C9-ADDF-A5F1D8D82146}"/>
    <cellStyle name="40% - Accent1 4 6" xfId="4133" xr:uid="{A16D8C1C-37FF-448A-9FE2-4A518ED43D97}"/>
    <cellStyle name="40% - Accent1 4 6 2" xfId="8322" xr:uid="{3385EAEE-3881-4DDA-A46E-1B6D56B78446}"/>
    <cellStyle name="40% - Accent1 4 7" xfId="5704" xr:uid="{4CD5FF7A-92C7-4F99-A6E1-9689B40459DC}"/>
    <cellStyle name="40% - Accent2 2" xfId="137" xr:uid="{7312280C-AE1B-4D96-B860-5FF6ECE29109}"/>
    <cellStyle name="40% - Accent2 2 2" xfId="138" xr:uid="{05B42B82-EBA7-4287-8248-24DA2C642D9F}"/>
    <cellStyle name="40% - Accent2 2 2 2" xfId="593" xr:uid="{39B64B22-6BBC-4C41-91AA-AD2767647183}"/>
    <cellStyle name="40% - Accent2 2 2 2 2" xfId="1184" xr:uid="{BE170FBB-0701-487B-937A-04627F77DD13}"/>
    <cellStyle name="40% - Accent2 2 2 2 2 2" xfId="3377" xr:uid="{4FA1B331-042D-4780-BFA4-35B8817BF988}"/>
    <cellStyle name="40% - Accent2 2 2 2 2 2 2" xfId="7574" xr:uid="{90941720-9164-4802-B30B-9F60E69FB362}"/>
    <cellStyle name="40% - Accent2 2 2 2 2 3" xfId="4695" xr:uid="{B43D753C-F4F5-49FD-B914-41C5037357BB}"/>
    <cellStyle name="40% - Accent2 2 2 2 2 3 2" xfId="8874" xr:uid="{B1B5DD13-3164-4115-A3D3-DD0E9505533F}"/>
    <cellStyle name="40% - Accent2 2 2 2 2 4" xfId="6259" xr:uid="{D963178B-4D8D-4AAA-ACE3-5FD5424BCDF8}"/>
    <cellStyle name="40% - Accent2 2 2 2 3" xfId="2914" xr:uid="{3420ABCC-986A-4F4C-AD84-F6F6C7A7414B}"/>
    <cellStyle name="40% - Accent2 2 2 2 3 2" xfId="7117" xr:uid="{6BEB9E3E-3E41-4B7E-88B5-E100C7D21B44}"/>
    <cellStyle name="40% - Accent2 2 2 2 4" xfId="4225" xr:uid="{D3F9BE90-8CCE-4A27-BE7C-B93CF79BB51D}"/>
    <cellStyle name="40% - Accent2 2 2 2 4 2" xfId="8410" xr:uid="{F3A62989-2211-498C-A8BF-B61A1CE8AF44}"/>
    <cellStyle name="40% - Accent2 2 2 2 5" xfId="5794" xr:uid="{C3326CF7-F5EA-404C-AE3D-280E92BC2161}"/>
    <cellStyle name="40% - Accent2 2 2 3" xfId="1009" xr:uid="{93485ED4-F6A4-44D9-9D2F-B6B7C499DAE3}"/>
    <cellStyle name="40% - Accent2 2 2 3 2" xfId="1250" xr:uid="{47329D01-CC17-48A3-B2D3-4D85B3952862}"/>
    <cellStyle name="40% - Accent2 2 2 3 2 2" xfId="3443" xr:uid="{86058068-E8F2-4E72-A83B-5447658CE781}"/>
    <cellStyle name="40% - Accent2 2 2 3 2 2 2" xfId="7640" xr:uid="{C9693D62-E9C3-4DCF-8577-FE6C9677C56E}"/>
    <cellStyle name="40% - Accent2 2 2 3 2 3" xfId="4761" xr:uid="{EAD20988-3A50-4255-8AFF-1ACE74EB5FBE}"/>
    <cellStyle name="40% - Accent2 2 2 3 2 3 2" xfId="8940" xr:uid="{1F3649FC-547F-4A5F-9685-9EC6CCE32FED}"/>
    <cellStyle name="40% - Accent2 2 2 3 2 4" xfId="6325" xr:uid="{582349A7-81FF-4F2B-A54F-5C295DC4601C}"/>
    <cellStyle name="40% - Accent2 2 2 3 3" xfId="3217" xr:uid="{9CBF7133-E4E4-4ADC-975A-C22ECEB4D113}"/>
    <cellStyle name="40% - Accent2 2 2 3 3 2" xfId="7418" xr:uid="{E84431C3-5500-4030-A332-62EC2DA49DDB}"/>
    <cellStyle name="40% - Accent2 2 2 3 4" xfId="4534" xr:uid="{1B47BA02-D712-48EA-B4AD-5D7B716E2F03}"/>
    <cellStyle name="40% - Accent2 2 2 3 4 2" xfId="8717" xr:uid="{F9784935-186F-4A82-B247-7CBF08B94A37}"/>
    <cellStyle name="40% - Accent2 2 2 3 5" xfId="6102" xr:uid="{98BD8FF7-B2C1-408C-B0DB-6A91B2967245}"/>
    <cellStyle name="40% - Accent2 2 2 4" xfId="1118" xr:uid="{537D315B-C42D-4AC6-A9D7-5AA74AF424F3}"/>
    <cellStyle name="40% - Accent2 2 2 4 2" xfId="3311" xr:uid="{A1BA8F39-BBF9-4479-A80F-DCE85A07BDDD}"/>
    <cellStyle name="40% - Accent2 2 2 4 2 2" xfId="7508" xr:uid="{24CFB27C-580D-4FBE-B640-72EF7185AD44}"/>
    <cellStyle name="40% - Accent2 2 2 4 3" xfId="4629" xr:uid="{7912CBF3-7545-4732-809E-653A04C29B0F}"/>
    <cellStyle name="40% - Accent2 2 2 4 3 2" xfId="8808" xr:uid="{B3EB2B36-60B5-48C9-990B-D5EA5CC8B7E2}"/>
    <cellStyle name="40% - Accent2 2 2 4 4" xfId="6193" xr:uid="{B46E6CAF-140F-4380-B44A-19DA474D9425}"/>
    <cellStyle name="40% - Accent2 2 2 5" xfId="2827" xr:uid="{F03FF069-F798-4A07-BAEB-3971C2CD10BF}"/>
    <cellStyle name="40% - Accent2 2 2 5 2" xfId="7038" xr:uid="{FAA1E232-4034-4A97-A5BF-398DD1B82D4F}"/>
    <cellStyle name="40% - Accent2 2 2 6" xfId="4135" xr:uid="{AFBA8E5E-B1BD-43FE-9271-CE645F9841BD}"/>
    <cellStyle name="40% - Accent2 2 2 6 2" xfId="8324" xr:uid="{33F4A444-5C95-4F32-B001-C2A26548778B}"/>
    <cellStyle name="40% - Accent2 2 2 7" xfId="5706" xr:uid="{59895245-C97B-4A5F-9035-A2C329A31F10}"/>
    <cellStyle name="40% - Accent2 2 3" xfId="139" xr:uid="{520E1974-5F9F-49BC-9348-DAAB3AC01CBE}"/>
    <cellStyle name="40% - Accent2 2 3 2" xfId="140" xr:uid="{9524699D-C7DF-4059-BEF1-26A250F8B812}"/>
    <cellStyle name="40% - Accent2 2 3 2 2" xfId="546" xr:uid="{730330D7-62F1-43AA-8207-3F9BC1E5BC25}"/>
    <cellStyle name="40% - Accent2 2 3 3" xfId="545" xr:uid="{59DC77C1-F55C-4439-9BC8-03CC98888830}"/>
    <cellStyle name="40% - Accent2 2 4" xfId="592" xr:uid="{B2BDBF9D-D172-4C3C-92E4-395C893FA99A}"/>
    <cellStyle name="40% - Accent2 2 4 2" xfId="1183" xr:uid="{49EDAE87-14E8-4B30-A5B4-24F77A7B44DD}"/>
    <cellStyle name="40% - Accent2 2 4 2 2" xfId="945" xr:uid="{CF74C926-A59E-40DC-A2C8-4C73D78A064A}"/>
    <cellStyle name="40% - Accent2 2 4 2 2 2" xfId="935" xr:uid="{FBB21F87-9CF5-4E54-A21A-6DCEA130E772}"/>
    <cellStyle name="40% - Accent2 2 4 2 3" xfId="893" xr:uid="{09202ED7-7EC0-4910-9D99-6E3AC52EE0EB}"/>
    <cellStyle name="40% - Accent2 2 4 2 4" xfId="730" xr:uid="{765B6A6F-8421-49BF-9CF3-4330BB853C6F}"/>
    <cellStyle name="40% - Accent2 2 4 2 5" xfId="3376" xr:uid="{D276835B-0BF7-4062-A251-AE46DA499707}"/>
    <cellStyle name="40% - Accent2 2 4 2 5 2" xfId="7573" xr:uid="{EB5E026E-DE9A-418A-95AC-41568263C56B}"/>
    <cellStyle name="40% - Accent2 2 4 2 6" xfId="4694" xr:uid="{B61F3D5A-E798-4909-BB6C-CFE7C1854A7D}"/>
    <cellStyle name="40% - Accent2 2 4 2 6 2" xfId="8873" xr:uid="{76908B87-C5CB-4828-A92D-96B12E65E371}"/>
    <cellStyle name="40% - Accent2 2 4 2 7" xfId="6258" xr:uid="{9252366B-D95A-4C93-B3C1-94C8E950F12F}"/>
    <cellStyle name="40% - Accent2 2 4 3" xfId="1348" xr:uid="{E731D029-3FA1-4FCB-89B6-199E41CC85FF}"/>
    <cellStyle name="40% - Accent2 2 4 3 2" xfId="1293" xr:uid="{8A74FDA8-209B-437A-A07D-8FE98310293B}"/>
    <cellStyle name="40% - Accent2 2 4 4" xfId="1364" xr:uid="{73FD4692-924F-467B-9ABD-1ED29D520922}"/>
    <cellStyle name="40% - Accent2 2 4 5" xfId="1304" xr:uid="{910907F1-830A-46F1-825E-B390E90C81D0}"/>
    <cellStyle name="40% - Accent2 2 4 6" xfId="2913" xr:uid="{2CD26B49-7BF4-43F8-AD7E-BA9E6F74D14E}"/>
    <cellStyle name="40% - Accent2 2 4 6 2" xfId="7116" xr:uid="{5D6C6154-52BD-440B-A368-83342C5E54A5}"/>
    <cellStyle name="40% - Accent2 2 4 7" xfId="4224" xr:uid="{8AFACDD3-8E7D-4E21-8452-DB13964C4659}"/>
    <cellStyle name="40% - Accent2 2 4 7 2" xfId="8409" xr:uid="{37546ED9-FCDD-4622-93FD-5524B9EC8835}"/>
    <cellStyle name="40% - Accent2 2 4 8" xfId="5793" xr:uid="{7495D2CA-B2D7-4F3A-9B9C-0D6E12BEBC4A}"/>
    <cellStyle name="40% - Accent2 2 5" xfId="1008" xr:uid="{A16BDCB6-01BF-4370-B313-C0D5B71CBFEC}"/>
    <cellStyle name="40% - Accent2 2 5 2" xfId="1249" xr:uid="{3675ED48-E33D-4ABC-89CC-0D139F839FE1}"/>
    <cellStyle name="40% - Accent2 2 5 2 2" xfId="3442" xr:uid="{2163F322-2E22-4161-8077-E7E47830A35A}"/>
    <cellStyle name="40% - Accent2 2 5 2 2 2" xfId="7639" xr:uid="{9927A861-5A0B-459A-9FC8-DCD65BBC8B1E}"/>
    <cellStyle name="40% - Accent2 2 5 2 3" xfId="4760" xr:uid="{029124ED-C5CA-4F68-A57B-B1541C4F5567}"/>
    <cellStyle name="40% - Accent2 2 5 2 3 2" xfId="8939" xr:uid="{514564C9-396E-42CB-83CB-A5986D220F71}"/>
    <cellStyle name="40% - Accent2 2 5 2 4" xfId="6324" xr:uid="{3791C7F2-9418-4C99-9619-7E940FE368F3}"/>
    <cellStyle name="40% - Accent2 2 5 3" xfId="868" xr:uid="{97BC8A2B-6D6F-46D4-B6A9-F49231EF3CBF}"/>
    <cellStyle name="40% - Accent2 2 5 4" xfId="3216" xr:uid="{612DAD25-45CB-4177-A14A-A334AA06494D}"/>
    <cellStyle name="40% - Accent2 2 5 4 2" xfId="7417" xr:uid="{584C2B8F-5E5B-4434-83EC-0AC5318A2A39}"/>
    <cellStyle name="40% - Accent2 2 5 5" xfId="4533" xr:uid="{CA055C2C-A092-4A1F-B304-0646C8B4E8F8}"/>
    <cellStyle name="40% - Accent2 2 5 5 2" xfId="8716" xr:uid="{D9A1A430-B751-4858-91F4-B8F6B58F3293}"/>
    <cellStyle name="40% - Accent2 2 5 6" xfId="6101" xr:uid="{B819D60A-E222-4081-8B4B-89D834771BA1}"/>
    <cellStyle name="40% - Accent2 2 6" xfId="1117" xr:uid="{D0F84175-1163-463C-A382-4554DEE3DD6B}"/>
    <cellStyle name="40% - Accent2 2 6 2" xfId="3310" xr:uid="{03033A7A-9AAE-4CAC-8B7D-1A8C221D647D}"/>
    <cellStyle name="40% - Accent2 2 6 2 2" xfId="7507" xr:uid="{BE24715A-B203-4D62-9FAE-AD5C93C8E0FB}"/>
    <cellStyle name="40% - Accent2 2 6 3" xfId="4628" xr:uid="{0B56BF0E-B62A-4535-A2A5-383E25F9FF67}"/>
    <cellStyle name="40% - Accent2 2 6 3 2" xfId="8807" xr:uid="{678F1104-08EA-413A-99F3-3A7E6E667D5A}"/>
    <cellStyle name="40% - Accent2 2 6 4" xfId="6192" xr:uid="{990217CF-E53A-4197-BC47-2D5664819F7D}"/>
    <cellStyle name="40% - Accent2 2 7" xfId="2826" xr:uid="{5BB02557-7E22-494C-9875-886B83549E2C}"/>
    <cellStyle name="40% - Accent2 2 7 2" xfId="7037" xr:uid="{A1CB5865-4C6D-4B6E-BF60-059073938142}"/>
    <cellStyle name="40% - Accent2 2 8" xfId="4134" xr:uid="{BBAFBA9A-1EAF-4D9C-92DA-5AB9E4B7A549}"/>
    <cellStyle name="40% - Accent2 2 8 2" xfId="8323" xr:uid="{4117EE79-CF42-4630-898C-7EF34F4E9AB2}"/>
    <cellStyle name="40% - Accent2 2 9" xfId="5705" xr:uid="{486D2C0C-1BCE-45CB-8F53-A0E1A2DD8B80}"/>
    <cellStyle name="40% - Accent2 3" xfId="141" xr:uid="{220DB0CE-4D2A-441F-BA31-1E0802EF863D}"/>
    <cellStyle name="40% - Accent2 3 2" xfId="594" xr:uid="{9BFF63CC-1F47-4E24-973E-0AD1AF2AB06F}"/>
    <cellStyle name="40% - Accent2 3 2 2" xfId="1185" xr:uid="{88E97126-52B6-4F94-A07D-AB5C31A76080}"/>
    <cellStyle name="40% - Accent2 3 2 2 2" xfId="3378" xr:uid="{5F788C04-81C7-41A4-AB64-A3B375CCFE28}"/>
    <cellStyle name="40% - Accent2 3 2 2 2 2" xfId="7575" xr:uid="{19033D32-05CC-4952-981A-C17C6CF29EB9}"/>
    <cellStyle name="40% - Accent2 3 2 2 3" xfId="4696" xr:uid="{908DC8F9-4A2C-45C7-BFAE-1B40F99A86B0}"/>
    <cellStyle name="40% - Accent2 3 2 2 3 2" xfId="8875" xr:uid="{0249EE92-722D-46F7-A5D6-E0700681FE9C}"/>
    <cellStyle name="40% - Accent2 3 2 2 4" xfId="6260" xr:uid="{3DF39C18-45B2-4500-88C1-2AE9F0E3606D}"/>
    <cellStyle name="40% - Accent2 3 2 3" xfId="2915" xr:uid="{C1FD5C0C-0D69-4C49-BE7A-433AAA4E7AE0}"/>
    <cellStyle name="40% - Accent2 3 2 3 2" xfId="7118" xr:uid="{9C7ED9FD-708B-4B5D-8EF7-A1F53E2979A6}"/>
    <cellStyle name="40% - Accent2 3 2 4" xfId="4226" xr:uid="{78CDEBB9-DB1D-42D8-8709-BE7E7985962D}"/>
    <cellStyle name="40% - Accent2 3 2 4 2" xfId="8411" xr:uid="{48BE657F-6A21-4BE0-B347-B3590FA9FDB3}"/>
    <cellStyle name="40% - Accent2 3 2 5" xfId="5795" xr:uid="{A288A1E0-F804-49FD-AD0A-CA1014626311}"/>
    <cellStyle name="40% - Accent2 3 3" xfId="1010" xr:uid="{16898776-F959-4E65-B11B-CB9D5A7B4C0C}"/>
    <cellStyle name="40% - Accent2 3 3 2" xfId="1251" xr:uid="{15E30569-C35D-4680-B31A-A16CE9AD6FB9}"/>
    <cellStyle name="40% - Accent2 3 3 2 2" xfId="3444" xr:uid="{87B1E4C4-B59D-4006-A8B5-8B566B35B6EF}"/>
    <cellStyle name="40% - Accent2 3 3 2 2 2" xfId="7641" xr:uid="{5F2E1024-AD48-4AC7-941B-74CFAA8CEFC7}"/>
    <cellStyle name="40% - Accent2 3 3 2 3" xfId="4762" xr:uid="{58A30EDC-4FB4-438E-BC7E-A813EB976C24}"/>
    <cellStyle name="40% - Accent2 3 3 2 3 2" xfId="8941" xr:uid="{8390E2C7-BAC6-40A1-ACDB-A47C6C8D0AE4}"/>
    <cellStyle name="40% - Accent2 3 3 2 4" xfId="6326" xr:uid="{C1C76BB2-49E9-422E-B02C-24E105A50DAA}"/>
    <cellStyle name="40% - Accent2 3 3 3" xfId="3218" xr:uid="{B7E2ECC6-B404-43E7-A040-9918D1B9D610}"/>
    <cellStyle name="40% - Accent2 3 3 3 2" xfId="7419" xr:uid="{FA1417C2-CFE2-46D3-9716-6C7041731082}"/>
    <cellStyle name="40% - Accent2 3 3 4" xfId="4535" xr:uid="{EE69F30B-B74B-4BAF-92C8-01D865F34094}"/>
    <cellStyle name="40% - Accent2 3 3 4 2" xfId="8718" xr:uid="{B2451F67-B297-4B17-A6DB-C68F1D7846C1}"/>
    <cellStyle name="40% - Accent2 3 3 5" xfId="6103" xr:uid="{09B2CDAF-6A39-41F7-B5CB-4393FC1218CE}"/>
    <cellStyle name="40% - Accent2 3 4" xfId="1119" xr:uid="{62466ADF-E47F-49A7-9EB1-75B6147AA0E5}"/>
    <cellStyle name="40% - Accent2 3 4 2" xfId="3312" xr:uid="{68E863AF-9ECD-4D86-B919-C1FFBC22D707}"/>
    <cellStyle name="40% - Accent2 3 4 2 2" xfId="7509" xr:uid="{D5B700D1-9651-4982-8816-0EE781BEA283}"/>
    <cellStyle name="40% - Accent2 3 4 3" xfId="4630" xr:uid="{0E7D8011-89A7-4A92-8D62-4E2883328D9C}"/>
    <cellStyle name="40% - Accent2 3 4 3 2" xfId="8809" xr:uid="{9EB31F07-45C7-42D2-87FD-6771391ECBFE}"/>
    <cellStyle name="40% - Accent2 3 4 4" xfId="6194" xr:uid="{D4B853F7-242F-402A-9B1A-64FA6186D43A}"/>
    <cellStyle name="40% - Accent2 3 5" xfId="2828" xr:uid="{EAFFA769-CA36-4E98-B450-5107FF59546F}"/>
    <cellStyle name="40% - Accent2 3 5 2" xfId="7039" xr:uid="{2267AC5D-FAA7-4C39-B199-9B94C7A99CE3}"/>
    <cellStyle name="40% - Accent2 3 6" xfId="4136" xr:uid="{B34255C8-7A7F-46FA-88AF-B53ED1CCD7B9}"/>
    <cellStyle name="40% - Accent2 3 6 2" xfId="8325" xr:uid="{AB03275A-177D-404B-9DFC-89DFC1F3AC2F}"/>
    <cellStyle name="40% - Accent2 3 7" xfId="5707" xr:uid="{E0046F5A-2480-4054-8B05-5DD1B40EF0F2}"/>
    <cellStyle name="40% - Accent2 4" xfId="142" xr:uid="{E8E57D46-F72A-4E50-974A-CCCAF87F833B}"/>
    <cellStyle name="40% - Accent2 4 2" xfId="595" xr:uid="{AAC700A0-D220-4377-89B7-1AB7750F8675}"/>
    <cellStyle name="40% - Accent2 4 2 2" xfId="1186" xr:uid="{700EE798-0C42-4B80-BDA0-D346963D3F7E}"/>
    <cellStyle name="40% - Accent2 4 2 2 2" xfId="3379" xr:uid="{42A7E24A-8EF5-4DEB-8715-25A059C1B7FD}"/>
    <cellStyle name="40% - Accent2 4 2 2 2 2" xfId="7576" xr:uid="{BF207650-C75B-4651-8143-3B318FBF4963}"/>
    <cellStyle name="40% - Accent2 4 2 2 3" xfId="4697" xr:uid="{4E0EEEEC-9DC1-475B-A46A-35CE045EFE1B}"/>
    <cellStyle name="40% - Accent2 4 2 2 3 2" xfId="8876" xr:uid="{0B4BE5CC-9CC7-4053-882D-759994A6486F}"/>
    <cellStyle name="40% - Accent2 4 2 2 4" xfId="6261" xr:uid="{18A3C679-2659-4283-A232-D165F9D99E7E}"/>
    <cellStyle name="40% - Accent2 4 2 3" xfId="2916" xr:uid="{5873FCA3-B0C2-40AD-A758-10734FE352C2}"/>
    <cellStyle name="40% - Accent2 4 2 3 2" xfId="7119" xr:uid="{FEA92FEF-CBD5-4722-967B-8F2C6E183215}"/>
    <cellStyle name="40% - Accent2 4 2 4" xfId="4227" xr:uid="{863D9AB1-B0A2-40BB-9866-2AE856DFEE6E}"/>
    <cellStyle name="40% - Accent2 4 2 4 2" xfId="8412" xr:uid="{7E326251-C661-4D8B-89BE-04801665E450}"/>
    <cellStyle name="40% - Accent2 4 2 5" xfId="5796" xr:uid="{6F26D0DF-B11D-4019-AE78-EE36738F1E75}"/>
    <cellStyle name="40% - Accent2 4 3" xfId="1011" xr:uid="{935146C3-AD6D-4191-9A7F-C0075ADF14E8}"/>
    <cellStyle name="40% - Accent2 4 3 2" xfId="1252" xr:uid="{CC47DD4E-D838-4E78-B1FB-1370E63628F4}"/>
    <cellStyle name="40% - Accent2 4 3 2 2" xfId="3445" xr:uid="{84FF8941-DFE7-445B-9C6A-70E6701306DB}"/>
    <cellStyle name="40% - Accent2 4 3 2 2 2" xfId="7642" xr:uid="{2F2EE6AC-0FCB-487B-BDEE-B115089AE438}"/>
    <cellStyle name="40% - Accent2 4 3 2 3" xfId="4763" xr:uid="{C8B0F9D0-73CE-40E4-8094-D342E389D804}"/>
    <cellStyle name="40% - Accent2 4 3 2 3 2" xfId="8942" xr:uid="{CED6FAAE-CA0D-4772-BC99-48D9F6DB09C6}"/>
    <cellStyle name="40% - Accent2 4 3 2 4" xfId="6327" xr:uid="{D3A8232C-4078-48E4-9EAD-98D994A142F1}"/>
    <cellStyle name="40% - Accent2 4 3 3" xfId="3219" xr:uid="{A50179BB-A090-44A5-BBD1-A541ABB0B096}"/>
    <cellStyle name="40% - Accent2 4 3 3 2" xfId="7420" xr:uid="{32F00956-EDCB-4D6F-8BC4-2A7E24F304AA}"/>
    <cellStyle name="40% - Accent2 4 3 4" xfId="4536" xr:uid="{B3E60766-CBBC-497C-9CEA-3F4D400D9B64}"/>
    <cellStyle name="40% - Accent2 4 3 4 2" xfId="8719" xr:uid="{5CD6D8CE-4F82-43DA-8B7A-4F5AB44B2FD2}"/>
    <cellStyle name="40% - Accent2 4 3 5" xfId="6104" xr:uid="{FCEF8140-3216-4EEE-9523-40484A44DFC9}"/>
    <cellStyle name="40% - Accent2 4 4" xfId="1120" xr:uid="{D8FF2B82-430C-4E93-8E0B-CC349F113DE3}"/>
    <cellStyle name="40% - Accent2 4 4 2" xfId="3313" xr:uid="{ACB3FA87-08DC-4361-80B5-98BF96A18F6B}"/>
    <cellStyle name="40% - Accent2 4 4 2 2" xfId="7510" xr:uid="{A6A0ED88-2909-473C-B272-84645E7785BD}"/>
    <cellStyle name="40% - Accent2 4 4 3" xfId="4631" xr:uid="{7D16C686-6D09-4269-BF48-79109393A9D8}"/>
    <cellStyle name="40% - Accent2 4 4 3 2" xfId="8810" xr:uid="{5A125E5F-8A16-49C0-9007-BF6260B1F240}"/>
    <cellStyle name="40% - Accent2 4 4 4" xfId="6195" xr:uid="{19F153E8-233F-4A3E-AC30-83EBAC7FA088}"/>
    <cellStyle name="40% - Accent2 4 5" xfId="2829" xr:uid="{A020B8AD-28CC-4D60-8890-3CBB270AA8A3}"/>
    <cellStyle name="40% - Accent2 4 5 2" xfId="7040" xr:uid="{3B4E2D12-672B-4A54-9F2B-4680CBC2FA81}"/>
    <cellStyle name="40% - Accent2 4 6" xfId="4137" xr:uid="{12482200-8CCF-4023-BAEF-200CE8C38778}"/>
    <cellStyle name="40% - Accent2 4 6 2" xfId="8326" xr:uid="{3AE2963F-0BF9-4EC9-9662-2418425ECF52}"/>
    <cellStyle name="40% - Accent2 4 7" xfId="5708" xr:uid="{A9EA940E-DCD8-4EC1-BCBC-891F5957F2ED}"/>
    <cellStyle name="40% - Accent3 2" xfId="143" xr:uid="{24099908-E220-42B0-9B9F-CC9479173C3C}"/>
    <cellStyle name="40% - Accent3 2 2" xfId="144" xr:uid="{5D08F308-8712-4F13-9680-C6305CD06F2B}"/>
    <cellStyle name="40% - Accent3 2 2 2" xfId="597" xr:uid="{3A2A05B3-6F79-4C4F-911E-499E95845D30}"/>
    <cellStyle name="40% - Accent3 2 2 2 2" xfId="1188" xr:uid="{568409B9-CE44-4101-A6DD-68A411B21381}"/>
    <cellStyle name="40% - Accent3 2 2 2 2 2" xfId="3381" xr:uid="{9CC2EFCF-BF2C-47BF-8693-B367CADC854B}"/>
    <cellStyle name="40% - Accent3 2 2 2 2 2 2" xfId="7578" xr:uid="{2C755E53-18C6-424D-AA9E-BDBC48F35060}"/>
    <cellStyle name="40% - Accent3 2 2 2 2 3" xfId="4699" xr:uid="{4F238638-355B-4216-891C-A314EC233897}"/>
    <cellStyle name="40% - Accent3 2 2 2 2 3 2" xfId="8878" xr:uid="{8A1239A9-D14A-4FC0-BEDE-FA5D5F1867DE}"/>
    <cellStyle name="40% - Accent3 2 2 2 2 4" xfId="6263" xr:uid="{DB22F148-86FA-4FF1-95F2-2F789F2B233C}"/>
    <cellStyle name="40% - Accent3 2 2 2 3" xfId="2918" xr:uid="{0E0CB5E2-C4A6-4F46-BD80-812D09F5E35A}"/>
    <cellStyle name="40% - Accent3 2 2 2 3 2" xfId="7121" xr:uid="{6EEFCF9E-D2CD-4225-9ABC-294052E52B7A}"/>
    <cellStyle name="40% - Accent3 2 2 2 4" xfId="4229" xr:uid="{06FF7BEF-7EB1-4E9E-8A7F-C7A209A6999E}"/>
    <cellStyle name="40% - Accent3 2 2 2 4 2" xfId="8414" xr:uid="{6551147A-2780-423B-934D-7DCCA5889783}"/>
    <cellStyle name="40% - Accent3 2 2 2 5" xfId="5798" xr:uid="{675BE200-D079-4E18-97C3-A28BB1EF7B93}"/>
    <cellStyle name="40% - Accent3 2 2 3" xfId="1013" xr:uid="{D5C9BD76-BBEC-4C05-ADE3-D7B5B46B9034}"/>
    <cellStyle name="40% - Accent3 2 2 3 2" xfId="1254" xr:uid="{F8E605C2-DDBC-4BA7-A3F1-063F4E188132}"/>
    <cellStyle name="40% - Accent3 2 2 3 2 2" xfId="3447" xr:uid="{3D67DDE7-AE9B-41EE-83C8-013F6B860747}"/>
    <cellStyle name="40% - Accent3 2 2 3 2 2 2" xfId="7644" xr:uid="{E5482976-AC31-46E5-8C45-F479EF01E397}"/>
    <cellStyle name="40% - Accent3 2 2 3 2 3" xfId="4765" xr:uid="{D580969F-BF6F-477B-8A28-C521AAC0D492}"/>
    <cellStyle name="40% - Accent3 2 2 3 2 3 2" xfId="8944" xr:uid="{A506AE79-E22D-456E-99B6-5BB499A2B09E}"/>
    <cellStyle name="40% - Accent3 2 2 3 2 4" xfId="6329" xr:uid="{189F244C-7EC8-428D-8517-72A69D59997C}"/>
    <cellStyle name="40% - Accent3 2 2 3 3" xfId="3221" xr:uid="{6314F78E-0076-4C08-BE54-568F5714B579}"/>
    <cellStyle name="40% - Accent3 2 2 3 3 2" xfId="7422" xr:uid="{A02A5448-B33D-421E-A68B-6FC3C1238648}"/>
    <cellStyle name="40% - Accent3 2 2 3 4" xfId="4538" xr:uid="{57D3416C-F1B2-4143-A65E-340915E64E12}"/>
    <cellStyle name="40% - Accent3 2 2 3 4 2" xfId="8721" xr:uid="{06280A80-2210-4DAE-B87F-5B78E081CC59}"/>
    <cellStyle name="40% - Accent3 2 2 3 5" xfId="6106" xr:uid="{178BD47F-2592-4032-A433-8E0245AE5538}"/>
    <cellStyle name="40% - Accent3 2 2 4" xfId="1122" xr:uid="{561F60B5-C5B9-49BE-A590-B4C86FCF7731}"/>
    <cellStyle name="40% - Accent3 2 2 4 2" xfId="3315" xr:uid="{0A3D8F84-82F2-49DB-A042-F5FA7141A705}"/>
    <cellStyle name="40% - Accent3 2 2 4 2 2" xfId="7512" xr:uid="{D6707EBC-84E0-435C-8DE8-C3A8CE888D8C}"/>
    <cellStyle name="40% - Accent3 2 2 4 3" xfId="4633" xr:uid="{7B5AE5BE-65A4-4CAA-903A-C2208FF7799B}"/>
    <cellStyle name="40% - Accent3 2 2 4 3 2" xfId="8812" xr:uid="{26A2FC44-4271-4E6A-9C64-83B2B40F8FC8}"/>
    <cellStyle name="40% - Accent3 2 2 4 4" xfId="6197" xr:uid="{A2E5D841-F4A4-4B6F-BC93-1500FA430242}"/>
    <cellStyle name="40% - Accent3 2 2 5" xfId="2831" xr:uid="{37A97DAC-4651-4F28-8EB6-C52BB323D947}"/>
    <cellStyle name="40% - Accent3 2 2 5 2" xfId="7042" xr:uid="{EE375E86-DF6C-4611-A362-C1E1B9AD7AE5}"/>
    <cellStyle name="40% - Accent3 2 2 6" xfId="4139" xr:uid="{C5AA5D12-26E1-4511-BF45-B4835586BAC1}"/>
    <cellStyle name="40% - Accent3 2 2 6 2" xfId="8328" xr:uid="{7CC8EBAB-4FFE-4CEF-977A-5525AC1C73DE}"/>
    <cellStyle name="40% - Accent3 2 2 7" xfId="5710" xr:uid="{F809DB54-5312-4823-BB79-D379992F450F}"/>
    <cellStyle name="40% - Accent3 2 3" xfId="145" xr:uid="{FCCBF996-7755-49BB-923F-69E25CCF56C4}"/>
    <cellStyle name="40% - Accent3 2 3 2" xfId="146" xr:uid="{90E865A8-105E-42B0-90FD-ADB665BC2AC7}"/>
    <cellStyle name="40% - Accent3 2 3 2 2" xfId="548" xr:uid="{876ABEB3-F870-40CE-B3D7-3A0EB0F079C0}"/>
    <cellStyle name="40% - Accent3 2 3 3" xfId="547" xr:uid="{D13D513D-6207-44E0-B928-5ED9D21078F8}"/>
    <cellStyle name="40% - Accent3 2 4" xfId="596" xr:uid="{E96751D3-4DE2-4D84-81BF-3F2A1707A91C}"/>
    <cellStyle name="40% - Accent3 2 4 2" xfId="1187" xr:uid="{F75E9D28-1269-46FE-ACA3-272194D5D114}"/>
    <cellStyle name="40% - Accent3 2 4 2 2" xfId="670" xr:uid="{C6A912D2-2963-4F4C-82FD-4EFA1F619076}"/>
    <cellStyle name="40% - Accent3 2 4 2 2 2" xfId="936" xr:uid="{580B1F54-0B29-4834-B371-514BF7A95440}"/>
    <cellStyle name="40% - Accent3 2 4 2 3" xfId="1350" xr:uid="{32340B52-6920-4B51-A267-0BEF3E16E4D6}"/>
    <cellStyle name="40% - Accent3 2 4 2 4" xfId="944" xr:uid="{B281821A-2E1E-4153-9CBC-CA2DCA3C7368}"/>
    <cellStyle name="40% - Accent3 2 4 2 5" xfId="3380" xr:uid="{DF3462D5-7B0D-42A3-95AA-715230A5BFF0}"/>
    <cellStyle name="40% - Accent3 2 4 2 5 2" xfId="7577" xr:uid="{1A7F46B3-DDE1-44E5-B478-85E4A010D36C}"/>
    <cellStyle name="40% - Accent3 2 4 2 6" xfId="4698" xr:uid="{5F0A4468-EE5B-4772-A4C7-AA41941C3163}"/>
    <cellStyle name="40% - Accent3 2 4 2 6 2" xfId="8877" xr:uid="{280D686F-8B06-4D2E-844B-A14CF52FBA87}"/>
    <cellStyle name="40% - Accent3 2 4 2 7" xfId="6262" xr:uid="{354F7F90-7466-4543-AB9E-1F7F4248BBAB}"/>
    <cellStyle name="40% - Accent3 2 4 3" xfId="1295" xr:uid="{71617B9E-D088-4304-A28E-50A35FE4BB60}"/>
    <cellStyle name="40% - Accent3 2 4 3 2" xfId="669" xr:uid="{40D758C3-0E39-4299-A9E9-F959251B7ECC}"/>
    <cellStyle name="40% - Accent3 2 4 4" xfId="1366" xr:uid="{31308827-8482-4B1E-AA7B-DC00F3320598}"/>
    <cellStyle name="40% - Accent3 2 4 5" xfId="710" xr:uid="{76594990-1A56-4A9E-9CC9-2305B11623DF}"/>
    <cellStyle name="40% - Accent3 2 4 6" xfId="2917" xr:uid="{A57E507C-1AD2-47D4-859D-DC3B8B81ACE8}"/>
    <cellStyle name="40% - Accent3 2 4 6 2" xfId="7120" xr:uid="{E21BEFB2-4388-44F0-B8D1-037AFF07D41A}"/>
    <cellStyle name="40% - Accent3 2 4 7" xfId="4228" xr:uid="{E5AFE96C-9952-4D63-BB75-642E2F66CB90}"/>
    <cellStyle name="40% - Accent3 2 4 7 2" xfId="8413" xr:uid="{F59718B7-6590-4E4E-AA85-E1C77CA88207}"/>
    <cellStyle name="40% - Accent3 2 4 8" xfId="5797" xr:uid="{96FEADD0-A871-418D-A625-F25851A5842A}"/>
    <cellStyle name="40% - Accent3 2 5" xfId="1012" xr:uid="{C1ACC37D-8601-4C29-B2C3-572EB9465A3C}"/>
    <cellStyle name="40% - Accent3 2 5 2" xfId="1253" xr:uid="{D6E1F192-C44A-4173-92E9-CBE7ACD587BB}"/>
    <cellStyle name="40% - Accent3 2 5 2 2" xfId="3446" xr:uid="{A9B8E966-E77D-4F4E-B7BE-6A229EFBAD91}"/>
    <cellStyle name="40% - Accent3 2 5 2 2 2" xfId="7643" xr:uid="{BCA65228-0BEC-4978-AA79-251D6ED0064C}"/>
    <cellStyle name="40% - Accent3 2 5 2 3" xfId="4764" xr:uid="{BAAC7096-5FD9-433B-862A-32DED64CA0CF}"/>
    <cellStyle name="40% - Accent3 2 5 2 3 2" xfId="8943" xr:uid="{5CD322C1-CEED-4CDE-8007-45D10F3DB475}"/>
    <cellStyle name="40% - Accent3 2 5 2 4" xfId="6328" xr:uid="{45BCD82B-8393-4B5C-9D37-A4C240F2241E}"/>
    <cellStyle name="40% - Accent3 2 5 3" xfId="1337" xr:uid="{E65D7ADB-6F46-4D00-BEF2-BB5C4F710539}"/>
    <cellStyle name="40% - Accent3 2 5 4" xfId="3220" xr:uid="{ADBBDC3B-E214-465A-9083-95CE353D55A3}"/>
    <cellStyle name="40% - Accent3 2 5 4 2" xfId="7421" xr:uid="{9762C802-3274-4175-8473-D9A3B7CF7DFD}"/>
    <cellStyle name="40% - Accent3 2 5 5" xfId="4537" xr:uid="{99E43F53-8B31-44C5-AD1B-7900B8E50B53}"/>
    <cellStyle name="40% - Accent3 2 5 5 2" xfId="8720" xr:uid="{72630678-AE02-4DB0-9DD5-298BCCF4E70F}"/>
    <cellStyle name="40% - Accent3 2 5 6" xfId="6105" xr:uid="{61CF1B87-C4D2-4825-9EAA-21D7AD286E37}"/>
    <cellStyle name="40% - Accent3 2 6" xfId="1121" xr:uid="{BE13EA14-68DB-4011-9FC1-4E0E3BE687E3}"/>
    <cellStyle name="40% - Accent3 2 6 2" xfId="3314" xr:uid="{CC57F40E-0675-4875-BE66-5A8BA2D7F766}"/>
    <cellStyle name="40% - Accent3 2 6 2 2" xfId="7511" xr:uid="{FD41FCB5-5341-4B7A-B731-912EE99F636C}"/>
    <cellStyle name="40% - Accent3 2 6 3" xfId="4632" xr:uid="{3A71ACD9-993E-4FE6-845B-4230C2B5FADB}"/>
    <cellStyle name="40% - Accent3 2 6 3 2" xfId="8811" xr:uid="{13FBA119-5E4C-4EDA-A602-E1FDE277B5DE}"/>
    <cellStyle name="40% - Accent3 2 6 4" xfId="6196" xr:uid="{158358B4-8248-449E-AA8F-496986B81F36}"/>
    <cellStyle name="40% - Accent3 2 7" xfId="2830" xr:uid="{7D47BA29-6C36-4461-8BB9-2CF8079503C1}"/>
    <cellStyle name="40% - Accent3 2 7 2" xfId="7041" xr:uid="{FC1213A3-1EDD-46FD-A466-2BD61E37FF95}"/>
    <cellStyle name="40% - Accent3 2 8" xfId="4138" xr:uid="{4BD50EBB-C7E2-4C66-A987-E08602A00866}"/>
    <cellStyle name="40% - Accent3 2 8 2" xfId="8327" xr:uid="{AD04AC4B-6525-42D9-A20C-203C80CE14B2}"/>
    <cellStyle name="40% - Accent3 2 9" xfId="5709" xr:uid="{A7E3BC20-75B8-40AB-A930-0A7240ABDDB8}"/>
    <cellStyle name="40% - Accent3 3" xfId="147" xr:uid="{B3CF0708-4D10-4884-A509-75D3CDB1C1FB}"/>
    <cellStyle name="40% - Accent3 3 2" xfId="598" xr:uid="{A4A32BAC-355C-4952-9311-E700E4091959}"/>
    <cellStyle name="40% - Accent3 3 2 2" xfId="1189" xr:uid="{92D9B854-8FE2-4B18-A968-3A6E3EC572E8}"/>
    <cellStyle name="40% - Accent3 3 2 2 2" xfId="3382" xr:uid="{F651BDE6-048D-4814-86C2-FD6554340A88}"/>
    <cellStyle name="40% - Accent3 3 2 2 2 2" xfId="7579" xr:uid="{A58A6181-A95F-4FBB-AC9E-8275A2F04986}"/>
    <cellStyle name="40% - Accent3 3 2 2 3" xfId="4700" xr:uid="{45128F81-2397-4F00-AE3E-53AEA08E8936}"/>
    <cellStyle name="40% - Accent3 3 2 2 3 2" xfId="8879" xr:uid="{E39978A4-39A2-4384-A65A-BC81EA84D1FC}"/>
    <cellStyle name="40% - Accent3 3 2 2 4" xfId="6264" xr:uid="{D2ADC701-EDEB-41F0-B8A4-35676907E4DE}"/>
    <cellStyle name="40% - Accent3 3 2 3" xfId="2919" xr:uid="{48999B05-9345-48FA-9F13-09808118B036}"/>
    <cellStyle name="40% - Accent3 3 2 3 2" xfId="7122" xr:uid="{E16FF595-94E6-4FFF-B2D7-8512669500AF}"/>
    <cellStyle name="40% - Accent3 3 2 4" xfId="4230" xr:uid="{DB722146-6E98-49E2-8AAD-60D3776686D4}"/>
    <cellStyle name="40% - Accent3 3 2 4 2" xfId="8415" xr:uid="{D1F3E823-8BF7-491E-A5E8-239F9622ADAF}"/>
    <cellStyle name="40% - Accent3 3 2 5" xfId="5799" xr:uid="{C71A1424-85D9-4CF9-B68F-5910768AFA6A}"/>
    <cellStyle name="40% - Accent3 3 3" xfId="1014" xr:uid="{4FC4476B-2252-42E9-8F28-77EE7B6542E9}"/>
    <cellStyle name="40% - Accent3 3 3 2" xfId="1255" xr:uid="{1971D804-49BF-4C80-86A1-9DECB8FEC9ED}"/>
    <cellStyle name="40% - Accent3 3 3 2 2" xfId="3448" xr:uid="{9F686495-F839-421D-A692-A71A13139A9F}"/>
    <cellStyle name="40% - Accent3 3 3 2 2 2" xfId="7645" xr:uid="{73A19A0D-D2E2-482E-AD87-365D551CA99E}"/>
    <cellStyle name="40% - Accent3 3 3 2 3" xfId="4766" xr:uid="{6957ED30-8271-4BC6-B82F-32A0548D6F13}"/>
    <cellStyle name="40% - Accent3 3 3 2 3 2" xfId="8945" xr:uid="{36832BB5-A487-4AC4-B46A-3DA92BBE80AA}"/>
    <cellStyle name="40% - Accent3 3 3 2 4" xfId="6330" xr:uid="{8295C09A-73A3-4137-9E4B-491168CD4290}"/>
    <cellStyle name="40% - Accent3 3 3 3" xfId="3222" xr:uid="{9A033E8C-4E0B-4684-BB0B-C4FAEF942F2B}"/>
    <cellStyle name="40% - Accent3 3 3 3 2" xfId="7423" xr:uid="{53843442-01CB-4E3D-ACC7-1B5A6A73BA76}"/>
    <cellStyle name="40% - Accent3 3 3 4" xfId="4539" xr:uid="{DD64BADB-3C6B-4CE7-95C8-F9CBFA80BF8B}"/>
    <cellStyle name="40% - Accent3 3 3 4 2" xfId="8722" xr:uid="{9B3F96DA-10AA-438B-B92B-0005638EC444}"/>
    <cellStyle name="40% - Accent3 3 3 5" xfId="6107" xr:uid="{0DB0090A-2DB9-47B8-903A-589968256B8C}"/>
    <cellStyle name="40% - Accent3 3 4" xfId="1123" xr:uid="{5F8B00DB-7B5F-4C62-AF35-AFD31D9C1A41}"/>
    <cellStyle name="40% - Accent3 3 4 2" xfId="3316" xr:uid="{9A4C9B4E-438E-424E-9790-CD6F90B953B9}"/>
    <cellStyle name="40% - Accent3 3 4 2 2" xfId="7513" xr:uid="{165A5E73-B111-4AE9-BA5F-978881A47991}"/>
    <cellStyle name="40% - Accent3 3 4 3" xfId="4634" xr:uid="{71381731-AA43-43AD-91F7-82519247710E}"/>
    <cellStyle name="40% - Accent3 3 4 3 2" xfId="8813" xr:uid="{3D25A444-2851-4066-83A0-33D9BF380A75}"/>
    <cellStyle name="40% - Accent3 3 4 4" xfId="6198" xr:uid="{2271E613-A7CE-41AB-BB79-25278B620A18}"/>
    <cellStyle name="40% - Accent3 3 5" xfId="2832" xr:uid="{ACC444B9-5C40-4243-B772-0D16F2AA78E6}"/>
    <cellStyle name="40% - Accent3 3 5 2" xfId="7043" xr:uid="{E88C9B4A-F3B6-47B6-B808-618CCF215446}"/>
    <cellStyle name="40% - Accent3 3 6" xfId="4140" xr:uid="{249F5AB7-E2A4-4E28-B13D-88B511F33613}"/>
    <cellStyle name="40% - Accent3 3 6 2" xfId="8329" xr:uid="{D6478075-6DD9-4256-B98B-F899B4311EDF}"/>
    <cellStyle name="40% - Accent3 3 7" xfId="5711" xr:uid="{1EBD9F87-F20A-4D4D-B290-94580555FF84}"/>
    <cellStyle name="40% - Accent3 4" xfId="148" xr:uid="{80D29872-A326-4D14-863B-EE8C00EFED35}"/>
    <cellStyle name="40% - Accent3 4 2" xfId="599" xr:uid="{762D6680-FF5F-4AD1-A279-E14F0A8E0E3C}"/>
    <cellStyle name="40% - Accent3 4 2 2" xfId="1190" xr:uid="{FDFC31A9-BF6C-411B-B532-BDA6E24CAD2D}"/>
    <cellStyle name="40% - Accent3 4 2 2 2" xfId="3383" xr:uid="{8F96417E-1650-4A52-9D44-75755E105FC5}"/>
    <cellStyle name="40% - Accent3 4 2 2 2 2" xfId="7580" xr:uid="{A10335D9-25C5-4261-8024-1012C40A8416}"/>
    <cellStyle name="40% - Accent3 4 2 2 3" xfId="4701" xr:uid="{44FBE03B-FDBE-427F-A626-3519283AAB02}"/>
    <cellStyle name="40% - Accent3 4 2 2 3 2" xfId="8880" xr:uid="{7598EF45-4201-4F37-A205-FD8D39953184}"/>
    <cellStyle name="40% - Accent3 4 2 2 4" xfId="6265" xr:uid="{E7AFF003-CA6F-421D-BABA-310143F411B4}"/>
    <cellStyle name="40% - Accent3 4 2 3" xfId="2920" xr:uid="{1B4F211A-C24A-40AC-B665-1FD530BD39DE}"/>
    <cellStyle name="40% - Accent3 4 2 3 2" xfId="7123" xr:uid="{FAE910B9-B5A7-4522-A726-14BF3DE1512A}"/>
    <cellStyle name="40% - Accent3 4 2 4" xfId="4231" xr:uid="{D47A47B8-CB56-4C05-A271-A46EE0562D6E}"/>
    <cellStyle name="40% - Accent3 4 2 4 2" xfId="8416" xr:uid="{1504AD61-328C-4025-A9D9-58E8ADB4C58A}"/>
    <cellStyle name="40% - Accent3 4 2 5" xfId="5800" xr:uid="{ECC05673-9837-4F03-B634-A2911417FD0C}"/>
    <cellStyle name="40% - Accent3 4 3" xfId="1015" xr:uid="{8DD5BDE8-08BD-42C0-9350-84C4E82A8D75}"/>
    <cellStyle name="40% - Accent3 4 3 2" xfId="1256" xr:uid="{BAEB4373-2226-452A-B806-4CCCB1C25F41}"/>
    <cellStyle name="40% - Accent3 4 3 2 2" xfId="3449" xr:uid="{5299357D-ADAA-4BA0-AC15-D4B56B21E374}"/>
    <cellStyle name="40% - Accent3 4 3 2 2 2" xfId="7646" xr:uid="{BB61DBBD-506A-40FC-9C56-1834AD2B1D2F}"/>
    <cellStyle name="40% - Accent3 4 3 2 3" xfId="4767" xr:uid="{9E73BE2A-2F23-4893-95D1-A80E9A48E7FE}"/>
    <cellStyle name="40% - Accent3 4 3 2 3 2" xfId="8946" xr:uid="{744B2B8D-68D5-44BB-B37D-EA010E795659}"/>
    <cellStyle name="40% - Accent3 4 3 2 4" xfId="6331" xr:uid="{DCA93F15-D66C-43B8-9043-7184AC57F9E1}"/>
    <cellStyle name="40% - Accent3 4 3 3" xfId="3223" xr:uid="{A496C4E6-9D17-43F0-8765-A651DDA9A64B}"/>
    <cellStyle name="40% - Accent3 4 3 3 2" xfId="7424" xr:uid="{A4A4F215-AB4B-4177-A94A-465A6F1CFCB1}"/>
    <cellStyle name="40% - Accent3 4 3 4" xfId="4540" xr:uid="{8E3E6A5B-D762-410E-86AA-ED18D2183C73}"/>
    <cellStyle name="40% - Accent3 4 3 4 2" xfId="8723" xr:uid="{210FA515-C374-4F17-9567-A0A26F8E7AD4}"/>
    <cellStyle name="40% - Accent3 4 3 5" xfId="6108" xr:uid="{23908FBC-F0E5-4956-A642-A18FBC1D4B7C}"/>
    <cellStyle name="40% - Accent3 4 4" xfId="1124" xr:uid="{3B39B499-5AB5-496A-91A1-BAA935A7B27B}"/>
    <cellStyle name="40% - Accent3 4 4 2" xfId="3317" xr:uid="{E7EEA4BC-E883-49D6-A2C6-CF01226C2179}"/>
    <cellStyle name="40% - Accent3 4 4 2 2" xfId="7514" xr:uid="{4F65435A-EF81-489B-AF39-C26563A42451}"/>
    <cellStyle name="40% - Accent3 4 4 3" xfId="4635" xr:uid="{468ABE28-1594-4228-9B1B-3993FEE7D3ED}"/>
    <cellStyle name="40% - Accent3 4 4 3 2" xfId="8814" xr:uid="{5EE4857E-23BF-4798-96F3-0EF99AE57C3E}"/>
    <cellStyle name="40% - Accent3 4 4 4" xfId="6199" xr:uid="{EDCC1E9A-E3DA-49D8-A2A9-8F6978E3E624}"/>
    <cellStyle name="40% - Accent3 4 5" xfId="2833" xr:uid="{0607F391-0686-45E8-BF75-11AA0803FD59}"/>
    <cellStyle name="40% - Accent3 4 5 2" xfId="7044" xr:uid="{43F944C0-FD03-4602-9F69-948EA38D7829}"/>
    <cellStyle name="40% - Accent3 4 6" xfId="4141" xr:uid="{4862738D-5B3A-4B22-B003-28C68570A1A6}"/>
    <cellStyle name="40% - Accent3 4 6 2" xfId="8330" xr:uid="{A99BD564-5FF5-4DB4-A683-857245629000}"/>
    <cellStyle name="40% - Accent3 4 7" xfId="5712" xr:uid="{E1CB5402-5E63-47DE-8BA2-7EB124AB154E}"/>
    <cellStyle name="40% - Accent4 2" xfId="149" xr:uid="{312C562A-0D1E-4D22-B492-177919E298C0}"/>
    <cellStyle name="40% - Accent4 2 2" xfId="150" xr:uid="{758940BD-DA65-4C25-9B2D-233CD5213968}"/>
    <cellStyle name="40% - Accent4 2 2 2" xfId="601" xr:uid="{6412ABF7-ABBB-4BF4-BBCC-88F2CF9A4788}"/>
    <cellStyle name="40% - Accent4 2 2 2 2" xfId="1192" xr:uid="{0DC1F0D9-8D5B-42C3-802B-5F3E01C4618F}"/>
    <cellStyle name="40% - Accent4 2 2 2 2 2" xfId="3385" xr:uid="{F7D22BF2-ECAF-4750-A05F-47D0E3E8E72F}"/>
    <cellStyle name="40% - Accent4 2 2 2 2 2 2" xfId="7582" xr:uid="{AC6D24C1-D0DC-47CA-9702-B8BF388F4485}"/>
    <cellStyle name="40% - Accent4 2 2 2 2 3" xfId="4703" xr:uid="{F1B7DAD2-7258-4AF4-9FDB-347BF4663713}"/>
    <cellStyle name="40% - Accent4 2 2 2 2 3 2" xfId="8882" xr:uid="{40A6CC92-F5BE-4EE4-8573-C25AA027D087}"/>
    <cellStyle name="40% - Accent4 2 2 2 2 4" xfId="6267" xr:uid="{D46B2586-DD23-47C2-94EA-684BB75D4389}"/>
    <cellStyle name="40% - Accent4 2 2 2 3" xfId="2922" xr:uid="{3C28DD48-0215-4EE3-A206-E368A8813499}"/>
    <cellStyle name="40% - Accent4 2 2 2 3 2" xfId="7125" xr:uid="{1A684B73-2D4D-442F-B680-4A6DF892FC03}"/>
    <cellStyle name="40% - Accent4 2 2 2 4" xfId="4233" xr:uid="{A84A1DCC-63D8-47F2-9B68-5D11638AD3C7}"/>
    <cellStyle name="40% - Accent4 2 2 2 4 2" xfId="8418" xr:uid="{9E0C56C1-ACBB-4DF5-B2BF-CF79CF885FB5}"/>
    <cellStyle name="40% - Accent4 2 2 2 5" xfId="5802" xr:uid="{4E37FD20-152A-4414-B825-04296DD02449}"/>
    <cellStyle name="40% - Accent4 2 2 3" xfId="1017" xr:uid="{B0AC940F-AFB1-4ADC-B051-FB328E0E8AEE}"/>
    <cellStyle name="40% - Accent4 2 2 3 2" xfId="1258" xr:uid="{4C3B47C5-5C8B-4902-BB56-57179F80905F}"/>
    <cellStyle name="40% - Accent4 2 2 3 2 2" xfId="3451" xr:uid="{493ED7E9-E213-488B-878E-1CB5F09376E0}"/>
    <cellStyle name="40% - Accent4 2 2 3 2 2 2" xfId="7648" xr:uid="{F842E6EE-902E-4A52-BE95-4DC7A81A3376}"/>
    <cellStyle name="40% - Accent4 2 2 3 2 3" xfId="4769" xr:uid="{C68F5595-C539-4EE5-A01A-57867EB8F9D1}"/>
    <cellStyle name="40% - Accent4 2 2 3 2 3 2" xfId="8948" xr:uid="{EF7DC846-7985-4B9E-B430-0007E458CC7A}"/>
    <cellStyle name="40% - Accent4 2 2 3 2 4" xfId="6333" xr:uid="{3C6427A5-1985-4523-B97F-AC0ADBA61252}"/>
    <cellStyle name="40% - Accent4 2 2 3 3" xfId="3225" xr:uid="{B39BC795-7FF6-43D2-B98A-9E117E202F85}"/>
    <cellStyle name="40% - Accent4 2 2 3 3 2" xfId="7426" xr:uid="{DDDA0BEE-E726-43DB-B25A-85603DFA16BD}"/>
    <cellStyle name="40% - Accent4 2 2 3 4" xfId="4542" xr:uid="{91232DF3-91B9-4822-B4E7-668348EF765C}"/>
    <cellStyle name="40% - Accent4 2 2 3 4 2" xfId="8725" xr:uid="{4CEA9079-6FFA-4DE5-A137-0870ED1ADDCD}"/>
    <cellStyle name="40% - Accent4 2 2 3 5" xfId="6110" xr:uid="{C88EE3CD-52E4-47E5-9747-F0F726731C12}"/>
    <cellStyle name="40% - Accent4 2 2 4" xfId="1126" xr:uid="{558FA780-D977-4973-BB45-278463515052}"/>
    <cellStyle name="40% - Accent4 2 2 4 2" xfId="3319" xr:uid="{C9941B49-AEF4-4B64-88A9-A7CBF97FD3E1}"/>
    <cellStyle name="40% - Accent4 2 2 4 2 2" xfId="7516" xr:uid="{025F9A08-BF0B-4834-B0BB-CF4465866B2E}"/>
    <cellStyle name="40% - Accent4 2 2 4 3" xfId="4637" xr:uid="{49ED68A6-217F-4F65-8A85-F1AAF1CEC56F}"/>
    <cellStyle name="40% - Accent4 2 2 4 3 2" xfId="8816" xr:uid="{E4C826C8-64ED-49E3-A04B-E83958702DEC}"/>
    <cellStyle name="40% - Accent4 2 2 4 4" xfId="6201" xr:uid="{FE736763-B107-4C2D-8933-B496A2B11D9B}"/>
    <cellStyle name="40% - Accent4 2 2 5" xfId="2835" xr:uid="{5454FC52-829F-4BCA-89DA-F32B6D5EEE5D}"/>
    <cellStyle name="40% - Accent4 2 2 5 2" xfId="7046" xr:uid="{2D1E4079-E8C8-4030-A26E-9FD3087E3516}"/>
    <cellStyle name="40% - Accent4 2 2 6" xfId="4143" xr:uid="{7296DBFA-827E-4065-B15A-83F8B31F3515}"/>
    <cellStyle name="40% - Accent4 2 2 6 2" xfId="8332" xr:uid="{393FD283-84CD-40AB-908B-E851F293F94D}"/>
    <cellStyle name="40% - Accent4 2 2 7" xfId="5714" xr:uid="{537004DF-440C-40EF-9FCD-4DCD3A6C62C0}"/>
    <cellStyle name="40% - Accent4 2 3" xfId="151" xr:uid="{B262191E-D107-4366-AAB1-2871E85B779B}"/>
    <cellStyle name="40% - Accent4 2 3 2" xfId="152" xr:uid="{F9CC1FFF-DEC9-481D-97A9-169049667D82}"/>
    <cellStyle name="40% - Accent4 2 3 2 2" xfId="550" xr:uid="{549F3AA9-B2FA-4465-9F66-439066D1454B}"/>
    <cellStyle name="40% - Accent4 2 3 3" xfId="549" xr:uid="{717CC769-A412-40E8-9339-8ED0016D7A1B}"/>
    <cellStyle name="40% - Accent4 2 4" xfId="600" xr:uid="{B53574B4-4100-4BCB-AFDF-92BC0B7890D5}"/>
    <cellStyle name="40% - Accent4 2 4 2" xfId="1191" xr:uid="{99ECA8E2-A546-49ED-B733-0607D7E975D1}"/>
    <cellStyle name="40% - Accent4 2 4 2 2" xfId="1367" xr:uid="{788A7B73-3CB8-4650-9B35-E1C30F3E8BBB}"/>
    <cellStyle name="40% - Accent4 2 4 2 2 2" xfId="1338" xr:uid="{174BC28D-0192-49E2-863D-C2D30556D026}"/>
    <cellStyle name="40% - Accent4 2 4 2 3" xfId="822" xr:uid="{6F2D123D-DE7F-43A1-B57F-6906825B54DA}"/>
    <cellStyle name="40% - Accent4 2 4 2 4" xfId="1296" xr:uid="{DC4530A5-5723-4866-8C90-639519A4D901}"/>
    <cellStyle name="40% - Accent4 2 4 2 5" xfId="3384" xr:uid="{1E7186C7-F719-49BD-935F-6EF2A33D02EF}"/>
    <cellStyle name="40% - Accent4 2 4 2 5 2" xfId="7581" xr:uid="{EA3093B2-414E-40EE-8B3F-87A6830ECA1D}"/>
    <cellStyle name="40% - Accent4 2 4 2 6" xfId="4702" xr:uid="{F671F0A8-B392-48FD-8802-F2960E967297}"/>
    <cellStyle name="40% - Accent4 2 4 2 6 2" xfId="8881" xr:uid="{263206F3-00BF-46B0-936B-405004DA9534}"/>
    <cellStyle name="40% - Accent4 2 4 2 7" xfId="6266" xr:uid="{96FB359F-C38E-4657-A005-48AEF22A4173}"/>
    <cellStyle name="40% - Accent4 2 4 3" xfId="821" xr:uid="{EB76E1CA-DE0E-4F09-A54A-FF3F55B504F7}"/>
    <cellStyle name="40% - Accent4 2 4 3 2" xfId="1309" xr:uid="{B79C10FB-DD34-4C4F-8CF6-3AD09CF9B76F}"/>
    <cellStyle name="40% - Accent4 2 4 4" xfId="1308" xr:uid="{504D2452-7B15-4BFA-B023-80B7F2C106AA}"/>
    <cellStyle name="40% - Accent4 2 4 5" xfId="1351" xr:uid="{08353CFF-8407-43F3-9C32-7A716D66F7DA}"/>
    <cellStyle name="40% - Accent4 2 4 6" xfId="2921" xr:uid="{C78A625A-FF19-4B70-9497-77390530B8E6}"/>
    <cellStyle name="40% - Accent4 2 4 6 2" xfId="7124" xr:uid="{CB56355C-99D7-4103-A902-16A1FCDEA4D9}"/>
    <cellStyle name="40% - Accent4 2 4 7" xfId="4232" xr:uid="{2534FF76-A8F4-4C12-94DE-52009CA08AF7}"/>
    <cellStyle name="40% - Accent4 2 4 7 2" xfId="8417" xr:uid="{7BFF582D-373A-402D-BA09-889B0565039D}"/>
    <cellStyle name="40% - Accent4 2 4 8" xfId="5801" xr:uid="{94721ADE-FA06-4490-8C95-1134A2E7D27D}"/>
    <cellStyle name="40% - Accent4 2 5" xfId="1016" xr:uid="{225D8740-BE3F-42FE-8208-3E678CD20426}"/>
    <cellStyle name="40% - Accent4 2 5 2" xfId="1257" xr:uid="{97EB38AF-80A4-4E44-A657-D32E9AB927B5}"/>
    <cellStyle name="40% - Accent4 2 5 2 2" xfId="3450" xr:uid="{7D5973C5-75A8-4CF3-9ED5-0B00CF5BA0C3}"/>
    <cellStyle name="40% - Accent4 2 5 2 2 2" xfId="7647" xr:uid="{7A2E7408-F629-4B6D-90C1-0FF65D8B1DB2}"/>
    <cellStyle name="40% - Accent4 2 5 2 3" xfId="4768" xr:uid="{F5260E87-6773-4289-9D72-97B071F53752}"/>
    <cellStyle name="40% - Accent4 2 5 2 3 2" xfId="8947" xr:uid="{977A1DE4-4064-43A7-8C7C-F8D3E4485F77}"/>
    <cellStyle name="40% - Accent4 2 5 2 4" xfId="6332" xr:uid="{A5577C6C-9573-4325-8DDC-DA865F17E3F1}"/>
    <cellStyle name="40% - Accent4 2 5 3" xfId="892" xr:uid="{8380F9E5-7572-4CD4-9797-7BFD24A4CA42}"/>
    <cellStyle name="40% - Accent4 2 5 4" xfId="3224" xr:uid="{5A158318-D658-4B37-89A7-88D4B608A78B}"/>
    <cellStyle name="40% - Accent4 2 5 4 2" xfId="7425" xr:uid="{C6072A87-E1AE-4E78-830B-01D11150B84A}"/>
    <cellStyle name="40% - Accent4 2 5 5" xfId="4541" xr:uid="{D9B9D326-436D-486B-943A-D818429AD21E}"/>
    <cellStyle name="40% - Accent4 2 5 5 2" xfId="8724" xr:uid="{62DA34EC-1F56-40BC-9BC0-92869788AD17}"/>
    <cellStyle name="40% - Accent4 2 5 6" xfId="6109" xr:uid="{97BC9228-84C9-418B-975B-6B3F1111E8F2}"/>
    <cellStyle name="40% - Accent4 2 6" xfId="1125" xr:uid="{A996732C-2907-437D-8D68-7A09CD0E1F31}"/>
    <cellStyle name="40% - Accent4 2 6 2" xfId="3318" xr:uid="{CB09A166-558B-406F-9844-5CCB313913AB}"/>
    <cellStyle name="40% - Accent4 2 6 2 2" xfId="7515" xr:uid="{C65D2201-32A5-4E25-AFCF-0B2BE40CCE9F}"/>
    <cellStyle name="40% - Accent4 2 6 3" xfId="4636" xr:uid="{C1C413BC-D625-433F-9EF7-AB6898DEFFBB}"/>
    <cellStyle name="40% - Accent4 2 6 3 2" xfId="8815" xr:uid="{7B30866B-B8CB-4D51-AD18-A758F2591351}"/>
    <cellStyle name="40% - Accent4 2 6 4" xfId="6200" xr:uid="{30FBF1A6-1563-4094-B710-4E6689033137}"/>
    <cellStyle name="40% - Accent4 2 7" xfId="2834" xr:uid="{8E0C1BD8-51BA-4C99-8327-8C1E42AAC060}"/>
    <cellStyle name="40% - Accent4 2 7 2" xfId="7045" xr:uid="{3FBD9891-0578-4845-AFCE-3D4822C307AD}"/>
    <cellStyle name="40% - Accent4 2 8" xfId="4142" xr:uid="{7851BFF7-E257-41A3-B8C8-5BAEDEB102F6}"/>
    <cellStyle name="40% - Accent4 2 8 2" xfId="8331" xr:uid="{020DBBFB-A669-4498-BE11-6835E5DB4209}"/>
    <cellStyle name="40% - Accent4 2 9" xfId="5713" xr:uid="{E4429816-8B34-43F2-9094-835F13E1B498}"/>
    <cellStyle name="40% - Accent4 3" xfId="153" xr:uid="{A6445004-5B76-4BEE-90B4-DE29D148F584}"/>
    <cellStyle name="40% - Accent4 3 2" xfId="602" xr:uid="{EBAFEFB2-B182-473C-B847-DC0CD5B23D96}"/>
    <cellStyle name="40% - Accent4 3 2 2" xfId="1193" xr:uid="{E12918BB-B9BF-4321-B5CC-8C4B5BA69C86}"/>
    <cellStyle name="40% - Accent4 3 2 2 2" xfId="3386" xr:uid="{8D9746A4-0175-404E-A7F3-EB5C1F943E4D}"/>
    <cellStyle name="40% - Accent4 3 2 2 2 2" xfId="7583" xr:uid="{A51CFC20-E8F5-450E-AF5C-80E48A20188A}"/>
    <cellStyle name="40% - Accent4 3 2 2 3" xfId="4704" xr:uid="{C5FA806C-8434-4401-815C-368D4958BDEC}"/>
    <cellStyle name="40% - Accent4 3 2 2 3 2" xfId="8883" xr:uid="{8C27B69E-384B-4CFB-B93C-3BE2096A7098}"/>
    <cellStyle name="40% - Accent4 3 2 2 4" xfId="6268" xr:uid="{27D35493-D295-4729-87AC-D0980C7B80D0}"/>
    <cellStyle name="40% - Accent4 3 2 3" xfId="2923" xr:uid="{2CA7EB52-8D8D-42B8-A501-CE464AE79BA8}"/>
    <cellStyle name="40% - Accent4 3 2 3 2" xfId="7126" xr:uid="{17FE0309-DEB8-4C24-B349-6921413E4660}"/>
    <cellStyle name="40% - Accent4 3 2 4" xfId="4234" xr:uid="{ED726C5C-F720-4774-8D79-E92E1C10D06C}"/>
    <cellStyle name="40% - Accent4 3 2 4 2" xfId="8419" xr:uid="{2A923396-493F-42A4-A423-4A2C2FA289E2}"/>
    <cellStyle name="40% - Accent4 3 2 5" xfId="5803" xr:uid="{F7E7DAD1-92DA-4B55-AB4A-2AD56C6070F3}"/>
    <cellStyle name="40% - Accent4 3 3" xfId="1018" xr:uid="{E3AE4856-C602-4E15-9A9E-CAEA4C1CF06E}"/>
    <cellStyle name="40% - Accent4 3 3 2" xfId="1259" xr:uid="{51A83239-5888-4531-9584-89AFB2624671}"/>
    <cellStyle name="40% - Accent4 3 3 2 2" xfId="3452" xr:uid="{EFECBDE3-A19C-480D-8E0A-892330DBFADD}"/>
    <cellStyle name="40% - Accent4 3 3 2 2 2" xfId="7649" xr:uid="{49FC28EB-579E-4E58-9E88-3D59E6825E3B}"/>
    <cellStyle name="40% - Accent4 3 3 2 3" xfId="4770" xr:uid="{5088EABB-9838-4985-A688-47FA185A158C}"/>
    <cellStyle name="40% - Accent4 3 3 2 3 2" xfId="8949" xr:uid="{0284F68A-4996-430C-A6C9-6BAF08E0EEF2}"/>
    <cellStyle name="40% - Accent4 3 3 2 4" xfId="6334" xr:uid="{1D8DBDE6-16E5-4690-8510-31DD89961F04}"/>
    <cellStyle name="40% - Accent4 3 3 3" xfId="3226" xr:uid="{2F806609-70D8-4D73-BABF-88AB7D8610D1}"/>
    <cellStyle name="40% - Accent4 3 3 3 2" xfId="7427" xr:uid="{B15E624D-216C-456E-A7A8-0F8C4010A800}"/>
    <cellStyle name="40% - Accent4 3 3 4" xfId="4543" xr:uid="{949733FB-EB20-4FE9-9D2B-E92BCB795371}"/>
    <cellStyle name="40% - Accent4 3 3 4 2" xfId="8726" xr:uid="{82EFEBCD-37CB-4E75-850C-40858FB9FE95}"/>
    <cellStyle name="40% - Accent4 3 3 5" xfId="6111" xr:uid="{2D2E9AB7-93E3-4611-A550-1D833947B607}"/>
    <cellStyle name="40% - Accent4 3 4" xfId="1127" xr:uid="{A0668A4A-49CB-4830-9AE1-3D512CBC5DD4}"/>
    <cellStyle name="40% - Accent4 3 4 2" xfId="3320" xr:uid="{A6D40D53-6158-4054-9D5C-AEDDCD585EC0}"/>
    <cellStyle name="40% - Accent4 3 4 2 2" xfId="7517" xr:uid="{D386EAB1-29C4-4F7F-B6F4-1CD8CD7E2535}"/>
    <cellStyle name="40% - Accent4 3 4 3" xfId="4638" xr:uid="{49DF0F72-236E-4DB7-B33E-075E514D1495}"/>
    <cellStyle name="40% - Accent4 3 4 3 2" xfId="8817" xr:uid="{5F5D7356-AA56-4C8C-A4E6-04EE62F4BA6F}"/>
    <cellStyle name="40% - Accent4 3 4 4" xfId="6202" xr:uid="{3A1733D8-C081-4A06-A4B0-E5AB43536D05}"/>
    <cellStyle name="40% - Accent4 3 5" xfId="2836" xr:uid="{5332B85E-5C4F-47F2-8CFD-3EDFEE4A379B}"/>
    <cellStyle name="40% - Accent4 3 5 2" xfId="7047" xr:uid="{6C207729-0E1D-4ABB-AB36-F436D4DFC22A}"/>
    <cellStyle name="40% - Accent4 3 6" xfId="4144" xr:uid="{41590034-0331-4D60-A81F-557FA233B541}"/>
    <cellStyle name="40% - Accent4 3 6 2" xfId="8333" xr:uid="{9C6B8583-A265-485A-9AC8-D18E6BD856C7}"/>
    <cellStyle name="40% - Accent4 3 7" xfId="5715" xr:uid="{1005FACC-BFFD-4574-B078-B35CA9DE22BC}"/>
    <cellStyle name="40% - Accent4 4" xfId="154" xr:uid="{AEAB6401-23F5-4009-8D8E-85215B4FCDD7}"/>
    <cellStyle name="40% - Accent4 4 2" xfId="603" xr:uid="{D4AD1BDE-F0B0-41B3-8EF6-334EBDE7F2C3}"/>
    <cellStyle name="40% - Accent4 4 2 2" xfId="1194" xr:uid="{451752F5-1EDE-49B3-8207-B9CDFDBA4AA2}"/>
    <cellStyle name="40% - Accent4 4 2 2 2" xfId="3387" xr:uid="{D60AB1B7-C6EF-4C78-A12C-70716024E4B0}"/>
    <cellStyle name="40% - Accent4 4 2 2 2 2" xfId="7584" xr:uid="{73A13F7B-A6EB-4380-8DD9-04CE701D9F3A}"/>
    <cellStyle name="40% - Accent4 4 2 2 3" xfId="4705" xr:uid="{96CEFCFE-CCA2-4523-B71C-5545C51286B1}"/>
    <cellStyle name="40% - Accent4 4 2 2 3 2" xfId="8884" xr:uid="{93F96D55-D994-482D-A23A-38404887DC04}"/>
    <cellStyle name="40% - Accent4 4 2 2 4" xfId="6269" xr:uid="{82FD311B-2BD5-4A66-871E-41D234890AD5}"/>
    <cellStyle name="40% - Accent4 4 2 3" xfId="2924" xr:uid="{EE299E3F-9846-4EEC-88CF-4A28B74CA54D}"/>
    <cellStyle name="40% - Accent4 4 2 3 2" xfId="7127" xr:uid="{D494DED4-671D-4D91-B1E5-1EB6CABA1711}"/>
    <cellStyle name="40% - Accent4 4 2 4" xfId="4235" xr:uid="{4485D8A3-5BA2-4A87-9765-4B9411CF37D2}"/>
    <cellStyle name="40% - Accent4 4 2 4 2" xfId="8420" xr:uid="{B8DD760A-AA71-4DFC-AEC4-6051E1D07A51}"/>
    <cellStyle name="40% - Accent4 4 2 5" xfId="5804" xr:uid="{3BC631C9-137E-450E-8D9E-DDA21462DE2B}"/>
    <cellStyle name="40% - Accent4 4 3" xfId="1019" xr:uid="{D039EF84-7539-4833-8F8E-CFAFAF650E87}"/>
    <cellStyle name="40% - Accent4 4 3 2" xfId="1260" xr:uid="{3C5D146E-A31D-4321-B53D-A58A4CBC3177}"/>
    <cellStyle name="40% - Accent4 4 3 2 2" xfId="3453" xr:uid="{200864B2-2EBF-428F-8620-657D50F2E9F5}"/>
    <cellStyle name="40% - Accent4 4 3 2 2 2" xfId="7650" xr:uid="{3F7E34E7-CE40-4F5E-9688-0A0FE086C817}"/>
    <cellStyle name="40% - Accent4 4 3 2 3" xfId="4771" xr:uid="{A3434D6C-FB54-4679-A78A-D028A581BD2B}"/>
    <cellStyle name="40% - Accent4 4 3 2 3 2" xfId="8950" xr:uid="{09EFAD1B-940E-49E3-9A46-0B2D9B2E55AD}"/>
    <cellStyle name="40% - Accent4 4 3 2 4" xfId="6335" xr:uid="{AD8CC0B3-8999-4C42-856C-56A7F31F6571}"/>
    <cellStyle name="40% - Accent4 4 3 3" xfId="3227" xr:uid="{3BA2F6D6-F98D-4261-A9A8-D5DF312D1B85}"/>
    <cellStyle name="40% - Accent4 4 3 3 2" xfId="7428" xr:uid="{AC920A28-3A90-4135-95D9-B8A30B447536}"/>
    <cellStyle name="40% - Accent4 4 3 4" xfId="4544" xr:uid="{648F66C6-CE27-423C-A301-03C8FCD633C8}"/>
    <cellStyle name="40% - Accent4 4 3 4 2" xfId="8727" xr:uid="{0BBB9ECF-DB9F-42BA-B5DE-09403BA7C7DD}"/>
    <cellStyle name="40% - Accent4 4 3 5" xfId="6112" xr:uid="{16F0F1CC-84A3-405E-82C3-616B83CC1C0F}"/>
    <cellStyle name="40% - Accent4 4 4" xfId="1128" xr:uid="{0F8932E1-C144-4870-A4A1-27B86BFB188B}"/>
    <cellStyle name="40% - Accent4 4 4 2" xfId="3321" xr:uid="{AF192C0E-A33B-4B43-AB66-5045D5882507}"/>
    <cellStyle name="40% - Accent4 4 4 2 2" xfId="7518" xr:uid="{C347206C-22C7-45EA-9897-6FCD5ED4359C}"/>
    <cellStyle name="40% - Accent4 4 4 3" xfId="4639" xr:uid="{BC391D86-40C4-4234-93ED-85C8015245F6}"/>
    <cellStyle name="40% - Accent4 4 4 3 2" xfId="8818" xr:uid="{D3BC1DF2-FED4-4B56-B5BC-26A39BA2F484}"/>
    <cellStyle name="40% - Accent4 4 4 4" xfId="6203" xr:uid="{7EAC2287-7D58-420A-AB80-71F332C3E43B}"/>
    <cellStyle name="40% - Accent4 4 5" xfId="2837" xr:uid="{AE60B9C3-3395-40CE-9D08-969C854E0CC6}"/>
    <cellStyle name="40% - Accent4 4 5 2" xfId="7048" xr:uid="{A10D2F2F-49CA-4FC6-B9A0-DEBEB7FCE061}"/>
    <cellStyle name="40% - Accent4 4 6" xfId="4145" xr:uid="{C4B2500F-9C4C-4241-9E55-4806E86C28EE}"/>
    <cellStyle name="40% - Accent4 4 6 2" xfId="8334" xr:uid="{35D86E72-9299-4217-95A9-F1D966CA338C}"/>
    <cellStyle name="40% - Accent4 4 7" xfId="5716" xr:uid="{4CD0BFFB-5256-4DD8-969E-A07F3CB5DB53}"/>
    <cellStyle name="40% - Accent5 2" xfId="155" xr:uid="{BC73F42A-A892-4C4A-BE31-F67459A10C88}"/>
    <cellStyle name="40% - Accent5 2 2" xfId="156" xr:uid="{9E77F367-60A5-455D-8A88-8E5B8C0EC4D6}"/>
    <cellStyle name="40% - Accent5 2 2 2" xfId="605" xr:uid="{550C8455-EEAA-4DA7-A3AA-7FE27ADFCE0C}"/>
    <cellStyle name="40% - Accent5 2 2 2 2" xfId="1196" xr:uid="{2954E816-30C1-4380-9D8C-D1AC6B5D7482}"/>
    <cellStyle name="40% - Accent5 2 2 2 2 2" xfId="3389" xr:uid="{367BAA25-451C-4E0A-9C22-4C3E86D0FC72}"/>
    <cellStyle name="40% - Accent5 2 2 2 2 2 2" xfId="7586" xr:uid="{10F2DF66-3C47-4115-A151-FCEF7B858716}"/>
    <cellStyle name="40% - Accent5 2 2 2 2 3" xfId="4707" xr:uid="{3C87EA97-FC39-4CA0-B3BE-F608958AE791}"/>
    <cellStyle name="40% - Accent5 2 2 2 2 3 2" xfId="8886" xr:uid="{CBA37807-0E45-4548-9FFC-E1A335E1D24A}"/>
    <cellStyle name="40% - Accent5 2 2 2 2 4" xfId="6271" xr:uid="{4A30C5B0-0B72-4C82-AC34-7E2D03AEC68B}"/>
    <cellStyle name="40% - Accent5 2 2 2 3" xfId="2926" xr:uid="{D792ED62-F0C6-43DC-B2BC-513DAE7525DA}"/>
    <cellStyle name="40% - Accent5 2 2 2 3 2" xfId="7129" xr:uid="{A7D224E3-65CF-42EB-A00A-6EDB94248C99}"/>
    <cellStyle name="40% - Accent5 2 2 2 4" xfId="4237" xr:uid="{AB890AB7-12D8-4C0B-8E75-70D4CFBB5417}"/>
    <cellStyle name="40% - Accent5 2 2 2 4 2" xfId="8422" xr:uid="{9150D89E-C0B2-45E8-887E-E062A31082FA}"/>
    <cellStyle name="40% - Accent5 2 2 2 5" xfId="5806" xr:uid="{38D9078C-A680-4D02-8C92-47ABC19BEBFF}"/>
    <cellStyle name="40% - Accent5 2 2 3" xfId="1021" xr:uid="{49A1B675-FB0D-4BE6-A7B5-E4F694ABC691}"/>
    <cellStyle name="40% - Accent5 2 2 3 2" xfId="1262" xr:uid="{947E63F5-3C24-45E0-9234-F31CEC31505E}"/>
    <cellStyle name="40% - Accent5 2 2 3 2 2" xfId="3455" xr:uid="{ED863E21-119B-44D0-865E-2E516CA433AB}"/>
    <cellStyle name="40% - Accent5 2 2 3 2 2 2" xfId="7652" xr:uid="{A7D5D723-5203-4BF9-BE09-11140823FB85}"/>
    <cellStyle name="40% - Accent5 2 2 3 2 3" xfId="4773" xr:uid="{545A9CB6-3A92-4168-8034-F55EAADBCE8E}"/>
    <cellStyle name="40% - Accent5 2 2 3 2 3 2" xfId="8952" xr:uid="{E964B8DB-8654-4363-BC77-78653E2D8370}"/>
    <cellStyle name="40% - Accent5 2 2 3 2 4" xfId="6337" xr:uid="{CDA52219-E963-40E0-BB5A-B236D2432276}"/>
    <cellStyle name="40% - Accent5 2 2 3 3" xfId="3229" xr:uid="{B408EC94-AEBF-4E08-A789-F916FA71B5E0}"/>
    <cellStyle name="40% - Accent5 2 2 3 3 2" xfId="7430" xr:uid="{D5C67A8C-5BB6-4796-9582-B44E84D54787}"/>
    <cellStyle name="40% - Accent5 2 2 3 4" xfId="4546" xr:uid="{3BF2F6CB-7767-40CA-AE3F-F9F9AD36C0F1}"/>
    <cellStyle name="40% - Accent5 2 2 3 4 2" xfId="8729" xr:uid="{C7BFAD65-D3F8-4060-962D-68C721A12412}"/>
    <cellStyle name="40% - Accent5 2 2 3 5" xfId="6114" xr:uid="{935C16B0-E4AC-460E-98D1-205CE134CA0B}"/>
    <cellStyle name="40% - Accent5 2 2 4" xfId="1130" xr:uid="{7DB89C5A-BC81-4E1D-B1AE-26ACBE90A586}"/>
    <cellStyle name="40% - Accent5 2 2 4 2" xfId="3323" xr:uid="{704BE652-85EB-457E-8E85-6ABEDE2894DB}"/>
    <cellStyle name="40% - Accent5 2 2 4 2 2" xfId="7520" xr:uid="{33340E01-EB8D-4270-B1A1-DE4EE6D7B536}"/>
    <cellStyle name="40% - Accent5 2 2 4 3" xfId="4641" xr:uid="{347C2093-0554-4852-AD83-9AA26BE00F9A}"/>
    <cellStyle name="40% - Accent5 2 2 4 3 2" xfId="8820" xr:uid="{0A906E78-EC8D-474A-8CC9-47CDF13784A4}"/>
    <cellStyle name="40% - Accent5 2 2 4 4" xfId="6205" xr:uid="{85C2DE20-98AD-494A-B78F-622512686EAA}"/>
    <cellStyle name="40% - Accent5 2 2 5" xfId="2839" xr:uid="{EEBC0604-7F76-44EC-A114-B315F8B48A01}"/>
    <cellStyle name="40% - Accent5 2 2 5 2" xfId="7050" xr:uid="{F0782271-B9C1-42FC-A9BB-198B7E76AACB}"/>
    <cellStyle name="40% - Accent5 2 2 6" xfId="4147" xr:uid="{23E07851-1B80-41EC-B7B9-3071074941D8}"/>
    <cellStyle name="40% - Accent5 2 2 6 2" xfId="8336" xr:uid="{3EC48FA6-F4B0-4E88-9066-8F690B0676F7}"/>
    <cellStyle name="40% - Accent5 2 2 7" xfId="5718" xr:uid="{AFFE1F79-ED8C-4AAE-B9ED-A00151C3C21D}"/>
    <cellStyle name="40% - Accent5 2 3" xfId="157" xr:uid="{FFFE6B9A-0EEF-4BC3-A492-C76CF0E83F7A}"/>
    <cellStyle name="40% - Accent5 2 3 2" xfId="158" xr:uid="{43EC59F3-8215-41F1-AE21-C31123E2A616}"/>
    <cellStyle name="40% - Accent5 2 3 2 2" xfId="552" xr:uid="{D9EFA7D3-0935-4FF1-9DE0-C0A5368AC882}"/>
    <cellStyle name="40% - Accent5 2 3 3" xfId="551" xr:uid="{A81A7FE9-AF42-47C8-841F-AF8442AD5524}"/>
    <cellStyle name="40% - Accent5 2 4" xfId="604" xr:uid="{7098B9AB-D643-47CE-A94D-85699A247C8A}"/>
    <cellStyle name="40% - Accent5 2 4 2" xfId="1195" xr:uid="{A2FBC37F-EE63-4673-A78A-CB7AF0301B1E}"/>
    <cellStyle name="40% - Accent5 2 4 2 2" xfId="1298" xr:uid="{5EEA19EE-4AE9-475E-949F-295F88DC84AA}"/>
    <cellStyle name="40% - Accent5 2 4 2 2 2" xfId="1369" xr:uid="{24131238-7DAB-44AD-9AA3-B05B70093E15}"/>
    <cellStyle name="40% - Accent5 2 4 2 3" xfId="1339" xr:uid="{D25089F0-2C44-41F5-AC79-52AA84D9D238}"/>
    <cellStyle name="40% - Accent5 2 4 2 4" xfId="1353" xr:uid="{3734B162-9CA6-4593-9806-6144508BE8A3}"/>
    <cellStyle name="40% - Accent5 2 4 2 5" xfId="3388" xr:uid="{9B7D6AF5-0032-4545-BAE9-075D1527AD76}"/>
    <cellStyle name="40% - Accent5 2 4 2 5 2" xfId="7585" xr:uid="{6BA6532A-85A4-48AA-8726-069CB0D00E7F}"/>
    <cellStyle name="40% - Accent5 2 4 2 6" xfId="4706" xr:uid="{118AAE5C-DDA6-4A14-BE85-F17D3B134D9E}"/>
    <cellStyle name="40% - Accent5 2 4 2 6 2" xfId="8885" xr:uid="{1DBAA6C0-3D23-4C82-8474-BA9E2B468227}"/>
    <cellStyle name="40% - Accent5 2 4 2 7" xfId="6270" xr:uid="{66A1FB67-A45F-41AB-BCE8-068BDC8DC63D}"/>
    <cellStyle name="40% - Accent5 2 4 3" xfId="820" xr:uid="{9974E2D8-1002-4B39-A081-CBA97B905048}"/>
    <cellStyle name="40% - Accent5 2 4 3 2" xfId="888" xr:uid="{C85C01DF-3EAA-4289-B30A-E6FF83A49E75}"/>
    <cellStyle name="40% - Accent5 2 4 4" xfId="1354" xr:uid="{7FACBAFB-D3A7-4AD0-AD04-FFB9D09A94BF}"/>
    <cellStyle name="40% - Accent5 2 4 5" xfId="708" xr:uid="{2724D8FC-16EE-45FE-8F41-CA2DD18D1CD8}"/>
    <cellStyle name="40% - Accent5 2 4 6" xfId="2925" xr:uid="{AED919E6-1992-4491-B8A9-09A273114AB6}"/>
    <cellStyle name="40% - Accent5 2 4 6 2" xfId="7128" xr:uid="{D1E1FDCB-46E0-43AD-B2FC-B76F95F92484}"/>
    <cellStyle name="40% - Accent5 2 4 7" xfId="4236" xr:uid="{CE7F6834-F9E6-4AF4-B6A2-F78AFD4054EA}"/>
    <cellStyle name="40% - Accent5 2 4 7 2" xfId="8421" xr:uid="{91BE85EB-10FD-49CB-AA55-337ABC78B1C8}"/>
    <cellStyle name="40% - Accent5 2 4 8" xfId="5805" xr:uid="{985AA2F6-0742-4297-9461-B790F87F41FD}"/>
    <cellStyle name="40% - Accent5 2 5" xfId="1020" xr:uid="{23CB4942-B0D1-4DA6-A0D5-B9A941F825AF}"/>
    <cellStyle name="40% - Accent5 2 5 2" xfId="1261" xr:uid="{DFCB178D-D151-4E62-8E85-A39193B361C8}"/>
    <cellStyle name="40% - Accent5 2 5 2 2" xfId="3454" xr:uid="{4FB4757A-0ABB-47B4-B405-F0BA24008CC6}"/>
    <cellStyle name="40% - Accent5 2 5 2 2 2" xfId="7651" xr:uid="{0D52F66F-1748-4486-A234-8CD8764AC71C}"/>
    <cellStyle name="40% - Accent5 2 5 2 3" xfId="4772" xr:uid="{359A0684-76E0-430D-84A4-D8E1E797FA68}"/>
    <cellStyle name="40% - Accent5 2 5 2 3 2" xfId="8951" xr:uid="{46677ACA-D9C3-423C-99F9-9C2963433313}"/>
    <cellStyle name="40% - Accent5 2 5 2 4" xfId="6336" xr:uid="{A3C28F60-A3B9-4450-A2D8-386142D1FF8A}"/>
    <cellStyle name="40% - Accent5 2 5 3" xfId="1299" xr:uid="{323473B3-DBFE-45C3-99A1-206ED24D5820}"/>
    <cellStyle name="40% - Accent5 2 5 4" xfId="3228" xr:uid="{4A4AD0E4-DB7D-4CC2-AFB4-2DFC7D9B0BD7}"/>
    <cellStyle name="40% - Accent5 2 5 4 2" xfId="7429" xr:uid="{ADAC400B-62A9-44E0-982C-2A7896C337D3}"/>
    <cellStyle name="40% - Accent5 2 5 5" xfId="4545" xr:uid="{A2F65E54-3BA4-4F43-9D7B-4A1500F16B0F}"/>
    <cellStyle name="40% - Accent5 2 5 5 2" xfId="8728" xr:uid="{38AD856B-1BC8-4CB3-8792-DD5042E6D1A3}"/>
    <cellStyle name="40% - Accent5 2 5 6" xfId="6113" xr:uid="{F4AECD39-6202-49F7-8A0C-220A1A2E76F9}"/>
    <cellStyle name="40% - Accent5 2 6" xfId="1129" xr:uid="{9542F696-10B8-43CF-BA0E-1C186AE21E6B}"/>
    <cellStyle name="40% - Accent5 2 6 2" xfId="3322" xr:uid="{B1EFD075-6D54-4597-82CC-B5B818EE311D}"/>
    <cellStyle name="40% - Accent5 2 6 2 2" xfId="7519" xr:uid="{C433A5CF-83E8-4F00-A414-CB157A01838C}"/>
    <cellStyle name="40% - Accent5 2 6 3" xfId="4640" xr:uid="{231D69BC-E97E-453B-80E2-9B1E9FCCAEEB}"/>
    <cellStyle name="40% - Accent5 2 6 3 2" xfId="8819" xr:uid="{5A0DE15D-ABAD-46F1-A9E2-FAED5584026D}"/>
    <cellStyle name="40% - Accent5 2 6 4" xfId="6204" xr:uid="{1CCEB37E-CC4E-48D7-A6AF-8438BC712093}"/>
    <cellStyle name="40% - Accent5 2 7" xfId="2838" xr:uid="{01E39463-A4FA-42DA-BC7C-375C97C9EB98}"/>
    <cellStyle name="40% - Accent5 2 7 2" xfId="7049" xr:uid="{91095641-8664-4343-89B4-F8A71DCD5144}"/>
    <cellStyle name="40% - Accent5 2 8" xfId="4146" xr:uid="{75815F16-B49A-4D7A-BCC0-767E45BCFE74}"/>
    <cellStyle name="40% - Accent5 2 8 2" xfId="8335" xr:uid="{6FA41BD7-566B-4941-AE4E-8A4B56508866}"/>
    <cellStyle name="40% - Accent5 2 9" xfId="5717" xr:uid="{62871143-FB5E-49E9-B4D2-BA0C8CE80A4A}"/>
    <cellStyle name="40% - Accent5 3" xfId="159" xr:uid="{02E6A61B-EEC3-4EF1-8381-DD6B14D4311C}"/>
    <cellStyle name="40% - Accent5 3 2" xfId="606" xr:uid="{A7D1729F-FD3F-4FDD-863D-D66431155F4D}"/>
    <cellStyle name="40% - Accent5 3 2 2" xfId="1197" xr:uid="{DB2B1DE2-F9B0-4BB4-BEC0-BB76340B6323}"/>
    <cellStyle name="40% - Accent5 3 2 2 2" xfId="3390" xr:uid="{15CC207A-88C0-4DD3-B962-14E084D5F73C}"/>
    <cellStyle name="40% - Accent5 3 2 2 2 2" xfId="7587" xr:uid="{D1EB0E3C-B5EE-46F9-9945-FD393309E346}"/>
    <cellStyle name="40% - Accent5 3 2 2 3" xfId="4708" xr:uid="{F0D75B47-B24F-412A-997C-8E0E7A4E300A}"/>
    <cellStyle name="40% - Accent5 3 2 2 3 2" xfId="8887" xr:uid="{B42D1255-ED7C-4ACA-B99D-A96EAF1C71FA}"/>
    <cellStyle name="40% - Accent5 3 2 2 4" xfId="6272" xr:uid="{22EC73B6-D111-4EEB-A336-86C536E6911C}"/>
    <cellStyle name="40% - Accent5 3 2 3" xfId="2927" xr:uid="{160AE498-5181-4B69-9C96-09E25B46A657}"/>
    <cellStyle name="40% - Accent5 3 2 3 2" xfId="7130" xr:uid="{12D7BD13-69FF-454F-962F-BED3366B85B7}"/>
    <cellStyle name="40% - Accent5 3 2 4" xfId="4238" xr:uid="{92919836-6675-4424-8CB7-661874AD6806}"/>
    <cellStyle name="40% - Accent5 3 2 4 2" xfId="8423" xr:uid="{9F143436-A7A1-4613-8FDD-2F43988568D2}"/>
    <cellStyle name="40% - Accent5 3 2 5" xfId="5807" xr:uid="{4CCDD17C-3E3E-4795-8292-C47F1C67D622}"/>
    <cellStyle name="40% - Accent5 3 3" xfId="1022" xr:uid="{B7D4B830-80F6-4933-9977-D1F2840C3A46}"/>
    <cellStyle name="40% - Accent5 3 3 2" xfId="1263" xr:uid="{5A1CE665-14DD-47B0-840E-7737668EBEE6}"/>
    <cellStyle name="40% - Accent5 3 3 2 2" xfId="3456" xr:uid="{2CEA8DCE-BCFD-43DC-AE62-06BC3C81F582}"/>
    <cellStyle name="40% - Accent5 3 3 2 2 2" xfId="7653" xr:uid="{0C000633-4539-4A4F-81B5-DB3F70ABD433}"/>
    <cellStyle name="40% - Accent5 3 3 2 3" xfId="4774" xr:uid="{FF120449-E85E-4727-9B96-BACFEC038F4C}"/>
    <cellStyle name="40% - Accent5 3 3 2 3 2" xfId="8953" xr:uid="{5647F29C-3DE8-462B-8431-19DA8EC1827E}"/>
    <cellStyle name="40% - Accent5 3 3 2 4" xfId="6338" xr:uid="{6A91308B-3C08-4176-AE83-683A0133C638}"/>
    <cellStyle name="40% - Accent5 3 3 3" xfId="3230" xr:uid="{DCB2D2EA-952E-46C8-8075-A241128BE9B9}"/>
    <cellStyle name="40% - Accent5 3 3 3 2" xfId="7431" xr:uid="{F30EA377-C34B-479F-B63A-07588C471CCC}"/>
    <cellStyle name="40% - Accent5 3 3 4" xfId="4547" xr:uid="{1A7D0D89-6EF9-4441-B039-CEECA29C135C}"/>
    <cellStyle name="40% - Accent5 3 3 4 2" xfId="8730" xr:uid="{A2AAD6A4-1511-44D8-B415-2A049A043974}"/>
    <cellStyle name="40% - Accent5 3 3 5" xfId="6115" xr:uid="{FDFD81C2-F53A-4E7E-9B7D-E3EDB3DCBDBD}"/>
    <cellStyle name="40% - Accent5 3 4" xfId="1131" xr:uid="{FAF9E7E9-549A-456B-8CF2-79792FE37444}"/>
    <cellStyle name="40% - Accent5 3 4 2" xfId="3324" xr:uid="{12F2E8D7-E994-4924-B993-D16D25D04C59}"/>
    <cellStyle name="40% - Accent5 3 4 2 2" xfId="7521" xr:uid="{8818DF86-3252-45FA-836F-B5D082AF45E3}"/>
    <cellStyle name="40% - Accent5 3 4 3" xfId="4642" xr:uid="{C0796B8A-4F1A-41A6-AB51-46EF16F69F68}"/>
    <cellStyle name="40% - Accent5 3 4 3 2" xfId="8821" xr:uid="{192FA7CC-DE6C-454A-AD94-A0AFD6699C43}"/>
    <cellStyle name="40% - Accent5 3 4 4" xfId="6206" xr:uid="{C7B35D1D-9EC8-4DBB-ABF0-C6A4701BD02A}"/>
    <cellStyle name="40% - Accent5 3 5" xfId="2840" xr:uid="{92AC3DC8-8DB8-4C70-A7B5-A8906251B7C9}"/>
    <cellStyle name="40% - Accent5 3 5 2" xfId="7051" xr:uid="{781A81DF-F9BE-4E62-9F46-06B2F7AFBA96}"/>
    <cellStyle name="40% - Accent5 3 6" xfId="4148" xr:uid="{75B4C76E-ABC9-4C4F-A5D5-2F3D1E9B2037}"/>
    <cellStyle name="40% - Accent5 3 6 2" xfId="8337" xr:uid="{50AD9E42-7D40-4602-B431-C5AF360C001B}"/>
    <cellStyle name="40% - Accent5 3 7" xfId="5719" xr:uid="{14D65D6C-9B19-414E-934C-FDFF1C7F34BD}"/>
    <cellStyle name="40% - Accent5 4" xfId="160" xr:uid="{47B9BF40-EB73-4811-B3EA-9A8430149CC4}"/>
    <cellStyle name="40% - Accent5 4 2" xfId="607" xr:uid="{2B02FB8B-98E6-46D5-81AF-AEE1DBA45033}"/>
    <cellStyle name="40% - Accent5 4 2 2" xfId="1198" xr:uid="{B9E74989-43D3-4C92-B85C-0ACDD9BBA9F4}"/>
    <cellStyle name="40% - Accent5 4 2 2 2" xfId="3391" xr:uid="{533D718D-CE52-4AB4-AB55-EAF28FE05BEB}"/>
    <cellStyle name="40% - Accent5 4 2 2 2 2" xfId="7588" xr:uid="{D964E7E6-D18F-4858-A237-CB40D0FE97B6}"/>
    <cellStyle name="40% - Accent5 4 2 2 3" xfId="4709" xr:uid="{16BF004C-00C0-4541-AC33-B2F5CCFC26D9}"/>
    <cellStyle name="40% - Accent5 4 2 2 3 2" xfId="8888" xr:uid="{6C3DAD0F-5437-491E-8880-93EC372DB08E}"/>
    <cellStyle name="40% - Accent5 4 2 2 4" xfId="6273" xr:uid="{5776EF57-992B-48FC-8DE2-AD75CA714DA7}"/>
    <cellStyle name="40% - Accent5 4 2 3" xfId="2928" xr:uid="{1B96E31C-FCAC-4662-9380-097C719C8F8A}"/>
    <cellStyle name="40% - Accent5 4 2 3 2" xfId="7131" xr:uid="{D68AAC1F-D5C9-414C-9001-EC0441E25ED6}"/>
    <cellStyle name="40% - Accent5 4 2 4" xfId="4239" xr:uid="{9A8858B8-3AFF-408B-9686-590DC2BE9AA5}"/>
    <cellStyle name="40% - Accent5 4 2 4 2" xfId="8424" xr:uid="{F246C227-2505-49CF-848E-CA80C8821CAF}"/>
    <cellStyle name="40% - Accent5 4 2 5" xfId="5808" xr:uid="{7D7B5BD2-91A7-46B9-8503-D110F5543E4E}"/>
    <cellStyle name="40% - Accent5 4 3" xfId="1023" xr:uid="{2F6F2571-F629-41CE-8AD0-9071D57085E1}"/>
    <cellStyle name="40% - Accent5 4 3 2" xfId="1264" xr:uid="{2424E373-DA1F-4532-A196-61B755D226A5}"/>
    <cellStyle name="40% - Accent5 4 3 2 2" xfId="3457" xr:uid="{F0F9BD73-89B2-4319-ACC4-682DB6CE629D}"/>
    <cellStyle name="40% - Accent5 4 3 2 2 2" xfId="7654" xr:uid="{8DCD086B-FA30-474D-9A5D-61F0A79DB044}"/>
    <cellStyle name="40% - Accent5 4 3 2 3" xfId="4775" xr:uid="{7041FF2A-50B3-4E49-8024-60D3FFA75EEB}"/>
    <cellStyle name="40% - Accent5 4 3 2 3 2" xfId="8954" xr:uid="{BA1EBE6E-C5DC-46D4-8C20-A509C321892B}"/>
    <cellStyle name="40% - Accent5 4 3 2 4" xfId="6339" xr:uid="{BD2F7B47-8F8F-478E-8172-4B60D049BD4E}"/>
    <cellStyle name="40% - Accent5 4 3 3" xfId="3231" xr:uid="{385C86C7-8021-4A94-8514-501586677263}"/>
    <cellStyle name="40% - Accent5 4 3 3 2" xfId="7432" xr:uid="{A198529F-71D4-4FD1-810E-CE58D224FFC8}"/>
    <cellStyle name="40% - Accent5 4 3 4" xfId="4548" xr:uid="{3A5618AC-D042-4598-A603-27A9A839BBBE}"/>
    <cellStyle name="40% - Accent5 4 3 4 2" xfId="8731" xr:uid="{208C6692-D760-45A3-B13C-646B2B1B1916}"/>
    <cellStyle name="40% - Accent5 4 3 5" xfId="6116" xr:uid="{16DD8849-D3E4-4CE9-8C42-DCD1774BF41F}"/>
    <cellStyle name="40% - Accent5 4 4" xfId="1132" xr:uid="{130CB0E1-D05E-4EA9-9CF7-5D49E109886D}"/>
    <cellStyle name="40% - Accent5 4 4 2" xfId="3325" xr:uid="{6034532F-9DBE-474A-9597-F6288D336DC8}"/>
    <cellStyle name="40% - Accent5 4 4 2 2" xfId="7522" xr:uid="{A03D1EC8-4DF3-40F1-85E5-3D5A07A3C4AF}"/>
    <cellStyle name="40% - Accent5 4 4 3" xfId="4643" xr:uid="{B34C982A-75BB-401E-8921-94AC12673B32}"/>
    <cellStyle name="40% - Accent5 4 4 3 2" xfId="8822" xr:uid="{AB3740BA-59C7-4403-AEF7-A2716F984A1D}"/>
    <cellStyle name="40% - Accent5 4 4 4" xfId="6207" xr:uid="{C60B91F0-4CCE-4CD0-B98B-625E17AC1C33}"/>
    <cellStyle name="40% - Accent5 4 5" xfId="2841" xr:uid="{51996446-0B86-480E-BDC1-3185C348BA1B}"/>
    <cellStyle name="40% - Accent5 4 5 2" xfId="7052" xr:uid="{2F240BEE-3A5C-425F-AE59-CA20463A675C}"/>
    <cellStyle name="40% - Accent5 4 6" xfId="4149" xr:uid="{3FA29249-A2F7-4240-9D7B-D4401EC7C057}"/>
    <cellStyle name="40% - Accent5 4 6 2" xfId="8338" xr:uid="{225B3B5C-E384-445C-8FB7-9EDFCE7D558C}"/>
    <cellStyle name="40% - Accent5 4 7" xfId="5720" xr:uid="{DEB0B9FD-0891-4E57-8021-49E6AFEDE186}"/>
    <cellStyle name="40% - Accent6 2" xfId="161" xr:uid="{E1396668-BE49-4FD9-82C6-BE3FE6A289F1}"/>
    <cellStyle name="40% - Accent6 2 2" xfId="162" xr:uid="{BB6BA708-0722-4B02-B3B9-7AEDC21B7F80}"/>
    <cellStyle name="40% - Accent6 2 2 2" xfId="609" xr:uid="{0E5FD8B0-AFA1-4BB3-8AA8-948D2FC49CF5}"/>
    <cellStyle name="40% - Accent6 2 2 2 2" xfId="1200" xr:uid="{DAA2FD18-4C0F-4ECC-8FAC-B5909C9BA8D3}"/>
    <cellStyle name="40% - Accent6 2 2 2 2 2" xfId="3393" xr:uid="{74AE5CDE-5882-47A4-AEC2-7872A4B91EE5}"/>
    <cellStyle name="40% - Accent6 2 2 2 2 2 2" xfId="7590" xr:uid="{910098DF-759E-41F9-9E61-36D6D4976AC2}"/>
    <cellStyle name="40% - Accent6 2 2 2 2 3" xfId="4711" xr:uid="{127B041B-C0F8-4E2D-ADFC-AF62D16C6282}"/>
    <cellStyle name="40% - Accent6 2 2 2 2 3 2" xfId="8890" xr:uid="{D1CB9A55-D4E2-40C0-981E-EB7DD9303CF2}"/>
    <cellStyle name="40% - Accent6 2 2 2 2 4" xfId="6275" xr:uid="{25997CCD-F0E3-433F-8C83-023B22BC7C94}"/>
    <cellStyle name="40% - Accent6 2 2 2 3" xfId="2930" xr:uid="{52864079-6CD8-4AD3-A38B-824ED8371E06}"/>
    <cellStyle name="40% - Accent6 2 2 2 3 2" xfId="7133" xr:uid="{6B7650E7-BBE3-42BA-9191-AEDF0D031779}"/>
    <cellStyle name="40% - Accent6 2 2 2 4" xfId="4241" xr:uid="{2D0F8DFD-3242-4DFF-8E3E-78FAC74000C5}"/>
    <cellStyle name="40% - Accent6 2 2 2 4 2" xfId="8426" xr:uid="{8D8DB701-834E-4FD5-8BD5-44B3ADD46A35}"/>
    <cellStyle name="40% - Accent6 2 2 2 5" xfId="5810" xr:uid="{6B82842A-B9C7-4F72-822B-C3015ABDD2F7}"/>
    <cellStyle name="40% - Accent6 2 2 3" xfId="1025" xr:uid="{35035935-3DD3-47B5-89BA-77B9D9D7AC42}"/>
    <cellStyle name="40% - Accent6 2 2 3 2" xfId="1266" xr:uid="{FE3ABA5D-8ADB-48CD-892E-5DC004AABE67}"/>
    <cellStyle name="40% - Accent6 2 2 3 2 2" xfId="3459" xr:uid="{D6B993D6-3839-4F8F-A617-1E5A00DE7A92}"/>
    <cellStyle name="40% - Accent6 2 2 3 2 2 2" xfId="7656" xr:uid="{38F715B1-5257-48DB-BF56-CA0B5B24BF90}"/>
    <cellStyle name="40% - Accent6 2 2 3 2 3" xfId="4777" xr:uid="{833BF46D-F5DC-4296-B504-DC40CEB3C86C}"/>
    <cellStyle name="40% - Accent6 2 2 3 2 3 2" xfId="8956" xr:uid="{4B9135F2-9490-47BE-8306-F5B396F61C05}"/>
    <cellStyle name="40% - Accent6 2 2 3 2 4" xfId="6341" xr:uid="{C4873610-FB2B-4BF4-8115-9C25DEF89415}"/>
    <cellStyle name="40% - Accent6 2 2 3 3" xfId="3233" xr:uid="{952D3E57-F928-439B-B0BA-F6FB477520A3}"/>
    <cellStyle name="40% - Accent6 2 2 3 3 2" xfId="7434" xr:uid="{C1D2F32D-2F49-4E98-9EC5-8CC06D94DD7B}"/>
    <cellStyle name="40% - Accent6 2 2 3 4" xfId="4550" xr:uid="{1966D5F4-9CBC-4727-A91D-B10319298BFC}"/>
    <cellStyle name="40% - Accent6 2 2 3 4 2" xfId="8733" xr:uid="{27884A59-71FE-4C95-A98B-6FCC2F8C2E6F}"/>
    <cellStyle name="40% - Accent6 2 2 3 5" xfId="6118" xr:uid="{D156FF02-40EA-4C65-B9C8-BDE160683A33}"/>
    <cellStyle name="40% - Accent6 2 2 4" xfId="1134" xr:uid="{F644F21D-01A5-4E53-88E6-C78F7B3C0162}"/>
    <cellStyle name="40% - Accent6 2 2 4 2" xfId="3327" xr:uid="{25F0EE09-A949-4A9A-9F0E-2B7546F1109D}"/>
    <cellStyle name="40% - Accent6 2 2 4 2 2" xfId="7524" xr:uid="{EEF99C8C-E344-47D0-B528-78D09DA86CB2}"/>
    <cellStyle name="40% - Accent6 2 2 4 3" xfId="4645" xr:uid="{2AD250B9-1436-4AEA-9B39-C730525755A1}"/>
    <cellStyle name="40% - Accent6 2 2 4 3 2" xfId="8824" xr:uid="{E8492CC3-8EBC-429B-A244-E93EDB18E9B9}"/>
    <cellStyle name="40% - Accent6 2 2 4 4" xfId="6209" xr:uid="{CB62E1C3-64B2-4FA5-806D-BBD8C8D8E2C1}"/>
    <cellStyle name="40% - Accent6 2 2 5" xfId="2843" xr:uid="{320DDD1A-93FA-4738-8827-E92DF5DBD024}"/>
    <cellStyle name="40% - Accent6 2 2 5 2" xfId="7054" xr:uid="{B8B4485F-6CA1-415A-95CF-22DAD6B784CE}"/>
    <cellStyle name="40% - Accent6 2 2 6" xfId="4151" xr:uid="{0547AD0C-A022-4E5F-A72F-6C205BA254B2}"/>
    <cellStyle name="40% - Accent6 2 2 6 2" xfId="8340" xr:uid="{FFD581AC-8506-4677-8F14-D92026272989}"/>
    <cellStyle name="40% - Accent6 2 2 7" xfId="5722" xr:uid="{A5FDEC64-36A4-45A8-8640-AE780C7A10DA}"/>
    <cellStyle name="40% - Accent6 2 3" xfId="163" xr:uid="{B186D5AF-12AA-4BF2-9603-544ACE3C1D2C}"/>
    <cellStyle name="40% - Accent6 2 3 2" xfId="164" xr:uid="{9B1D17B9-54F3-4D83-B383-37AE8EFC1DE9}"/>
    <cellStyle name="40% - Accent6 2 3 2 2" xfId="554" xr:uid="{FE68C26D-27A7-4C48-B80C-8F0F821A78EE}"/>
    <cellStyle name="40% - Accent6 2 3 3" xfId="553" xr:uid="{AABCB168-19D3-4F23-8857-15951AF8A89C}"/>
    <cellStyle name="40% - Accent6 2 4" xfId="608" xr:uid="{B93EB552-725A-4A2B-B7C9-675DA58B4C33}"/>
    <cellStyle name="40% - Accent6 2 4 2" xfId="1199" xr:uid="{D3725F4B-6DFF-4A89-8A79-685AAE1B207E}"/>
    <cellStyle name="40% - Accent6 2 4 2 2" xfId="898" xr:uid="{B8F9E042-06AC-4B86-8565-7F927BAD355B}"/>
    <cellStyle name="40% - Accent6 2 4 2 2 2" xfId="709" xr:uid="{61604B4C-107C-4E68-9109-08AB358C167A}"/>
    <cellStyle name="40% - Accent6 2 4 2 3" xfId="668" xr:uid="{84427B03-63FC-441F-B554-AB14A5ED3699}"/>
    <cellStyle name="40% - Accent6 2 4 2 4" xfId="1340" xr:uid="{40EAB3A0-9448-4C88-852A-9D466112DE50}"/>
    <cellStyle name="40% - Accent6 2 4 2 5" xfId="3392" xr:uid="{674048F6-FD38-425A-AE8A-07E7E27B390F}"/>
    <cellStyle name="40% - Accent6 2 4 2 5 2" xfId="7589" xr:uid="{18FD88C3-6636-412C-A10F-F62C5A23D0FC}"/>
    <cellStyle name="40% - Accent6 2 4 2 6" xfId="4710" xr:uid="{2AFAB5A9-D1BA-40CA-BA78-090E7E8C679F}"/>
    <cellStyle name="40% - Accent6 2 4 2 6 2" xfId="8889" xr:uid="{C426CDC0-9767-4A21-802D-6BDCD70D7530}"/>
    <cellStyle name="40% - Accent6 2 4 2 7" xfId="6274" xr:uid="{A3B199C7-313C-403C-A4FF-DF3CFFA70F15}"/>
    <cellStyle name="40% - Accent6 2 4 3" xfId="686" xr:uid="{242CB7A3-5036-45BF-BA17-2CC50F3A44DA}"/>
    <cellStyle name="40% - Accent6 2 4 3 2" xfId="1352" xr:uid="{5E6898CE-5CB6-4767-BFD3-5FD8C7E15E36}"/>
    <cellStyle name="40% - Accent6 2 4 4" xfId="1297" xr:uid="{2D298EBD-AD97-4BD5-913E-14DA77F982B2}"/>
    <cellStyle name="40% - Accent6 2 4 5" xfId="943" xr:uid="{75B61149-DDEE-4414-87D5-D74631837172}"/>
    <cellStyle name="40% - Accent6 2 4 6" xfId="2929" xr:uid="{135A4788-8842-46EC-B895-A1C37593EBEF}"/>
    <cellStyle name="40% - Accent6 2 4 6 2" xfId="7132" xr:uid="{C4A2083A-8EAF-48FC-9A8E-35135165E997}"/>
    <cellStyle name="40% - Accent6 2 4 7" xfId="4240" xr:uid="{EC6D8D24-BDA0-4DE5-97F9-441BD12F93AA}"/>
    <cellStyle name="40% - Accent6 2 4 7 2" xfId="8425" xr:uid="{69583689-9713-46D3-8BC3-64C6DC5DCF07}"/>
    <cellStyle name="40% - Accent6 2 4 8" xfId="5809" xr:uid="{EBC2B974-24D0-4064-91E3-6589667CA4DB}"/>
    <cellStyle name="40% - Accent6 2 5" xfId="1024" xr:uid="{60FEB558-B1E8-481C-BB64-A678DD189F12}"/>
    <cellStyle name="40% - Accent6 2 5 2" xfId="1265" xr:uid="{269762D6-AE96-43C4-8B26-B56B95B4FE96}"/>
    <cellStyle name="40% - Accent6 2 5 2 2" xfId="3458" xr:uid="{BE530A53-146A-4F77-B910-081F8311479A}"/>
    <cellStyle name="40% - Accent6 2 5 2 2 2" xfId="7655" xr:uid="{12007D8C-F47C-4FC5-B99A-C3AECA5C3F65}"/>
    <cellStyle name="40% - Accent6 2 5 2 3" xfId="4776" xr:uid="{1D749B19-198A-4978-B418-585C6D46D6E8}"/>
    <cellStyle name="40% - Accent6 2 5 2 3 2" xfId="8955" xr:uid="{9E508A33-4516-4C01-AB80-34FD7D827B9C}"/>
    <cellStyle name="40% - Accent6 2 5 2 4" xfId="6340" xr:uid="{DA845638-BA39-494E-85A4-A659E7A59E7F}"/>
    <cellStyle name="40% - Accent6 2 5 3" xfId="1368" xr:uid="{4C3B1449-CACA-48A6-9887-66D32524A872}"/>
    <cellStyle name="40% - Accent6 2 5 4" xfId="3232" xr:uid="{CE578CEF-4F87-4BA6-AACB-432708289E5D}"/>
    <cellStyle name="40% - Accent6 2 5 4 2" xfId="7433" xr:uid="{B6479969-5488-4C8D-B893-254EB43F892C}"/>
    <cellStyle name="40% - Accent6 2 5 5" xfId="4549" xr:uid="{7432E90E-BDD7-4659-9C26-BA800C2028CF}"/>
    <cellStyle name="40% - Accent6 2 5 5 2" xfId="8732" xr:uid="{4DB6E8EE-D343-4879-B028-D495AFD36C4C}"/>
    <cellStyle name="40% - Accent6 2 5 6" xfId="6117" xr:uid="{AF372741-E3AB-41C6-8648-DAFD26E92853}"/>
    <cellStyle name="40% - Accent6 2 6" xfId="1133" xr:uid="{D7797592-9C83-4233-8503-B4CB077C4ACD}"/>
    <cellStyle name="40% - Accent6 2 6 2" xfId="3326" xr:uid="{16E3CFF4-0150-4FF4-B7B2-F47938BCAD7C}"/>
    <cellStyle name="40% - Accent6 2 6 2 2" xfId="7523" xr:uid="{322D0C3D-CBFE-4E68-AD31-34EF478174AB}"/>
    <cellStyle name="40% - Accent6 2 6 3" xfId="4644" xr:uid="{4B1B0981-A956-4A2A-B3C2-55745997136A}"/>
    <cellStyle name="40% - Accent6 2 6 3 2" xfId="8823" xr:uid="{65587E54-4AF1-4FDE-B0E7-1662A6920A14}"/>
    <cellStyle name="40% - Accent6 2 6 4" xfId="6208" xr:uid="{64EDEA5D-9FC7-43D7-97AF-D329033C989B}"/>
    <cellStyle name="40% - Accent6 2 7" xfId="2842" xr:uid="{111024DC-84A7-47C9-ABC9-B1854515D577}"/>
    <cellStyle name="40% - Accent6 2 7 2" xfId="7053" xr:uid="{9C4E739F-5956-4106-856E-1BB8F284717D}"/>
    <cellStyle name="40% - Accent6 2 8" xfId="4150" xr:uid="{433F8FDC-1290-46DD-A095-56FF794BA9C8}"/>
    <cellStyle name="40% - Accent6 2 8 2" xfId="8339" xr:uid="{823418F6-BC36-460B-8DC8-625C12CC14E3}"/>
    <cellStyle name="40% - Accent6 2 9" xfId="5721" xr:uid="{5F844B2A-4187-4F2D-B155-74717768238D}"/>
    <cellStyle name="40% - Accent6 3" xfId="165" xr:uid="{01B3CA17-36E8-469C-A404-31E1D386D706}"/>
    <cellStyle name="40% - Accent6 3 2" xfId="610" xr:uid="{346139F2-C023-42A2-A27A-C4117FC6533D}"/>
    <cellStyle name="40% - Accent6 3 2 2" xfId="1201" xr:uid="{317B72F6-C231-492C-A1E3-3742AC98E70A}"/>
    <cellStyle name="40% - Accent6 3 2 2 2" xfId="3394" xr:uid="{EA314CF3-9637-4FC0-AAC9-9042600D12E2}"/>
    <cellStyle name="40% - Accent6 3 2 2 2 2" xfId="7591" xr:uid="{DE634FD0-C408-4D5E-81B6-5F1D4EA766FA}"/>
    <cellStyle name="40% - Accent6 3 2 2 3" xfId="4712" xr:uid="{91049CF0-4938-4F5A-AD51-2EE34E01FC2F}"/>
    <cellStyle name="40% - Accent6 3 2 2 3 2" xfId="8891" xr:uid="{73DEE3FE-DE6E-4FA7-AEB4-8570A30ABA7D}"/>
    <cellStyle name="40% - Accent6 3 2 2 4" xfId="6276" xr:uid="{2BFAC9D0-B4AC-454D-B832-51F74B7DE1B4}"/>
    <cellStyle name="40% - Accent6 3 2 3" xfId="2931" xr:uid="{18EB96A3-F8A6-4764-938F-BE0520A9ED3C}"/>
    <cellStyle name="40% - Accent6 3 2 3 2" xfId="7134" xr:uid="{C22A57CE-91D8-4515-A382-AFCB51B54C32}"/>
    <cellStyle name="40% - Accent6 3 2 4" xfId="4242" xr:uid="{6BAED839-1C93-4156-A54A-43DEF94A33F2}"/>
    <cellStyle name="40% - Accent6 3 2 4 2" xfId="8427" xr:uid="{F7E561B1-518B-491F-895E-54BEC908CFA6}"/>
    <cellStyle name="40% - Accent6 3 2 5" xfId="5811" xr:uid="{BFCC604A-6948-40F4-837E-12BCFCA5A27B}"/>
    <cellStyle name="40% - Accent6 3 3" xfId="1026" xr:uid="{93DCCFC8-EDAF-4E17-B2DD-1B1BC5C57C3D}"/>
    <cellStyle name="40% - Accent6 3 3 2" xfId="1267" xr:uid="{E381475F-86AE-4A51-99E6-BC2CB0E9D163}"/>
    <cellStyle name="40% - Accent6 3 3 2 2" xfId="3460" xr:uid="{66D864CE-C749-4317-B585-43659EFA106E}"/>
    <cellStyle name="40% - Accent6 3 3 2 2 2" xfId="7657" xr:uid="{C93CFAFB-2A53-4527-BDB0-A8E72A1754BE}"/>
    <cellStyle name="40% - Accent6 3 3 2 3" xfId="4778" xr:uid="{15B2EE78-05FC-4C82-AB7B-B20E06BD0DFD}"/>
    <cellStyle name="40% - Accent6 3 3 2 3 2" xfId="8957" xr:uid="{20763AC0-DA06-493D-83C6-FDCA0E62C9A3}"/>
    <cellStyle name="40% - Accent6 3 3 2 4" xfId="6342" xr:uid="{0D3DEBEC-0F10-43FD-A062-B4CECE36C685}"/>
    <cellStyle name="40% - Accent6 3 3 3" xfId="3234" xr:uid="{62CC1B17-C904-4421-B584-B5168C6E5F70}"/>
    <cellStyle name="40% - Accent6 3 3 3 2" xfId="7435" xr:uid="{4EBC0FD7-7B1D-48E5-8B71-EB874044BB53}"/>
    <cellStyle name="40% - Accent6 3 3 4" xfId="4551" xr:uid="{996AB668-FEDA-4772-8438-122B62F616AF}"/>
    <cellStyle name="40% - Accent6 3 3 4 2" xfId="8734" xr:uid="{6D582B5F-9B0B-4765-BAD7-C5BBEC12B2D1}"/>
    <cellStyle name="40% - Accent6 3 3 5" xfId="6119" xr:uid="{5C93759B-067A-48BB-BBCE-C927E922D72D}"/>
    <cellStyle name="40% - Accent6 3 4" xfId="1135" xr:uid="{F69D1343-D46D-478D-BF3A-56A205477F52}"/>
    <cellStyle name="40% - Accent6 3 4 2" xfId="3328" xr:uid="{5D4C6582-A56F-4E0F-9E7D-20ECB9403C23}"/>
    <cellStyle name="40% - Accent6 3 4 2 2" xfId="7525" xr:uid="{A3367EFA-847D-4A41-8442-6340B997E21F}"/>
    <cellStyle name="40% - Accent6 3 4 3" xfId="4646" xr:uid="{5EA64337-D644-4CB5-A155-CCF1822FF2C2}"/>
    <cellStyle name="40% - Accent6 3 4 3 2" xfId="8825" xr:uid="{1C155782-E50D-44CD-9652-44ADFEA656FC}"/>
    <cellStyle name="40% - Accent6 3 4 4" xfId="6210" xr:uid="{66C7D3C6-C2DA-4240-9442-7BA629439DCC}"/>
    <cellStyle name="40% - Accent6 3 5" xfId="2844" xr:uid="{40298110-F37F-428B-8914-E21CA174970A}"/>
    <cellStyle name="40% - Accent6 3 5 2" xfId="7055" xr:uid="{B0F4E3FA-DA10-429F-8248-97358E3CE292}"/>
    <cellStyle name="40% - Accent6 3 6" xfId="4152" xr:uid="{B1C6BEC5-2AD2-41B1-BB02-8CBB07D44C3D}"/>
    <cellStyle name="40% - Accent6 3 6 2" xfId="8341" xr:uid="{B17D9F44-DC34-4BEC-B19E-24E6B63B8415}"/>
    <cellStyle name="40% - Accent6 3 7" xfId="5723" xr:uid="{5288615C-B863-46AA-8744-C1CE707E3F3E}"/>
    <cellStyle name="40% - Accent6 4" xfId="166" xr:uid="{CA9C5212-DD9C-4345-895A-37F5F406D6EC}"/>
    <cellStyle name="40% - Accent6 4 2" xfId="611" xr:uid="{A9B608B3-D055-4678-86E4-6C67F56764DF}"/>
    <cellStyle name="40% - Accent6 4 2 2" xfId="1202" xr:uid="{0804CA79-E3AC-4239-AD7C-ECDC12A525E8}"/>
    <cellStyle name="40% - Accent6 4 2 2 2" xfId="3395" xr:uid="{5C1C5608-B975-4632-9051-668194E23F70}"/>
    <cellStyle name="40% - Accent6 4 2 2 2 2" xfId="7592" xr:uid="{3C3E4E5D-F345-4606-B23A-5B03EF004DDB}"/>
    <cellStyle name="40% - Accent6 4 2 2 3" xfId="4713" xr:uid="{3292E358-B08F-4575-92CF-00B9A1FFAF82}"/>
    <cellStyle name="40% - Accent6 4 2 2 3 2" xfId="8892" xr:uid="{818A06FB-C0F3-4732-9B40-D7B66541A8AE}"/>
    <cellStyle name="40% - Accent6 4 2 2 4" xfId="6277" xr:uid="{D71B6B76-53BE-4922-91D5-CD04C37E3F9C}"/>
    <cellStyle name="40% - Accent6 4 2 3" xfId="2932" xr:uid="{82166438-5C64-403E-B309-543E1070FEF6}"/>
    <cellStyle name="40% - Accent6 4 2 3 2" xfId="7135" xr:uid="{7C07B106-AAB0-4C21-AF43-D99B28025950}"/>
    <cellStyle name="40% - Accent6 4 2 4" xfId="4243" xr:uid="{11DCD6F6-851D-48FC-BB5A-436C95640C6A}"/>
    <cellStyle name="40% - Accent6 4 2 4 2" xfId="8428" xr:uid="{70A2A1C4-C2CB-4354-B406-EC00D6C8EA36}"/>
    <cellStyle name="40% - Accent6 4 2 5" xfId="5812" xr:uid="{382AE4C5-233B-4F59-BB2C-AC2FCE5F2E1D}"/>
    <cellStyle name="40% - Accent6 4 3" xfId="1027" xr:uid="{EB5EB7FB-06D4-4BF6-AAC4-236B1B7A62AF}"/>
    <cellStyle name="40% - Accent6 4 3 2" xfId="1268" xr:uid="{A05D26E3-AD98-4400-927B-5804F5FBF233}"/>
    <cellStyle name="40% - Accent6 4 3 2 2" xfId="3461" xr:uid="{C4579BC9-35B2-4D24-9D0E-1B65C63CAB67}"/>
    <cellStyle name="40% - Accent6 4 3 2 2 2" xfId="7658" xr:uid="{125326F3-82C7-4A31-A6CF-B7D026748A79}"/>
    <cellStyle name="40% - Accent6 4 3 2 3" xfId="4779" xr:uid="{9F1E4F81-5EE7-42D0-B1CD-93BB38E3845B}"/>
    <cellStyle name="40% - Accent6 4 3 2 3 2" xfId="8958" xr:uid="{52D9A403-3A93-4136-9E63-ECAF4AEB48D9}"/>
    <cellStyle name="40% - Accent6 4 3 2 4" xfId="6343" xr:uid="{18FCDD80-2072-4777-B55D-AF175FC6C24A}"/>
    <cellStyle name="40% - Accent6 4 3 3" xfId="3235" xr:uid="{7385DEF1-5A0B-43CA-A9D4-5CDF626CF732}"/>
    <cellStyle name="40% - Accent6 4 3 3 2" xfId="7436" xr:uid="{C10F43EB-967D-4F7F-BF71-8946C3191173}"/>
    <cellStyle name="40% - Accent6 4 3 4" xfId="4552" xr:uid="{436F5BE9-04BA-4B31-8C06-D30773F0718B}"/>
    <cellStyle name="40% - Accent6 4 3 4 2" xfId="8735" xr:uid="{8C989926-91B4-4BB4-A432-C358067445F7}"/>
    <cellStyle name="40% - Accent6 4 3 5" xfId="6120" xr:uid="{044FBED5-1441-4F9F-9036-5382F46037EC}"/>
    <cellStyle name="40% - Accent6 4 4" xfId="1136" xr:uid="{9ED677D6-A555-4DA6-BC54-5E8B295C4CFA}"/>
    <cellStyle name="40% - Accent6 4 4 2" xfId="3329" xr:uid="{29667CFB-63F0-4719-9382-DE8CCE3679B9}"/>
    <cellStyle name="40% - Accent6 4 4 2 2" xfId="7526" xr:uid="{0AAA1031-3A5C-4E45-A071-953DA0BF4065}"/>
    <cellStyle name="40% - Accent6 4 4 3" xfId="4647" xr:uid="{005F05E8-E0B7-4299-B4B2-168D9013A038}"/>
    <cellStyle name="40% - Accent6 4 4 3 2" xfId="8826" xr:uid="{B1EE2949-7C8B-47F4-B98F-FC4288A622E6}"/>
    <cellStyle name="40% - Accent6 4 4 4" xfId="6211" xr:uid="{51BFC2A5-89E3-4AEB-A5EE-CDA79C267813}"/>
    <cellStyle name="40% - Accent6 4 5" xfId="2845" xr:uid="{18C4A10F-C4EF-41B0-A8DC-C33247A5BF46}"/>
    <cellStyle name="40% - Accent6 4 5 2" xfId="7056" xr:uid="{F2DB723B-0FD0-463A-A56C-35E554A35EA1}"/>
    <cellStyle name="40% - Accent6 4 6" xfId="4153" xr:uid="{046C6D2B-5732-48AE-B0E3-AA579C63D02C}"/>
    <cellStyle name="40% - Accent6 4 6 2" xfId="8342" xr:uid="{C3587AAE-1C99-47EE-92A6-DE5A64B32176}"/>
    <cellStyle name="40% - Accent6 4 7" xfId="5724" xr:uid="{5B94AFFB-D02C-4050-B301-A94B3A4B7BC4}"/>
    <cellStyle name="60% - Accent1 2" xfId="741" xr:uid="{36C59E09-4EE8-4142-A0FC-DA086B1E38B3}"/>
    <cellStyle name="60% - Accent1 2 2" xfId="866" xr:uid="{50C02A1F-9820-4B0B-90AE-059FFD6C9918}"/>
    <cellStyle name="60% - Accent2 2" xfId="864" xr:uid="{EEA2F40D-ABA0-4CD9-AB95-2F630AC2F69B}"/>
    <cellStyle name="60% - Accent2 2 2" xfId="1356" xr:uid="{18334D43-AFDF-4FE3-BFE2-8AEF263D0483}"/>
    <cellStyle name="60% - Accent3 2" xfId="941" xr:uid="{8970D39E-5A90-484B-8834-6DF8F6244660}"/>
    <cellStyle name="60% - Accent3 2 2" xfId="1302" xr:uid="{E787E7A1-A54D-4203-B9B3-DA6B3B96712B}"/>
    <cellStyle name="60% - Accent4 2" xfId="1370" xr:uid="{E343496C-BC43-4A2F-BDCA-214D8BD5AC19}"/>
    <cellStyle name="60% - Accent4 2 2" xfId="942" xr:uid="{7A941D1C-AFA0-4F70-93AA-8EA991602C78}"/>
    <cellStyle name="60% - Accent5 2" xfId="1342" xr:uid="{F22755E6-D9A3-4425-A197-092EC1B3A8AC}"/>
    <cellStyle name="60% - Accent5 2 2" xfId="1053" xr:uid="{6BBF483E-AC64-4B1C-80AF-4BE7C4AD9B18}"/>
    <cellStyle name="60% - Accent6 2" xfId="1372" xr:uid="{58C8019B-18C7-4BAE-BB19-585FD5A32545}"/>
    <cellStyle name="60% - Accent6 2 2" xfId="667" xr:uid="{3D4FE238-0D2D-456B-8C00-A25A7D56B7EB}"/>
    <cellStyle name="Accent1 2" xfId="1052" xr:uid="{7E35417A-944C-4A89-9C57-D9B6EE8A6E37}"/>
    <cellStyle name="Accent1 2 2" xfId="819" xr:uid="{A015060D-438C-498D-8219-03B505D5E897}"/>
    <cellStyle name="Accent2 2" xfId="954" xr:uid="{98066485-F5B6-414D-B972-C59651703051}"/>
    <cellStyle name="Accent2 2 2" xfId="818" xr:uid="{93BF8940-1402-49A9-80A6-D441168B234B}"/>
    <cellStyle name="Accent3 2" xfId="817" xr:uid="{4FBD75DF-C76D-45CD-AF39-ED6FED001980}"/>
    <cellStyle name="Accent3 2 2" xfId="816" xr:uid="{AE339E0B-D566-42C8-8D69-B7AAE2B678F5}"/>
    <cellStyle name="Accent4 2" xfId="815" xr:uid="{5D389D15-D882-4B16-844A-2C05A0D30C19}"/>
    <cellStyle name="Accent4 2 2" xfId="814" xr:uid="{1069BBA6-E9AD-4F46-B66F-A968F57D5E3D}"/>
    <cellStyle name="Accent5 2" xfId="813" xr:uid="{38BDD533-0A17-4A85-95D5-069913CCC42F}"/>
    <cellStyle name="Accent5 2 2" xfId="812" xr:uid="{6A00F554-AD46-4644-AB7C-8A8660CD51A2}"/>
    <cellStyle name="Accent6 2" xfId="811" xr:uid="{6C8024BA-EE29-4312-AB9E-69A96012E996}"/>
    <cellStyle name="Accent6 2 2" xfId="810" xr:uid="{C36DBE31-67D0-478B-9C33-6B98E509A6DB}"/>
    <cellStyle name="Bad 2" xfId="809" xr:uid="{657FAC23-4C6D-44B6-AE2C-BEF09FB7F764}"/>
    <cellStyle name="Bad 2 2" xfId="808" xr:uid="{2040301E-55C9-4238-AC5F-F227D27F7D6E}"/>
    <cellStyle name="Calculation 2" xfId="807" xr:uid="{70352D2C-28A4-430C-A9D2-2BA6C17BF28A}"/>
    <cellStyle name="Calculation 2 2" xfId="806" xr:uid="{14181DC9-417A-47C6-AF45-FFB990A1E542}"/>
    <cellStyle name="Calculation 2 2 2" xfId="3081" xr:uid="{6A1E9574-307A-49D5-8200-7C7DEF261752}"/>
    <cellStyle name="Calculation 2 2 2 2" xfId="5581" xr:uid="{84D05A09-D536-4F90-89EC-72D1FA33105B}"/>
    <cellStyle name="Calculation 2 2 2 3" xfId="5570" xr:uid="{D0993CE8-D5CF-448D-AD88-CDF1E9A8D711}"/>
    <cellStyle name="Calculation 2 2 2 4" xfId="5627" xr:uid="{7FB9CAA2-502E-4CB0-A7DB-ED194E180727}"/>
    <cellStyle name="Calculation 2 2 2 5" xfId="6413" xr:uid="{9D2356D4-2664-4617-AE5C-54983EE9E681}"/>
    <cellStyle name="Calculation 2 2 3" xfId="4396" xr:uid="{23A82C0D-359C-48FB-BC92-D001502353E0}"/>
    <cellStyle name="Calculation 2 2 3 2" xfId="5625" xr:uid="{2F8451EB-4038-4EA9-AE21-F7A8BF64574B}"/>
    <cellStyle name="Calculation 2 2 3 3" xfId="5519" xr:uid="{33DED6A3-054F-4540-BE0B-D67360E5F2C9}"/>
    <cellStyle name="Calculation 2 2 3 4" xfId="5628" xr:uid="{B69FEA6D-E14B-4E5A-974D-3DC33DBDC37C}"/>
    <cellStyle name="Calculation 2 2 3 5" xfId="9657" xr:uid="{8410D207-9D87-4338-8B44-5F338953AFA3}"/>
    <cellStyle name="Calculation 2 2 4" xfId="5515" xr:uid="{F3CDC366-BFE8-4BBA-AD03-254949718913}"/>
    <cellStyle name="Calculation 2 2 5" xfId="5624" xr:uid="{A18547E3-9731-4746-9F60-328CFA73C0CA}"/>
    <cellStyle name="Calculation 2 2 6" xfId="5573" xr:uid="{4C36BB1F-63FC-4F66-8405-2BCF77CD6AA7}"/>
    <cellStyle name="Calculation 2 2 7" xfId="6406" xr:uid="{285D50D0-94FB-4275-9130-A87AC658B6EA}"/>
    <cellStyle name="Calculation 2 3" xfId="3082" xr:uid="{3A5D0202-38AF-435E-A9ED-3C3D715A2110}"/>
    <cellStyle name="Calculation 2 3 2" xfId="5582" xr:uid="{FF1BF3A0-4654-4165-B825-E18F34354949}"/>
    <cellStyle name="Calculation 2 3 3" xfId="5542" xr:uid="{B55775D9-7ED1-4152-B5EA-D541C92B6583}"/>
    <cellStyle name="Calculation 2 3 4" xfId="5639" xr:uid="{D8111B18-A3CB-4807-B676-EAAF3364D1CF}"/>
    <cellStyle name="Calculation 2 3 5" xfId="9602" xr:uid="{790FB1E6-5E73-4888-BF80-BFD46EDA99F3}"/>
    <cellStyle name="Calculation 2 4" xfId="4397" xr:uid="{9F489D67-3C2C-40CB-AC0E-A4C1C47168FF}"/>
    <cellStyle name="Calculation 2 4 2" xfId="5626" xr:uid="{94370654-3F29-43FE-8B87-01FF421C5D69}"/>
    <cellStyle name="Calculation 2 4 3" xfId="5586" xr:uid="{7B9624E7-8EF3-4CFE-AC61-1D47D001F8C7}"/>
    <cellStyle name="Calculation 2 4 4" xfId="5660" xr:uid="{62E68BAA-39CF-4695-ACE9-F1D539EB8DCC}"/>
    <cellStyle name="Calculation 2 4 5" xfId="9639" xr:uid="{1BB8AE89-C7EC-4DF9-A711-2BFF2B98544F}"/>
    <cellStyle name="Calculation 2 5" xfId="5516" xr:uid="{7B9DE3EE-469F-4A06-9673-00FA31A07284}"/>
    <cellStyle name="Calculation 2 6" xfId="5640" xr:uid="{331CCC9E-2E7F-4A35-B28B-6325E8146C7E}"/>
    <cellStyle name="Calculation 2 7" xfId="5638" xr:uid="{79F64AC6-19E1-4DF3-BED6-7D30D7980A6D}"/>
    <cellStyle name="Calculation 2 8" xfId="9630" xr:uid="{DAB1068D-11BF-404E-9999-952DC9157526}"/>
    <cellStyle name="Check Cell 2" xfId="805" xr:uid="{5BD4B86C-AF84-475B-9A07-E59FFDDE47E0}"/>
    <cellStyle name="Check Cell 2 2" xfId="804" xr:uid="{814FF356-761A-4A83-AD8F-533197B82BCA}"/>
    <cellStyle name="Comma" xfId="72" builtinId="3"/>
    <cellStyle name="Comma 10" xfId="90" xr:uid="{1C6B6D01-8BB4-4A50-81BE-9226E0C167CA}"/>
    <cellStyle name="Comma 10 10" xfId="5485" xr:uid="{8194D95B-D14B-4A61-B41D-1C2B3837A0E1}"/>
    <cellStyle name="Comma 10 10 2" xfId="9615" xr:uid="{7777F7C9-FD35-4685-BFF9-ABE5A367879D}"/>
    <cellStyle name="Comma 10 11" xfId="5673" xr:uid="{6C8AFF3C-AA47-4A51-ADDF-DC17811D028B}"/>
    <cellStyle name="Comma 10 2" xfId="970" xr:uid="{CFD0AE64-FD8C-4075-93FE-FC0541A8C9E7}"/>
    <cellStyle name="Comma 10 2 2" xfId="1218" xr:uid="{15293307-A9B0-4C10-8762-BE8EDD9729E5}"/>
    <cellStyle name="Comma 10 2 2 2" xfId="933" xr:uid="{E440D898-89E1-4817-9CD3-6F81EE87BD2A}"/>
    <cellStyle name="Comma 10 2 2 2 2" xfId="803" xr:uid="{96EE5136-704F-4AF3-A3B3-1994D375FAEA}"/>
    <cellStyle name="Comma 10 2 2 2 2 2" xfId="3080" xr:uid="{7F9A96FE-3460-460E-AB22-B5E5BA3A0E94}"/>
    <cellStyle name="Comma 10 2 2 2 2 2 2" xfId="7283" xr:uid="{D5095BE5-D937-4171-802F-4FE9486F8181}"/>
    <cellStyle name="Comma 10 2 2 2 2 3" xfId="4395" xr:uid="{CC80F887-38A0-4A04-A55E-366331A03AF9}"/>
    <cellStyle name="Comma 10 2 2 2 2 3 2" xfId="8580" xr:uid="{03B53530-E83A-4A34-9EF6-1DB3D25FDFC8}"/>
    <cellStyle name="Comma 10 2 2 2 2 4" xfId="5964" xr:uid="{A99511BE-4C21-4868-A671-298ABE09C85C}"/>
    <cellStyle name="Comma 10 2 2 2 3" xfId="3159" xr:uid="{99E7D798-0233-40A3-AA1B-BEA6605FF8A5}"/>
    <cellStyle name="Comma 10 2 2 2 3 2" xfId="7360" xr:uid="{A3E07591-4B33-4706-8BC9-EACA85BC2C13}"/>
    <cellStyle name="Comma 10 2 2 2 4" xfId="4475" xr:uid="{0F465868-24A7-44FE-B521-B9C3B42A7499}"/>
    <cellStyle name="Comma 10 2 2 2 4 2" xfId="8658" xr:uid="{BACA764C-2A9D-4A07-B1BA-312064765C6B}"/>
    <cellStyle name="Comma 10 2 2 2 5" xfId="6043" xr:uid="{104585C2-DE5A-4D77-8189-551FE153C13D}"/>
    <cellStyle name="Comma 10 2 2 3" xfId="932" xr:uid="{7C0EA6E9-EE82-4604-9AF1-5A80894363CE}"/>
    <cellStyle name="Comma 10 2 2 3 2" xfId="3158" xr:uid="{F3587026-452E-4C7B-8657-A8220D029726}"/>
    <cellStyle name="Comma 10 2 2 3 2 2" xfId="7359" xr:uid="{931D684D-4670-4E04-A5F8-EDD50DBCF8F5}"/>
    <cellStyle name="Comma 10 2 2 3 3" xfId="4474" xr:uid="{112C460D-C7A5-4A48-86EE-12979D4E881E}"/>
    <cellStyle name="Comma 10 2 2 3 3 2" xfId="8657" xr:uid="{568D7EC9-FF20-4171-BE85-6ED252DD5796}"/>
    <cellStyle name="Comma 10 2 2 3 4" xfId="6042" xr:uid="{A06256D3-902F-4C2C-977B-D7F0CBC0BB4F}"/>
    <cellStyle name="Comma 10 2 2 4" xfId="931" xr:uid="{70D043DF-E365-4442-B209-B86AD6DD369F}"/>
    <cellStyle name="Comma 10 2 2 4 2" xfId="3157" xr:uid="{A9B93D07-0D7F-490C-8732-78F516CBD99A}"/>
    <cellStyle name="Comma 10 2 2 4 2 2" xfId="7358" xr:uid="{262E3DD7-016E-47A3-BED6-4EBC4D809287}"/>
    <cellStyle name="Comma 10 2 2 4 3" xfId="4473" xr:uid="{7023F095-E821-4C94-A906-262DF442E876}"/>
    <cellStyle name="Comma 10 2 2 4 3 2" xfId="8656" xr:uid="{76325E80-8DF3-4FDE-B482-8F19B4B165BD}"/>
    <cellStyle name="Comma 10 2 2 4 4" xfId="6041" xr:uid="{3A40D33E-9B79-45FC-9914-6F9DA66D5AD2}"/>
    <cellStyle name="Comma 10 2 2 5" xfId="3411" xr:uid="{D884A8BE-35F2-4D23-A5AA-E76DA752B552}"/>
    <cellStyle name="Comma 10 2 2 5 2" xfId="7608" xr:uid="{008B0856-CA68-4396-BC98-D713C4A30D1F}"/>
    <cellStyle name="Comma 10 2 2 6" xfId="4729" xr:uid="{0A9A16F9-7FE0-4E04-9D7F-A0BCEB697855}"/>
    <cellStyle name="Comma 10 2 2 6 2" xfId="8908" xr:uid="{DF0A401E-5CB7-4332-9461-DB87FA16E32F}"/>
    <cellStyle name="Comma 10 2 2 7" xfId="6293" xr:uid="{9E9B7F6A-7D22-42D6-866E-2C5B57271384}"/>
    <cellStyle name="Comma 10 2 3" xfId="966" xr:uid="{4E047D0A-F3CE-456E-A478-1686C0986AE4}"/>
    <cellStyle name="Comma 10 2 3 2" xfId="863" xr:uid="{4A6E9ED9-4DDC-45CE-B5C6-3273BA59F531}"/>
    <cellStyle name="Comma 10 2 3 2 2" xfId="3105" xr:uid="{E127106A-5536-4DC0-91EC-280A71813FD2}"/>
    <cellStyle name="Comma 10 2 3 2 2 2" xfId="7306" xr:uid="{FFE28F07-A17D-4226-8F76-0D99133E210E}"/>
    <cellStyle name="Comma 10 2 3 2 3" xfId="4420" xr:uid="{F9C47C67-D06C-4F27-9840-CF044882CB22}"/>
    <cellStyle name="Comma 10 2 3 2 3 2" xfId="8603" xr:uid="{D4BF55A1-D9F2-466E-9595-C2D139574CCB}"/>
    <cellStyle name="Comma 10 2 3 2 4" xfId="5987" xr:uid="{ED62933B-44CE-43FB-A40B-D02C039AC81D}"/>
    <cellStyle name="Comma 10 2 3 3" xfId="3178" xr:uid="{6D294587-705F-471D-BBCC-7AE56566B623}"/>
    <cellStyle name="Comma 10 2 3 3 2" xfId="7379" xr:uid="{0ABFABD9-DA1E-43BD-A492-B185EED38171}"/>
    <cellStyle name="Comma 10 2 3 4" xfId="4495" xr:uid="{26733914-3F92-4FF7-8501-2CF0603A08CE}"/>
    <cellStyle name="Comma 10 2 3 4 2" xfId="8678" xr:uid="{322C82E3-8AC0-4FDF-BF84-BE85C61BF432}"/>
    <cellStyle name="Comma 10 2 3 5" xfId="6063" xr:uid="{7A2CDED6-3F82-4DDA-8D84-158F6E2E9C99}"/>
    <cellStyle name="Comma 10 2 4" xfId="1288" xr:uid="{DF805A0E-BA50-4739-A395-BD897574A470}"/>
    <cellStyle name="Comma 10 2 4 2" xfId="3479" xr:uid="{A1341B44-EEA7-4A13-B9C6-927370AB1E0F}"/>
    <cellStyle name="Comma 10 2 4 2 2" xfId="7676" xr:uid="{C07274B9-992B-44EC-BD87-494077D0F400}"/>
    <cellStyle name="Comma 10 2 4 3" xfId="4797" xr:uid="{9AA1806A-AB5B-4349-98B1-AF24E4853659}"/>
    <cellStyle name="Comma 10 2 4 3 2" xfId="8976" xr:uid="{AD2DD68E-8427-4D59-91D5-29A0963010A5}"/>
    <cellStyle name="Comma 10 2 4 4" xfId="6361" xr:uid="{D3BEC1F3-E04C-4785-8B5D-BB999E69EBBC}"/>
    <cellStyle name="Comma 10 2 5" xfId="940" xr:uid="{A36330C9-5FEF-43E0-BB9D-6AF98A218EDB}"/>
    <cellStyle name="Comma 10 2 5 2" xfId="3162" xr:uid="{D173F954-D8AC-47FB-A8D4-44D734946A04}"/>
    <cellStyle name="Comma 10 2 5 2 2" xfId="7363" xr:uid="{E7E814E3-5A33-4B49-A834-8672D2A99B5D}"/>
    <cellStyle name="Comma 10 2 5 3" xfId="4478" xr:uid="{9AECAE64-7F30-4E9C-A17B-47319E1BB8F2}"/>
    <cellStyle name="Comma 10 2 5 3 2" xfId="8661" xr:uid="{51D8DA29-12A4-46CD-9135-B5DDF4FF6201}"/>
    <cellStyle name="Comma 10 2 5 4" xfId="6046" xr:uid="{D767258F-759E-412F-AED3-5193D233ACD9}"/>
    <cellStyle name="Comma 10 2 6" xfId="2637" xr:uid="{A5916F89-01A7-4810-BC04-9D644DA9B8AD}"/>
    <cellStyle name="Comma 10 2 6 2" xfId="3985" xr:uid="{A5BD39AE-C753-40F4-95D3-76B632BFF7BD}"/>
    <cellStyle name="Comma 10 2 6 2 2" xfId="8174" xr:uid="{12EB1919-EF18-41E7-AA6C-CDFF46BCEDF0}"/>
    <cellStyle name="Comma 10 2 6 3" xfId="5306" xr:uid="{5AB8ED53-80E0-406B-8E32-9522E15F3762}"/>
    <cellStyle name="Comma 10 2 6 3 2" xfId="9477" xr:uid="{D13FC6AE-CB09-4E44-953D-3E4B476EA987}"/>
    <cellStyle name="Comma 10 2 6 4" xfId="6867" xr:uid="{0D5CBA5F-9EBD-4327-B7B0-DF087D507801}"/>
    <cellStyle name="Comma 10 2 7" xfId="3180" xr:uid="{8BE04E70-F73D-4A08-A5B9-D2B23BB11030}"/>
    <cellStyle name="Comma 10 2 7 2" xfId="7381" xr:uid="{AE3B2ECB-A644-4AE3-981A-BD6328BBE489}"/>
    <cellStyle name="Comma 10 2 8" xfId="4497" xr:uid="{B0888094-23E1-4FA7-837C-4E12BE5DC723}"/>
    <cellStyle name="Comma 10 2 8 2" xfId="8680" xr:uid="{7540E4D3-CA4C-4BCA-9DFD-B3D576631F32}"/>
    <cellStyle name="Comma 10 2 9" xfId="6065" xr:uid="{3CD65881-DB20-497C-A2D3-FE418535E2DA}"/>
    <cellStyle name="Comma 10 3" xfId="1043" xr:uid="{F2C2F9D6-55A6-4B7E-B116-7DE2B5AA2133}"/>
    <cellStyle name="Comma 10 3 2" xfId="1284" xr:uid="{DD34E683-3ADC-4C89-A624-7314FFD4541A}"/>
    <cellStyle name="Comma 10 3 2 2" xfId="1359" xr:uid="{F615A5D2-9D5A-4ADE-9F73-3B8E37B9DE73}"/>
    <cellStyle name="Comma 10 3 2 2 2" xfId="3515" xr:uid="{566A8948-0F48-457D-900C-C14DF78E04A0}"/>
    <cellStyle name="Comma 10 3 2 2 2 2" xfId="7712" xr:uid="{85336960-7F1D-45D3-BD2E-FAB585D800BC}"/>
    <cellStyle name="Comma 10 3 2 2 3" xfId="4835" xr:uid="{212FB2EE-124F-464F-907D-4CDBB5BA2079}"/>
    <cellStyle name="Comma 10 3 2 2 3 2" xfId="9014" xr:uid="{6FF80FBA-3AA9-4103-A336-C61C8557DC0B}"/>
    <cellStyle name="Comma 10 3 2 2 4" xfId="6399" xr:uid="{B7F02B52-8B0E-4DBE-BF74-F0D90A1A0A33}"/>
    <cellStyle name="Comma 10 3 2 3" xfId="685" xr:uid="{99D29B83-83E7-44FE-B693-DF4991F34E5E}"/>
    <cellStyle name="Comma 10 3 2 3 2" xfId="2985" xr:uid="{B25A821E-3A11-4B31-AF90-691D99406EAC}"/>
    <cellStyle name="Comma 10 3 2 3 2 2" xfId="7188" xr:uid="{3EE44439-6580-4D2C-999C-6DF656334666}"/>
    <cellStyle name="Comma 10 3 2 3 3" xfId="4298" xr:uid="{580D78A6-D62D-47FE-84E7-C9BCEF609EE7}"/>
    <cellStyle name="Comma 10 3 2 3 3 2" xfId="8483" xr:uid="{90EDD8CD-7946-4D2E-B2E9-9A19914E9F78}"/>
    <cellStyle name="Comma 10 3 2 3 4" xfId="5867" xr:uid="{C7D65DB6-F249-4165-B2C9-D6967B44C3C1}"/>
    <cellStyle name="Comma 10 3 2 4" xfId="3477" xr:uid="{B8E793F3-361D-482C-9824-4268B5F5FEE1}"/>
    <cellStyle name="Comma 10 3 2 4 2" xfId="7674" xr:uid="{800A4D96-8C0E-42A6-8DE7-356B89A71B66}"/>
    <cellStyle name="Comma 10 3 2 5" xfId="4795" xr:uid="{E1C96DB7-DD19-4F34-A1E5-352C589E893F}"/>
    <cellStyle name="Comma 10 3 2 5 2" xfId="8974" xr:uid="{436539FB-2135-4178-93C3-975797017D0F}"/>
    <cellStyle name="Comma 10 3 2 6" xfId="6359" xr:uid="{3EB9CD47-0E3B-4AB8-AF8D-E3C37BBFE53A}"/>
    <cellStyle name="Comma 10 3 3" xfId="801" xr:uid="{B19FB215-E283-4650-B991-ABE613E8F07E}"/>
    <cellStyle name="Comma 10 3 3 2" xfId="3078" xr:uid="{06BD5515-C41F-44FA-8892-CA14E44C0838}"/>
    <cellStyle name="Comma 10 3 3 2 2" xfId="7281" xr:uid="{67805493-0D72-4923-8D7F-9752D1356F85}"/>
    <cellStyle name="Comma 10 3 3 3" xfId="4393" xr:uid="{C52B33BC-45D1-40F6-897C-3768EAC9A518}"/>
    <cellStyle name="Comma 10 3 3 3 2" xfId="8578" xr:uid="{E8E47B2E-884C-4E26-A853-9A1A9F672B44}"/>
    <cellStyle name="Comma 10 3 3 4" xfId="5962" xr:uid="{B0BACC6C-07CA-4516-ABB7-230BB053E18C}"/>
    <cellStyle name="Comma 10 3 4" xfId="802" xr:uid="{5A72E31D-9885-40CF-9DBA-980C0F61C911}"/>
    <cellStyle name="Comma 10 3 4 2" xfId="3079" xr:uid="{0B025DDA-D19D-44E9-8B19-0D8BC2FAA6EB}"/>
    <cellStyle name="Comma 10 3 4 2 2" xfId="7282" xr:uid="{32BA3E94-3659-44E3-A118-9F663685B54A}"/>
    <cellStyle name="Comma 10 3 4 3" xfId="4394" xr:uid="{969C6A93-F028-4507-99A2-67EFB7077182}"/>
    <cellStyle name="Comma 10 3 4 3 2" xfId="8579" xr:uid="{0D5C0CA0-5670-4508-A14D-D529CC63B20F}"/>
    <cellStyle name="Comma 10 3 4 4" xfId="5963" xr:uid="{8910B16A-FAE8-48F5-8B69-BB226580D10C}"/>
    <cellStyle name="Comma 10 3 5" xfId="3251" xr:uid="{10172B0F-1479-4090-A304-E2A6D98C2235}"/>
    <cellStyle name="Comma 10 3 5 2" xfId="7452" xr:uid="{E6AA593A-751C-4B7D-9B22-A010CC9B7D05}"/>
    <cellStyle name="Comma 10 3 6" xfId="4568" xr:uid="{C75B9045-220F-4A0F-A7BB-0A3571F4F348}"/>
    <cellStyle name="Comma 10 3 6 2" xfId="8751" xr:uid="{AA765A9F-0EB2-4F65-B8D1-DF5E141118D6}"/>
    <cellStyle name="Comma 10 3 7" xfId="6136" xr:uid="{926D8359-4BB5-4F4D-981B-31E80C0F5E1B}"/>
    <cellStyle name="Comma 10 4" xfId="1152" xr:uid="{1E166A75-DEDE-443C-ACBB-01076A51B608}"/>
    <cellStyle name="Comma 10 4 2" xfId="1330" xr:uid="{7BAA345D-7487-442B-B532-6AED5DD5FFAD}"/>
    <cellStyle name="Comma 10 4 2 2" xfId="3504" xr:uid="{87C29FC4-2319-4AAB-9FB0-E9657B99C8EE}"/>
    <cellStyle name="Comma 10 4 2 2 2" xfId="7701" xr:uid="{56734344-8A08-4995-9A6A-30769AC1F7F4}"/>
    <cellStyle name="Comma 10 4 2 3" xfId="4823" xr:uid="{3A532191-C9D0-455C-A942-DE2BBD2F458A}"/>
    <cellStyle name="Comma 10 4 2 3 2" xfId="9002" xr:uid="{85081A8F-4122-4E43-A526-347682E26E1E}"/>
    <cellStyle name="Comma 10 4 2 4" xfId="6387" xr:uid="{99C58409-A341-4244-846B-50065CB7E3A0}"/>
    <cellStyle name="Comma 10 4 3" xfId="930" xr:uid="{713D8F1D-F99C-45C3-8FBA-FD62144227AF}"/>
    <cellStyle name="Comma 10 4 3 2" xfId="3156" xr:uid="{C1256010-1018-4283-9736-9E8EB95DEC53}"/>
    <cellStyle name="Comma 10 4 3 2 2" xfId="7357" xr:uid="{1F1BF289-5C35-4B2A-88B8-4D6DA54ECBF7}"/>
    <cellStyle name="Comma 10 4 3 3" xfId="4472" xr:uid="{86F3289F-747A-4B48-82BE-D2CD692AF7C4}"/>
    <cellStyle name="Comma 10 4 3 3 2" xfId="8655" xr:uid="{A8F7FDB3-2543-4AE5-AE04-5EB8C0488E45}"/>
    <cellStyle name="Comma 10 4 3 4" xfId="6040" xr:uid="{0FFDBE4A-DBB7-4CDE-888B-367090508004}"/>
    <cellStyle name="Comma 10 4 4" xfId="3345" xr:uid="{4699EEDE-6564-4FCC-9E66-173E72C3F279}"/>
    <cellStyle name="Comma 10 4 4 2" xfId="7542" xr:uid="{B687A957-5EDC-4449-8C0E-985D20C830A5}"/>
    <cellStyle name="Comma 10 4 5" xfId="4663" xr:uid="{D0FA9BDA-37D3-4B48-89E9-94D1EA5487C3}"/>
    <cellStyle name="Comma 10 4 5 2" xfId="8842" xr:uid="{E81010E5-2AF6-4A57-A17E-E8081647B4AB}"/>
    <cellStyle name="Comma 10 4 6" xfId="6227" xr:uid="{A20CB4B0-A6B6-48E2-9741-FE7E59A79F8A}"/>
    <cellStyle name="Comma 10 5" xfId="800" xr:uid="{1C4FBDA8-91C8-432B-9FAF-A49FC425FB2F}"/>
    <cellStyle name="Comma 10 5 2" xfId="3077" xr:uid="{5890803E-63C8-4FDF-91ED-E3ABD3570431}"/>
    <cellStyle name="Comma 10 5 2 2" xfId="7280" xr:uid="{A9EF4B5C-E27A-428A-9B1B-D9A8DBF610F3}"/>
    <cellStyle name="Comma 10 5 3" xfId="4392" xr:uid="{9199FE8B-D5CE-4043-BDCC-F02994A6AC3A}"/>
    <cellStyle name="Comma 10 5 3 2" xfId="8577" xr:uid="{93D4170D-C747-4384-87A8-0CE46FFD3ECB}"/>
    <cellStyle name="Comma 10 5 4" xfId="5961" xr:uid="{5AA48B6F-EB4F-426D-9031-67D2FD480A32}"/>
    <cellStyle name="Comma 10 6" xfId="727" xr:uid="{D2FC75BF-767C-4E58-8006-571209CEE3CE}"/>
    <cellStyle name="Comma 10 6 2" xfId="3011" xr:uid="{9B25AB87-3DD0-4B3B-B281-9AA38AF3788C}"/>
    <cellStyle name="Comma 10 6 2 2" xfId="7214" xr:uid="{7164AFBE-9869-452F-8DEC-F453F968E793}"/>
    <cellStyle name="Comma 10 6 3" xfId="4326" xr:uid="{1305E947-E669-4ADD-86DC-3062257D598E}"/>
    <cellStyle name="Comma 10 6 3 2" xfId="8511" xr:uid="{676BDB98-D9F6-4E43-941B-AB97D30C6ABB}"/>
    <cellStyle name="Comma 10 6 4" xfId="5895" xr:uid="{1E0CFE2A-420A-4477-A899-099856251228}"/>
    <cellStyle name="Comma 10 7" xfId="2391" xr:uid="{7E94A185-B86D-4A69-BC5F-6A55BB39F8BF}"/>
    <cellStyle name="Comma 10 7 2" xfId="3745" xr:uid="{E37691B3-9831-4202-89E2-5887E42C3BE5}"/>
    <cellStyle name="Comma 10 7 2 2" xfId="7934" xr:uid="{B0E63E0F-448E-4167-A70D-09B99926AD49}"/>
    <cellStyle name="Comma 10 7 3" xfId="5066" xr:uid="{1CBE8939-B0A2-40F9-9C6D-2991AA02F991}"/>
    <cellStyle name="Comma 10 7 3 2" xfId="9237" xr:uid="{738A62FD-D9C2-49B7-A41B-FF66C8D3013B}"/>
    <cellStyle name="Comma 10 7 4" xfId="6627" xr:uid="{73527A3A-4ADE-4C5D-A14F-DFFE9EA1F978}"/>
    <cellStyle name="Comma 10 8" xfId="2794" xr:uid="{A87CD5BB-637F-4C02-A904-681C121C3FD1}"/>
    <cellStyle name="Comma 10 8 2" xfId="7005" xr:uid="{A46B7808-9AEC-4E9B-B76F-22296829ABEC}"/>
    <cellStyle name="Comma 10 9" xfId="4102" xr:uid="{E7F4B1B0-0CC6-4C37-9B12-0F6646ED3F59}"/>
    <cellStyle name="Comma 10 9 2" xfId="8291" xr:uid="{FDF1F524-6B86-4035-897E-37D1E3386491}"/>
    <cellStyle name="Comma 11" xfId="700" xr:uid="{E4CB031C-4338-444A-8A45-69E08C434773}"/>
    <cellStyle name="Comma 11 2" xfId="799" xr:uid="{D0078BF5-AD8D-4EC4-BB8A-820D5A322075}"/>
    <cellStyle name="Comma 11 2 2" xfId="2668" xr:uid="{8B08CE46-AAE9-4D1C-83CC-888FE8678532}"/>
    <cellStyle name="Comma 11 2 2 2" xfId="4016" xr:uid="{89C96E6F-F6A5-4A75-BE97-BDA5F96B103D}"/>
    <cellStyle name="Comma 11 2 2 2 2" xfId="8205" xr:uid="{675E0B8D-ECB9-4CE0-AFFF-F505A70E292F}"/>
    <cellStyle name="Comma 11 2 2 3" xfId="5337" xr:uid="{1C6AA39A-7158-46F6-9F79-FCA8C751C6C7}"/>
    <cellStyle name="Comma 11 2 2 3 2" xfId="9508" xr:uid="{C383F7D8-9C70-4471-8936-3C1E4D1DCC00}"/>
    <cellStyle name="Comma 11 2 2 4" xfId="6898" xr:uid="{07850A92-E94B-4757-A346-2B922FE136ED}"/>
    <cellStyle name="Comma 11 2 3" xfId="3076" xr:uid="{77914630-D778-4C23-876C-ABE88ACBEB2F}"/>
    <cellStyle name="Comma 11 2 3 2" xfId="7279" xr:uid="{3BF9EC7C-3273-421C-99BB-62A6AC1ED519}"/>
    <cellStyle name="Comma 11 2 4" xfId="4391" xr:uid="{1B8A85D0-4F2F-47D2-95ED-C8D4C2154DE7}"/>
    <cellStyle name="Comma 11 2 4 2" xfId="8576" xr:uid="{A11D4F68-522E-4F72-852C-4DF6FECE1916}"/>
    <cellStyle name="Comma 11 2 5" xfId="5960" xr:uid="{D06F7846-B9EB-4136-B4C0-772F350E3757}"/>
    <cellStyle name="Comma 11 3" xfId="2428" xr:uid="{4C877323-5BA9-4D19-B201-180E941E624F}"/>
    <cellStyle name="Comma 11 3 2" xfId="3776" xr:uid="{0C183DBD-A26B-44B6-B704-6F3F100D3E07}"/>
    <cellStyle name="Comma 11 3 2 2" xfId="7965" xr:uid="{69FB8B0B-1977-4068-B032-6BF2A31BA283}"/>
    <cellStyle name="Comma 11 3 3" xfId="5097" xr:uid="{CDAB99B7-D800-4ACC-806A-B5ED2B7D2EE5}"/>
    <cellStyle name="Comma 11 3 3 2" xfId="9268" xr:uid="{99F2F409-D1DE-47ED-9957-47E8CF1AC0A7}"/>
    <cellStyle name="Comma 11 3 4" xfId="6658" xr:uid="{9EF55494-15B2-4D2B-85A6-031BBDBB66F6}"/>
    <cellStyle name="Comma 11 4" xfId="2997" xr:uid="{FF38AE6F-08A9-4AC7-960C-7F1C2D6A8432}"/>
    <cellStyle name="Comma 11 4 2" xfId="7200" xr:uid="{D5F4BE7B-47AB-4148-BBE3-FCB2421A0453}"/>
    <cellStyle name="Comma 11 5" xfId="4311" xr:uid="{BA7E5905-41AD-47FD-8AA7-0FA5F8C00E3C}"/>
    <cellStyle name="Comma 11 5 2" xfId="8496" xr:uid="{DE6C4C08-2502-4BCC-80B4-C3FBF6640E2B}"/>
    <cellStyle name="Comma 11 6" xfId="5880" xr:uid="{7765B60A-BBC4-407E-9A02-F62D632383E5}"/>
    <cellStyle name="Comma 12" xfId="1045" xr:uid="{759B680D-C50A-4402-BA94-6214F61B6FC2}"/>
    <cellStyle name="Comma 12 2" xfId="798" xr:uid="{B21E9019-832A-465A-AAD0-32F3B4E0A0F3}"/>
    <cellStyle name="Comma 12 2 2" xfId="797" xr:uid="{1A46B9ED-CEBE-4109-ACD9-82B30208FDD4}"/>
    <cellStyle name="Comma 12 2 2 2" xfId="1306" xr:uid="{12DDEC6A-6459-456F-A099-0B39667931E0}"/>
    <cellStyle name="Comma 12 2 2 2 2" xfId="3485" xr:uid="{CCC2AD58-1FCE-441D-B9A3-8B6AB927DF2C}"/>
    <cellStyle name="Comma 12 2 2 2 2 2" xfId="7682" xr:uid="{1593265B-D7F6-44E4-8968-E152F6469E47}"/>
    <cellStyle name="Comma 12 2 2 2 3" xfId="4804" xr:uid="{AD1BFFC2-1C23-4637-B0FA-8A17F4C4537B}"/>
    <cellStyle name="Comma 12 2 2 2 3 2" xfId="8983" xr:uid="{EB0FCAB4-0772-4AF7-B1EF-F3A123C9CA16}"/>
    <cellStyle name="Comma 12 2 2 2 4" xfId="6368" xr:uid="{9030337D-5AB5-4217-A943-0DC6CF71CC58}"/>
    <cellStyle name="Comma 12 2 2 3" xfId="3074" xr:uid="{7BC6A68C-3D90-4D3C-8A2E-7F289B83977C}"/>
    <cellStyle name="Comma 12 2 2 3 2" xfId="7277" xr:uid="{7D84DCBD-B9F3-42B8-9477-86795C6206AD}"/>
    <cellStyle name="Comma 12 2 2 4" xfId="4389" xr:uid="{F99D72EE-CE93-4E23-9842-E76C3CC91CA0}"/>
    <cellStyle name="Comma 12 2 2 4 2" xfId="8574" xr:uid="{1F0AC4BB-021E-4011-96AC-A2FF540B2819}"/>
    <cellStyle name="Comma 12 2 2 5" xfId="5958" xr:uid="{C43E4AB7-2F6C-4BBD-9C6B-A11763EFD8DE}"/>
    <cellStyle name="Comma 12 2 3" xfId="929" xr:uid="{356B56B4-AE14-447C-83BE-70537C4E7307}"/>
    <cellStyle name="Comma 12 2 3 2" xfId="3155" xr:uid="{52AE347A-2702-4A2E-B545-C4D91C2C3805}"/>
    <cellStyle name="Comma 12 2 3 2 2" xfId="7356" xr:uid="{DB41DFC2-0D9B-444E-888F-494B00D7F806}"/>
    <cellStyle name="Comma 12 2 3 3" xfId="4471" xr:uid="{977D8610-84CD-4FE7-B3F3-53E55269BD6F}"/>
    <cellStyle name="Comma 12 2 3 3 2" xfId="8654" xr:uid="{2D217F33-2C26-4681-95DC-DF4E2772C306}"/>
    <cellStyle name="Comma 12 2 3 4" xfId="6039" xr:uid="{CED7AD68-DD8B-4B24-9BC4-0282934ECFB7}"/>
    <cellStyle name="Comma 12 2 4" xfId="3075" xr:uid="{07041F76-94F6-42A0-A1E6-2C7843D8AD82}"/>
    <cellStyle name="Comma 12 2 4 2" xfId="7278" xr:uid="{95BF7ABD-B420-449B-B64C-4A766A8792C3}"/>
    <cellStyle name="Comma 12 2 5" xfId="4390" xr:uid="{8FC07E02-C929-430D-B460-5BF4D90894AE}"/>
    <cellStyle name="Comma 12 2 5 2" xfId="8575" xr:uid="{CFA65E78-0956-4287-9FC6-B6D161287153}"/>
    <cellStyle name="Comma 12 2 6" xfId="5959" xr:uid="{DF5F12D6-27D4-4F20-B992-2D0F84317A43}"/>
    <cellStyle name="Comma 12 3" xfId="736" xr:uid="{C364E2C6-8A9F-42E9-A51C-2FB62E518E3B}"/>
    <cellStyle name="Comma 12 3 2" xfId="878" xr:uid="{42F2DC2E-9BC8-40C7-AAF4-52729C661FE2}"/>
    <cellStyle name="Comma 12 3 2 2" xfId="3113" xr:uid="{1DDB77DD-A820-4280-99E7-1EAD8EB61E2A}"/>
    <cellStyle name="Comma 12 3 2 2 2" xfId="7314" xr:uid="{3DA1BED2-741C-4B5C-867D-BBED60B1A169}"/>
    <cellStyle name="Comma 12 3 2 3" xfId="4428" xr:uid="{32B42FEF-0A40-42DF-8526-6EDFF27BEE7D}"/>
    <cellStyle name="Comma 12 3 2 3 2" xfId="8611" xr:uid="{39F55A3A-A6BF-46CA-94E5-AC97E32BC25A}"/>
    <cellStyle name="Comma 12 3 2 4" xfId="5995" xr:uid="{0E4F47D4-8CB6-422E-B7C7-9A7AD5B062F7}"/>
    <cellStyle name="Comma 12 3 3" xfId="3018" xr:uid="{71EA7DE7-F202-42FC-B373-810E571402CF}"/>
    <cellStyle name="Comma 12 3 3 2" xfId="7221" xr:uid="{06192D63-E74F-42DE-AE09-496F363ADCF7}"/>
    <cellStyle name="Comma 12 3 4" xfId="4333" xr:uid="{AD6CA90F-F13F-4225-9CAF-0BDC11CAF725}"/>
    <cellStyle name="Comma 12 3 4 2" xfId="8518" xr:uid="{2C851C56-3CF2-4D46-A60A-9E63049C694F}"/>
    <cellStyle name="Comma 12 3 5" xfId="5902" xr:uid="{E27C02C2-FA6E-455D-BCA0-9FDAA0B9ABC3}"/>
    <cellStyle name="Comma 12 4" xfId="796" xr:uid="{D90CCD40-E053-4F89-B265-1F3E09EA4DF4}"/>
    <cellStyle name="Comma 12 4 2" xfId="3073" xr:uid="{AAF1BD74-1440-4674-8BB4-1C5635454039}"/>
    <cellStyle name="Comma 12 4 2 2" xfId="7276" xr:uid="{3F41ADDB-39FB-44C9-AE9A-22C95495CF2D}"/>
    <cellStyle name="Comma 12 4 3" xfId="4388" xr:uid="{8010E6D1-9E4C-4CFC-9A96-532E3D304015}"/>
    <cellStyle name="Comma 12 4 3 2" xfId="8573" xr:uid="{5F4F67C0-6869-476D-880B-714841603F50}"/>
    <cellStyle name="Comma 12 4 4" xfId="5957" xr:uid="{28A9B15A-B950-4398-8183-9E28989B02DE}"/>
    <cellStyle name="Comma 12 5" xfId="1345" xr:uid="{A7C3C32C-7DAD-4135-927A-7C965AE48FCB}"/>
    <cellStyle name="Comma 12 5 2" xfId="3510" xr:uid="{C1AC2E97-A361-4056-BC1F-FB6E20AFD292}"/>
    <cellStyle name="Comma 12 5 2 2" xfId="7707" xr:uid="{A959A720-5520-4265-8DF2-F33A9698AA1E}"/>
    <cellStyle name="Comma 12 5 3" xfId="4830" xr:uid="{589C64DB-6BAE-478E-9665-CD0AE09DEEAC}"/>
    <cellStyle name="Comma 12 5 3 2" xfId="9009" xr:uid="{90AAD963-0CC3-43F5-8025-4BCD2B8F9F15}"/>
    <cellStyle name="Comma 12 5 4" xfId="6394" xr:uid="{D2D4D34D-ADE4-4579-B6C9-DB8CC786BAED}"/>
    <cellStyle name="Comma 12 6" xfId="2508" xr:uid="{34C5BAAE-56EC-4891-A879-DD2694945496}"/>
    <cellStyle name="Comma 12 6 2" xfId="3856" xr:uid="{547E58F4-DBC6-46C3-8720-1DC3C46EC0EC}"/>
    <cellStyle name="Comma 12 6 2 2" xfId="8045" xr:uid="{FDF4079E-8434-40B8-9316-2D93037CA331}"/>
    <cellStyle name="Comma 12 6 3" xfId="5177" xr:uid="{651D0082-B2CA-4B24-91D9-18255C8587BE}"/>
    <cellStyle name="Comma 12 6 3 2" xfId="9348" xr:uid="{EED05280-BB96-45A9-8289-ADB767ADBC30}"/>
    <cellStyle name="Comma 12 6 4" xfId="6738" xr:uid="{57067EE3-707F-470B-B13F-073B233D94FB}"/>
    <cellStyle name="Comma 12 7" xfId="3253" xr:uid="{3BA31659-7AD1-47AE-8B85-CAB4B9923DBF}"/>
    <cellStyle name="Comma 12 7 2" xfId="7454" xr:uid="{F39DDA04-2B43-4023-8089-34F735D22422}"/>
    <cellStyle name="Comma 12 8" xfId="4570" xr:uid="{F87D78C5-30EC-4473-ABD2-BEEE5F0197E3}"/>
    <cellStyle name="Comma 12 8 2" xfId="8753" xr:uid="{03F8A62B-4313-4B31-A7E5-18BBEE5D6523}"/>
    <cellStyle name="Comma 12 9" xfId="6138" xr:uid="{E0ED94E3-DDA7-401F-A785-2D4E21968288}"/>
    <cellStyle name="Comma 13" xfId="684" xr:uid="{B27C02F8-F0FA-463A-B4DB-6D4AEA0711E4}"/>
    <cellStyle name="Comma 13 2" xfId="795" xr:uid="{23B1D6B9-AAA3-4752-89EE-9CE1E8DF744B}"/>
    <cellStyle name="Comma 13 2 2" xfId="794" xr:uid="{6DDB4C75-C4E9-40A0-B59A-F75E7097609A}"/>
    <cellStyle name="Comma 13 2 2 2" xfId="3071" xr:uid="{DAA5E4B2-5B40-4D2C-A7B7-860E066FE566}"/>
    <cellStyle name="Comma 13 2 2 2 2" xfId="7274" xr:uid="{DBCF8E83-6311-466E-A535-B0EFE0DA8E74}"/>
    <cellStyle name="Comma 13 2 2 3" xfId="4386" xr:uid="{17DB74A5-9728-4445-9E2E-05BD495D300E}"/>
    <cellStyle name="Comma 13 2 2 3 2" xfId="8571" xr:uid="{A8199822-D339-472E-A763-3077DC1C387C}"/>
    <cellStyle name="Comma 13 2 2 4" xfId="5955" xr:uid="{85ABAA6C-5CFD-4ECA-8B78-993B02951601}"/>
    <cellStyle name="Comma 13 2 3" xfId="3072" xr:uid="{EDC69182-3C13-441A-BE31-B7EA15210C22}"/>
    <cellStyle name="Comma 13 2 3 2" xfId="7275" xr:uid="{3B95F78B-CE61-46C6-8BD9-ABAB79F5B744}"/>
    <cellStyle name="Comma 13 2 4" xfId="4387" xr:uid="{2EBF1CA3-3BD0-4FB4-BDD4-B110D00FDD35}"/>
    <cellStyle name="Comma 13 2 4 2" xfId="8572" xr:uid="{BF04F163-52F9-479B-9531-D38B05C70523}"/>
    <cellStyle name="Comma 13 2 5" xfId="5956" xr:uid="{DEF0A82E-A20B-4493-9491-B390174A1BA4}"/>
    <cellStyle name="Comma 13 3" xfId="858" xr:uid="{FB0EF0E9-7422-4C69-8BF1-6FE3E70DD548}"/>
    <cellStyle name="Comma 13 3 2" xfId="3101" xr:uid="{9DED0609-6EBE-4AA4-A7E0-3046471A7232}"/>
    <cellStyle name="Comma 13 3 2 2" xfId="7302" xr:uid="{399A68F2-4339-4491-9CFB-008233001A77}"/>
    <cellStyle name="Comma 13 3 3" xfId="4416" xr:uid="{B1E4C8C1-A10A-4390-8B11-3E38CCB4E9C3}"/>
    <cellStyle name="Comma 13 3 3 2" xfId="8599" xr:uid="{F7C97B94-D63E-42E8-A085-B17DFB3361C9}"/>
    <cellStyle name="Comma 13 3 4" xfId="5983" xr:uid="{F1524615-290B-4537-B23B-66FFA4811559}"/>
    <cellStyle name="Comma 13 4" xfId="2235" xr:uid="{4C5C49FD-FB4D-4FA0-925A-21AA493E8575}"/>
    <cellStyle name="Comma 13 4 2" xfId="3616" xr:uid="{45F9F523-F03B-4394-A523-6AF07A5729FF}"/>
    <cellStyle name="Comma 13 4 2 2" xfId="7805" xr:uid="{90117EB2-A324-4CAA-A0DC-B9E6B5F8F24D}"/>
    <cellStyle name="Comma 13 4 3" xfId="4937" xr:uid="{245EA196-24B8-4E8E-9521-F8E06FD910EB}"/>
    <cellStyle name="Comma 13 4 3 2" xfId="9108" xr:uid="{D2466964-7C46-43C0-9FC0-F14329893C50}"/>
    <cellStyle name="Comma 13 4 4" xfId="6498" xr:uid="{28C0D31E-B204-4951-B040-E0C214159A79}"/>
    <cellStyle name="Comma 13 5" xfId="2984" xr:uid="{B42D0EAE-CDAF-4234-98AC-A3CA60378ACF}"/>
    <cellStyle name="Comma 13 5 2" xfId="7187" xr:uid="{68B6E996-8EC6-4323-8B77-E80628F05483}"/>
    <cellStyle name="Comma 13 6" xfId="4297" xr:uid="{C33B802D-FEDE-4F50-A335-AA093264A3DF}"/>
    <cellStyle name="Comma 13 6 2" xfId="8482" xr:uid="{8C9F902B-5E2D-486B-A77D-91388C93726D}"/>
    <cellStyle name="Comma 13 7" xfId="5866" xr:uid="{767E6568-C0BD-493B-A830-AF8E56F894E1}"/>
    <cellStyle name="Comma 14" xfId="793" xr:uid="{A3978B3F-C99E-4BE4-9D6A-4BCA75E0DC08}"/>
    <cellStyle name="Comma 14 2" xfId="792" xr:uid="{CF03C794-9F30-487B-B35A-89874C7260B4}"/>
    <cellStyle name="Comma 14 2 2" xfId="791" xr:uid="{FD832226-B5B4-4C82-A017-DC5B8CA74536}"/>
    <cellStyle name="Comma 14 2 2 2" xfId="3068" xr:uid="{CD1EADF2-18BE-4536-A84B-9C80FC560194}"/>
    <cellStyle name="Comma 14 2 2 2 2" xfId="7271" xr:uid="{E0858930-3CF8-4651-B40B-9A21CC67CBE2}"/>
    <cellStyle name="Comma 14 2 2 3" xfId="4383" xr:uid="{9E53305A-591E-4AC6-862A-72D978716978}"/>
    <cellStyle name="Comma 14 2 2 3 2" xfId="8568" xr:uid="{30C71442-6B9D-469F-84FC-A7DFA3EF5FE5}"/>
    <cellStyle name="Comma 14 2 2 4" xfId="5952" xr:uid="{E3DFBF5F-8BB6-4C35-B595-04303628A082}"/>
    <cellStyle name="Comma 14 2 3" xfId="3069" xr:uid="{EE02573F-B6DD-43E9-A4A9-8938806AB825}"/>
    <cellStyle name="Comma 14 2 3 2" xfId="7272" xr:uid="{9653D5F3-D10C-4296-851A-52E4A2EC8454}"/>
    <cellStyle name="Comma 14 2 4" xfId="4384" xr:uid="{D0032D0F-B11F-4B3C-9F46-C5F6423DBE4E}"/>
    <cellStyle name="Comma 14 2 4 2" xfId="8569" xr:uid="{C0E82442-40AC-44B3-BABC-D5BA76932253}"/>
    <cellStyle name="Comma 14 2 5" xfId="5953" xr:uid="{58EDFF19-0AC1-4111-904B-F4CFE6E76B46}"/>
    <cellStyle name="Comma 14 3" xfId="723" xr:uid="{7ACA0312-A0CC-45AF-83A3-989AA6B0C9B3}"/>
    <cellStyle name="Comma 14 3 2" xfId="3009" xr:uid="{48D3BD54-2472-4F58-9709-F93B95B33582}"/>
    <cellStyle name="Comma 14 3 2 2" xfId="7212" xr:uid="{D2EFE944-B05F-4D4A-BC57-21E1A3445444}"/>
    <cellStyle name="Comma 14 3 3" xfId="4324" xr:uid="{8C18CDD8-7DD1-4749-999D-BDF7D8F22A14}"/>
    <cellStyle name="Comma 14 3 3 2" xfId="8509" xr:uid="{08B30C53-2898-4288-B623-1505BBD9BF6A}"/>
    <cellStyle name="Comma 14 3 4" xfId="5893" xr:uid="{04F75023-A6B1-4C16-B379-D1A99A6D2B83}"/>
    <cellStyle name="Comma 14 4" xfId="2090" xr:uid="{592E45AD-1851-45C3-A904-45734D6C8829}"/>
    <cellStyle name="Comma 14 4 2" xfId="3536" xr:uid="{6EBA481E-6D4A-41E6-A3BA-20768FD5B0D4}"/>
    <cellStyle name="Comma 14 4 2 2" xfId="7725" xr:uid="{5E3EE361-08AF-474E-A725-ABF73CD20EDA}"/>
    <cellStyle name="Comma 14 4 3" xfId="4857" xr:uid="{59840677-F115-4CDA-80F3-B0A66C905216}"/>
    <cellStyle name="Comma 14 4 3 2" xfId="9028" xr:uid="{F4260B69-6035-4293-B269-039223AB1772}"/>
    <cellStyle name="Comma 14 4 4" xfId="6418" xr:uid="{A7E1FBAA-B967-43E0-BEB6-33D62693E3FD}"/>
    <cellStyle name="Comma 14 5" xfId="3070" xr:uid="{23FF5DB9-B491-4C5B-8E59-A90B6B8C0131}"/>
    <cellStyle name="Comma 14 5 2" xfId="7273" xr:uid="{D87FFD3D-9A76-4077-9EDB-A6947B8AFD62}"/>
    <cellStyle name="Comma 14 6" xfId="4385" xr:uid="{2A2B20EE-A3C6-4853-9888-278FE1E7C871}"/>
    <cellStyle name="Comma 14 6 2" xfId="8570" xr:uid="{6D050366-1B88-40AC-B95E-6376C5A0CF07}"/>
    <cellStyle name="Comma 14 7" xfId="5954" xr:uid="{A4898934-D6E4-4B9B-8A6B-736848135026}"/>
    <cellStyle name="Comma 15" xfId="2025" xr:uid="{D4B044F1-DD49-4514-97BF-88CE94277B0E}"/>
    <cellStyle name="Comma 15 2" xfId="3535" xr:uid="{1DCCEB8C-6E5C-4215-B165-651C591E28E5}"/>
    <cellStyle name="Comma 15 2 2" xfId="7724" xr:uid="{FB97C596-3E13-463A-BD07-ACCD820099CF}"/>
    <cellStyle name="Comma 15 3" xfId="4856" xr:uid="{A42C73CB-F5A5-4837-B491-BAF2AEAA3892}"/>
    <cellStyle name="Comma 15 3 2" xfId="9027" xr:uid="{3EAC19DF-0359-4EC6-9B0D-84842A911E2E}"/>
    <cellStyle name="Comma 15 4" xfId="6415" xr:uid="{1057D058-14EB-4AB6-9A3D-6C12AFA91C42}"/>
    <cellStyle name="Comma 16" xfId="5417" xr:uid="{952D836E-6EFF-4D99-9737-9A2931B1184E}"/>
    <cellStyle name="Comma 16 2" xfId="9588" xr:uid="{CF160DB8-898D-4DA0-81A3-83DB07F9A7DF}"/>
    <cellStyle name="Comma 17" xfId="4101" xr:uid="{1A33424E-D91C-481B-BDF3-2347E2C7E7CB}"/>
    <cellStyle name="Comma 17 2" xfId="8290" xr:uid="{07B4DE0D-9492-465D-B08F-B59C082D5784}"/>
    <cellStyle name="Comma 18" xfId="61" xr:uid="{90A570C5-55E2-4EDA-A847-67A6A7683A06}"/>
    <cellStyle name="Comma 18 2" xfId="5495" xr:uid="{549C2FFA-7DB0-4276-B0AE-9756BA73FF68}"/>
    <cellStyle name="Comma 18 2 2" xfId="9622" xr:uid="{5F185E6D-0CA5-48DA-874D-1D8C1671AEED}"/>
    <cellStyle name="Comma 18 3" xfId="5469" xr:uid="{0C01F4FD-D79D-4FD6-8F57-F0D5FE9A3ECD}"/>
    <cellStyle name="Comma 18 4" xfId="9603" xr:uid="{1F9FC9D0-2D2C-4482-A114-7D0C5B6A5972}"/>
    <cellStyle name="Comma 19" xfId="5490" xr:uid="{D18C71BC-2ECD-4766-A815-ABB0618B2513}"/>
    <cellStyle name="Comma 2" xfId="92" xr:uid="{D245DC43-2736-4509-9E0C-AEE1803A28D0}"/>
    <cellStyle name="Comma 2 10" xfId="2510" xr:uid="{ED54CF09-54EC-4F3D-8A18-6F6B88715168}"/>
    <cellStyle name="Comma 2 10 2" xfId="3858" xr:uid="{E517803D-958E-4904-95FC-9C66014ADF77}"/>
    <cellStyle name="Comma 2 10 2 2" xfId="8047" xr:uid="{3AF69AC7-EB43-4E79-BDF3-3A8C93CE66F2}"/>
    <cellStyle name="Comma 2 10 3" xfId="5179" xr:uid="{1B543542-B463-462C-8310-7C4FB449BED2}"/>
    <cellStyle name="Comma 2 10 3 2" xfId="9350" xr:uid="{508FF5EF-83FC-4FC0-AB02-97CDA6AB4101}"/>
    <cellStyle name="Comma 2 10 4" xfId="6740" xr:uid="{88944983-4670-4083-87D0-57F675C60E7B}"/>
    <cellStyle name="Comma 2 11" xfId="2264" xr:uid="{63E78F9E-8C58-4705-9171-EC23552F296F}"/>
    <cellStyle name="Comma 2 11 2" xfId="3618" xr:uid="{42AAC861-DBA4-435D-9079-454B22666DDD}"/>
    <cellStyle name="Comma 2 11 2 2" xfId="7807" xr:uid="{5F3A009E-8B11-4523-B902-73D8859B3A09}"/>
    <cellStyle name="Comma 2 11 3" xfId="4939" xr:uid="{C4B02EE9-A9AE-40AC-8AC0-C51180FCEE0B}"/>
    <cellStyle name="Comma 2 11 3 2" xfId="9110" xr:uid="{8EF53B94-E798-4EBC-B944-1687620D0D1D}"/>
    <cellStyle name="Comma 2 11 4" xfId="6500" xr:uid="{CD495194-9F36-475B-893C-73BBAF1E8B0C}"/>
    <cellStyle name="Comma 2 12" xfId="2094" xr:uid="{186E1613-4CBA-413D-A121-853DB9F40924}"/>
    <cellStyle name="Comma 2 12 2" xfId="3537" xr:uid="{577B4654-7254-4EF3-AD8A-DF090D8D7F27}"/>
    <cellStyle name="Comma 2 12 2 2" xfId="7726" xr:uid="{ED2B9C7F-7A5F-4FFF-BB8E-F961023E20B7}"/>
    <cellStyle name="Comma 2 12 3" xfId="4858" xr:uid="{C1CD4151-65BB-4F57-A7A5-ACC8E8B4B15A}"/>
    <cellStyle name="Comma 2 12 3 2" xfId="9029" xr:uid="{CF00CACE-8E2F-41BE-A64B-220F75D50B22}"/>
    <cellStyle name="Comma 2 12 4" xfId="6419" xr:uid="{309E8835-B2CE-4DDE-B9C3-99070C13F472}"/>
    <cellStyle name="Comma 2 13" xfId="2769" xr:uid="{13F9338F-B527-42C6-ADE8-CF8050F3F4BB}"/>
    <cellStyle name="Comma 2 13 2" xfId="6983" xr:uid="{FC1FB10C-6C29-49EF-BCDA-8789706B2248}"/>
    <cellStyle name="Comma 2 14" xfId="2796" xr:uid="{0A0C7C22-B821-414B-B370-3B93C4CC387D}"/>
    <cellStyle name="Comma 2 14 2" xfId="7007" xr:uid="{44D6CA17-29F8-4CC2-AA8F-86F2F131C8F7}"/>
    <cellStyle name="Comma 2 15" xfId="4104" xr:uid="{327356CD-51AF-435A-8D6F-2CE3818E40F1}"/>
    <cellStyle name="Comma 2 15 2" xfId="8293" xr:uid="{C31C342A-C787-43AB-938F-A2046E2BE961}"/>
    <cellStyle name="Comma 2 16" xfId="5458" xr:uid="{E170CD6D-15E5-494B-953F-CCE2C7EBE6A2}"/>
    <cellStyle name="Comma 2 16 2" xfId="9593" xr:uid="{A7418F3B-1284-4554-9DEA-2045B7673B32}"/>
    <cellStyle name="Comma 2 17" xfId="5501" xr:uid="{558851C8-C0B4-4095-ACF6-40A108D8D503}"/>
    <cellStyle name="Comma 2 17 2" xfId="9626" xr:uid="{1B6BD26D-8488-4D74-ABD1-CAFDAD0C74B5}"/>
    <cellStyle name="Comma 2 18" xfId="5675" xr:uid="{43DEC170-FADE-4C94-AC5A-C70BCAEDA91B}"/>
    <cellStyle name="Comma 2 2" xfId="51" xr:uid="{EC06DD3F-C18E-4F5D-851D-C36D1AAD24E1}"/>
    <cellStyle name="Comma 2 2 10" xfId="1832" xr:uid="{F8363D07-B1C3-413D-A276-225BFFEB3B6E}"/>
    <cellStyle name="Comma 2 2 10 2" xfId="2266" xr:uid="{891617EF-E7B5-4F17-A113-93C59C190788}"/>
    <cellStyle name="Comma 2 2 10 2 2" xfId="3620" xr:uid="{708A90B4-1E79-40A5-9CD6-C211C8F19D30}"/>
    <cellStyle name="Comma 2 2 10 2 2 2" xfId="7809" xr:uid="{3446D13F-478A-46AF-9C76-6EAE5DF07266}"/>
    <cellStyle name="Comma 2 2 10 2 3" xfId="4941" xr:uid="{87D5D26F-3A3D-4A73-85DF-B90081CB5657}"/>
    <cellStyle name="Comma 2 2 10 2 3 2" xfId="9112" xr:uid="{38476EFC-5CA8-40B5-9675-C6D6559FD67C}"/>
    <cellStyle name="Comma 2 2 10 2 4" xfId="6502" xr:uid="{B03CFA56-C63F-41E7-9F13-0D2DD0E9861C}"/>
    <cellStyle name="Comma 2 2 10 3" xfId="3530" xr:uid="{EA73DBF8-788D-4133-AFA1-17264B99D7FD}"/>
    <cellStyle name="Comma 2 2 10 3 2" xfId="7719" xr:uid="{0094328D-CD90-4D35-BE36-D766FE5113F9}"/>
    <cellStyle name="Comma 2 2 10 4" xfId="4850" xr:uid="{6CA62CC1-D307-4399-AA2E-CBB986B83523}"/>
    <cellStyle name="Comma 2 2 10 4 2" xfId="9021" xr:uid="{6A3F3374-1BAE-48D5-868D-386D59E2CD8F}"/>
    <cellStyle name="Comma 2 2 10 5" xfId="6407" xr:uid="{38637F48-E1F7-4CE0-BA7E-730792EBCE18}"/>
    <cellStyle name="Comma 2 2 11" xfId="2096" xr:uid="{E1D93BA9-60DB-4C71-8B74-1436D3959B90}"/>
    <cellStyle name="Comma 2 2 11 2" xfId="3539" xr:uid="{4B192367-8353-4F12-BE8E-4B0F1AF87BE3}"/>
    <cellStyle name="Comma 2 2 11 2 2" xfId="7728" xr:uid="{027CB6FA-A25C-4714-91F7-A1AB73A8B64A}"/>
    <cellStyle name="Comma 2 2 11 3" xfId="4860" xr:uid="{C08BB0E3-FEE6-418F-A34E-19959C431DA2}"/>
    <cellStyle name="Comma 2 2 11 3 2" xfId="9031" xr:uid="{C5D5D443-1BF5-4185-8DCC-8D81169DEE17}"/>
    <cellStyle name="Comma 2 2 11 4" xfId="6421" xr:uid="{5A960D45-79E9-495A-889B-0EF3393017ED}"/>
    <cellStyle name="Comma 2 2 12" xfId="88" xr:uid="{2E42253B-B1D4-40B8-B652-2B640857DABD}"/>
    <cellStyle name="Comma 2 2 12 2" xfId="5418" xr:uid="{96195DBD-A7C7-4980-9276-AE60BB53598F}"/>
    <cellStyle name="Comma 2 2 12 2 2" xfId="9589" xr:uid="{3D085AD9-9DA2-4B7E-870E-0B42841B85B9}"/>
    <cellStyle name="Comma 2 2 12 3" xfId="5672" xr:uid="{98D2A8C2-C5CA-4EA5-90D6-DC6385F9DCAE}"/>
    <cellStyle name="Comma 2 2 13" xfId="47" xr:uid="{065EF5E9-FFCB-4259-A08C-FB6E10A70631}"/>
    <cellStyle name="Comma 2 2 13 2" xfId="4100" xr:uid="{7E574C83-6CE1-4CFD-AD0A-F9D824A39C67}"/>
    <cellStyle name="Comma 2 2 13 3" xfId="8289" xr:uid="{F9CC41DA-5825-4335-B30A-B7B3E0221551}"/>
    <cellStyle name="Comma 2 2 14" xfId="60" xr:uid="{C0F8FF22-451B-476B-AC71-AB65954A5A83}"/>
    <cellStyle name="Comma 2 2 14 2" xfId="5478" xr:uid="{88E6E689-39CC-4E02-8E81-E5EC3BFE3C8C}"/>
    <cellStyle name="Comma 2 2 14 3" xfId="9609" xr:uid="{3190B56D-4850-48DB-BE1E-685DBBBBD648}"/>
    <cellStyle name="Comma 2 2 2" xfId="167" xr:uid="{5A271947-4548-4CD3-8ABE-EEEC6B974E95}"/>
    <cellStyle name="Comma 2 2 2 10" xfId="2102" xr:uid="{52DC7F9C-1027-4802-9FAD-EB50FAE3D364}"/>
    <cellStyle name="Comma 2 2 2 10 2" xfId="3543" xr:uid="{944D4ECA-FBF7-4092-B4BB-A853B1362D15}"/>
    <cellStyle name="Comma 2 2 2 10 2 2" xfId="7732" xr:uid="{3129A948-5066-423E-9A7B-7CD35C3B0470}"/>
    <cellStyle name="Comma 2 2 2 10 3" xfId="4864" xr:uid="{DBFAB3F6-BB61-4149-950C-9522DCDF33D8}"/>
    <cellStyle name="Comma 2 2 2 10 3 2" xfId="9035" xr:uid="{E6927B61-F744-493B-AC55-E316FEFC8FE3}"/>
    <cellStyle name="Comma 2 2 2 10 4" xfId="6425" xr:uid="{65243294-05BB-48BE-B27C-0472F8D8A4DC}"/>
    <cellStyle name="Comma 2 2 2 11" xfId="2846" xr:uid="{CD2408C2-775D-4CD1-A269-970DC29F310D}"/>
    <cellStyle name="Comma 2 2 2 11 2" xfId="7057" xr:uid="{DD95FD2B-4B4B-4467-9E4D-0CCAFF7DA689}"/>
    <cellStyle name="Comma 2 2 2 12" xfId="4154" xr:uid="{C83E614D-1098-4A16-BB0F-C538528D1EE4}"/>
    <cellStyle name="Comma 2 2 2 12 2" xfId="8343" xr:uid="{8324C78B-F88E-4CA8-847A-AC0283B26747}"/>
    <cellStyle name="Comma 2 2 2 13" xfId="5725" xr:uid="{C3FCB39B-734B-46B4-AEDF-C9E1BD1BB5B1}"/>
    <cellStyle name="Comma 2 2 2 2" xfId="614" xr:uid="{FC472061-E8C4-43FA-9777-54E3EFB8F668}"/>
    <cellStyle name="Comma 2 2 2 2 10" xfId="2935" xr:uid="{E5C71B08-4492-45E7-B854-3BABAFB881C1}"/>
    <cellStyle name="Comma 2 2 2 2 10 2" xfId="7138" xr:uid="{156FF72F-ECFC-4966-BF9C-3CDFC3C99A90}"/>
    <cellStyle name="Comma 2 2 2 2 11" xfId="4246" xr:uid="{90C0A99C-F254-410A-8EFF-591C3415A92E}"/>
    <cellStyle name="Comma 2 2 2 2 11 2" xfId="8431" xr:uid="{BABF321A-1607-4A30-8D8E-58834FAB99B2}"/>
    <cellStyle name="Comma 2 2 2 2 12" xfId="5815" xr:uid="{C9644708-5136-440B-99B6-2E9601DDB9ED}"/>
    <cellStyle name="Comma 2 2 2 2 2" xfId="965" xr:uid="{356A6578-8676-4BF0-9E82-66AA8041F12B}"/>
    <cellStyle name="Comma 2 2 2 2 2 10" xfId="6062" xr:uid="{E428E1B6-3F07-4DCE-9425-5BB9D9647A8D}"/>
    <cellStyle name="Comma 2 2 2 2 2 2" xfId="789" xr:uid="{2985512D-8672-42A4-91DA-73503DE2C6E3}"/>
    <cellStyle name="Comma 2 2 2 2 2 2 2" xfId="788" xr:uid="{53A7E0D1-634E-4AF9-9600-EAB9BE6DD46E}"/>
    <cellStyle name="Comma 2 2 2 2 2 2 2 2" xfId="1331" xr:uid="{AAA88928-EBE0-4B65-A566-A5DB5348529C}"/>
    <cellStyle name="Comma 2 2 2 2 2 2 2 2 2" xfId="2636" xr:uid="{88E73324-DEE0-496F-BB5C-805409606E21}"/>
    <cellStyle name="Comma 2 2 2 2 2 2 2 2 2 2" xfId="3984" xr:uid="{3D1743C6-5B47-4271-A034-AD164919D585}"/>
    <cellStyle name="Comma 2 2 2 2 2 2 2 2 2 2 2" xfId="8173" xr:uid="{CAB25822-A70D-4CB8-8770-844481349348}"/>
    <cellStyle name="Comma 2 2 2 2 2 2 2 2 2 3" xfId="5305" xr:uid="{3ED51E0E-DE24-495D-ABD0-D2C8549ED231}"/>
    <cellStyle name="Comma 2 2 2 2 2 2 2 2 2 3 2" xfId="9476" xr:uid="{0CFDAFED-3D3E-4C97-A7C5-B32D071D95D5}"/>
    <cellStyle name="Comma 2 2 2 2 2 2 2 2 2 4" xfId="6866" xr:uid="{549735FC-6EAC-4917-8451-37C57B9CBDEC}"/>
    <cellStyle name="Comma 2 2 2 2 2 2 2 2 3" xfId="3505" xr:uid="{507567C8-144D-43F3-AEC7-A4F88F8B348B}"/>
    <cellStyle name="Comma 2 2 2 2 2 2 2 2 3 2" xfId="7702" xr:uid="{8BCF91F5-3DDE-4D06-8EF6-3DFBB9F10E29}"/>
    <cellStyle name="Comma 2 2 2 2 2 2 2 2 4" xfId="4824" xr:uid="{772BC3F4-9D6B-4AA5-AFA4-0A6E1E17C3C0}"/>
    <cellStyle name="Comma 2 2 2 2 2 2 2 2 4 2" xfId="9003" xr:uid="{899A8A5A-7726-4877-9535-F802C7FDF263}"/>
    <cellStyle name="Comma 2 2 2 2 2 2 2 2 5" xfId="6388" xr:uid="{5567514F-2D4B-4C44-B288-92CF8DC45BBB}"/>
    <cellStyle name="Comma 2 2 2 2 2 2 2 3" xfId="2390" xr:uid="{52BCA344-F1E2-46FC-9189-793029CA143E}"/>
    <cellStyle name="Comma 2 2 2 2 2 2 2 3 2" xfId="3744" xr:uid="{A23CA48C-0FBC-4DB5-8C93-C73A6B8E7322}"/>
    <cellStyle name="Comma 2 2 2 2 2 2 2 3 2 2" xfId="7933" xr:uid="{2822C91F-36AA-4A43-AF32-2F94D54457B9}"/>
    <cellStyle name="Comma 2 2 2 2 2 2 2 3 3" xfId="5065" xr:uid="{CE91FCE8-71B9-480E-BC42-D46246796745}"/>
    <cellStyle name="Comma 2 2 2 2 2 2 2 3 3 2" xfId="9236" xr:uid="{96F5B699-0065-48D5-9134-63F74304A259}"/>
    <cellStyle name="Comma 2 2 2 2 2 2 2 3 4" xfId="6626" xr:uid="{55E36D48-D39A-449A-9232-5DDCC97DA0DF}"/>
    <cellStyle name="Comma 2 2 2 2 2 2 2 4" xfId="3065" xr:uid="{55DFA586-73E8-4EB0-A4EC-611A360C7599}"/>
    <cellStyle name="Comma 2 2 2 2 2 2 2 4 2" xfId="7268" xr:uid="{CA1A7930-BD1A-4865-9F52-6DB121B6DAB7}"/>
    <cellStyle name="Comma 2 2 2 2 2 2 2 5" xfId="4380" xr:uid="{38263AA5-05EB-4CA6-A728-CB8EA0188640}"/>
    <cellStyle name="Comma 2 2 2 2 2 2 2 5 2" xfId="8565" xr:uid="{5F64CE71-849A-4321-82A1-22FA2293533C}"/>
    <cellStyle name="Comma 2 2 2 2 2 2 2 6" xfId="5949" xr:uid="{4369CB8A-DFB2-40EC-8384-49C2FC272705}"/>
    <cellStyle name="Comma 2 2 2 2 2 2 3" xfId="787" xr:uid="{F471BE7F-1C6E-493D-893C-382F118917C0}"/>
    <cellStyle name="Comma 2 2 2 2 2 2 3 2" xfId="2731" xr:uid="{E504D1F5-43B3-4786-B4AB-35DD2A5104B5}"/>
    <cellStyle name="Comma 2 2 2 2 2 2 3 2 2" xfId="4079" xr:uid="{C68DCB3A-1AB5-422D-9986-602DBC5E85BB}"/>
    <cellStyle name="Comma 2 2 2 2 2 2 3 2 2 2" xfId="8268" xr:uid="{644B25E4-4503-43DA-989D-33847D8AACBA}"/>
    <cellStyle name="Comma 2 2 2 2 2 2 3 2 3" xfId="5400" xr:uid="{85131A00-0EEC-4DFA-8CF2-3534C67B8FE0}"/>
    <cellStyle name="Comma 2 2 2 2 2 2 3 2 3 2" xfId="9571" xr:uid="{EA49E044-E91C-439E-9B37-C02B7F312789}"/>
    <cellStyle name="Comma 2 2 2 2 2 2 3 2 4" xfId="6961" xr:uid="{31C44BF2-F60D-4A51-A47C-34A7485E15ED}"/>
    <cellStyle name="Comma 2 2 2 2 2 2 3 3" xfId="2491" xr:uid="{62B98CA2-A129-43E8-AC38-21E59976E55A}"/>
    <cellStyle name="Comma 2 2 2 2 2 2 3 3 2" xfId="3839" xr:uid="{43F96467-EC43-4870-8FC9-CD1EA5E6377C}"/>
    <cellStyle name="Comma 2 2 2 2 2 2 3 3 2 2" xfId="8028" xr:uid="{A8CE60BF-8600-4616-96E2-6B0EA4165374}"/>
    <cellStyle name="Comma 2 2 2 2 2 2 3 3 3" xfId="5160" xr:uid="{78456D80-0FFC-4BB9-89E2-80F1A5D37B09}"/>
    <cellStyle name="Comma 2 2 2 2 2 2 3 3 3 2" xfId="9331" xr:uid="{906BE13F-9782-4FF2-994B-6BC1A853DE2E}"/>
    <cellStyle name="Comma 2 2 2 2 2 2 3 3 4" xfId="6721" xr:uid="{F2864D33-5DE5-43F9-B2D3-14AD47A1C6F5}"/>
    <cellStyle name="Comma 2 2 2 2 2 2 3 4" xfId="3064" xr:uid="{97F4EE1A-E324-452D-B654-85E249A2D308}"/>
    <cellStyle name="Comma 2 2 2 2 2 2 3 4 2" xfId="7267" xr:uid="{73376470-F406-4BC3-ABFE-5BB782B35247}"/>
    <cellStyle name="Comma 2 2 2 2 2 2 3 5" xfId="4379" xr:uid="{03E747F3-FBAE-404C-B386-67E6E2E36FC3}"/>
    <cellStyle name="Comma 2 2 2 2 2 2 3 5 2" xfId="8564" xr:uid="{E6C93A12-635B-4483-A030-0B04C2548156}"/>
    <cellStyle name="Comma 2 2 2 2 2 2 3 6" xfId="5948" xr:uid="{954B4DA0-2E6A-4CD3-A557-37A16D50D16E}"/>
    <cellStyle name="Comma 2 2 2 2 2 2 4" xfId="2572" xr:uid="{47617215-5637-464C-A7F5-6BD61FF2A346}"/>
    <cellStyle name="Comma 2 2 2 2 2 2 4 2" xfId="3920" xr:uid="{AB9B838B-02BA-48BE-A5A8-BDEED62DCC5A}"/>
    <cellStyle name="Comma 2 2 2 2 2 2 4 2 2" xfId="8109" xr:uid="{5B108F00-7312-4698-AE81-4AB34EA9C5D9}"/>
    <cellStyle name="Comma 2 2 2 2 2 2 4 3" xfId="5241" xr:uid="{8982A379-4D3C-404C-9502-F016BC10DB3A}"/>
    <cellStyle name="Comma 2 2 2 2 2 2 4 3 2" xfId="9412" xr:uid="{268439B0-AC19-4AD3-A31C-1274D2C0012A}"/>
    <cellStyle name="Comma 2 2 2 2 2 2 4 4" xfId="6802" xr:uid="{49D4D0B7-0CD7-4842-AE1B-4A5D9BC393A8}"/>
    <cellStyle name="Comma 2 2 2 2 2 2 5" xfId="2326" xr:uid="{35EE2806-46E0-4D28-A835-0751B45C5080}"/>
    <cellStyle name="Comma 2 2 2 2 2 2 5 2" xfId="3680" xr:uid="{70A565B3-4499-4CDA-AC03-DA33AE2636FE}"/>
    <cellStyle name="Comma 2 2 2 2 2 2 5 2 2" xfId="7869" xr:uid="{0417189F-34D7-41B5-970A-4B801875652D}"/>
    <cellStyle name="Comma 2 2 2 2 2 2 5 3" xfId="5001" xr:uid="{FF8FCE31-21F2-42F6-BD65-A2C50E3262BE}"/>
    <cellStyle name="Comma 2 2 2 2 2 2 5 3 2" xfId="9172" xr:uid="{4A68694D-E657-410F-9462-E4155552BDFC}"/>
    <cellStyle name="Comma 2 2 2 2 2 2 5 4" xfId="6562" xr:uid="{4B1F4A11-FC6A-451E-A755-9D1DCE8FE232}"/>
    <cellStyle name="Comma 2 2 2 2 2 2 6" xfId="2165" xr:uid="{B26F8DA4-8146-4CFE-811C-766A0A02C586}"/>
    <cellStyle name="Comma 2 2 2 2 2 2 6 2" xfId="3599" xr:uid="{A7BB2FA0-321C-4E80-AB20-1F1FF6FACBAE}"/>
    <cellStyle name="Comma 2 2 2 2 2 2 6 2 2" xfId="7788" xr:uid="{EE10A174-BD31-4821-80F2-04BD945E6E54}"/>
    <cellStyle name="Comma 2 2 2 2 2 2 6 3" xfId="4920" xr:uid="{A29A4A68-5214-40E8-BB0A-865C7E3E5FC2}"/>
    <cellStyle name="Comma 2 2 2 2 2 2 6 3 2" xfId="9091" xr:uid="{D43E4FDB-ED5C-4061-A771-CF0F4A4488DA}"/>
    <cellStyle name="Comma 2 2 2 2 2 2 6 4" xfId="6481" xr:uid="{D7808AD8-B552-4095-A670-68B6F99D59AF}"/>
    <cellStyle name="Comma 2 2 2 2 2 2 7" xfId="3066" xr:uid="{877E7162-3330-41E6-ABAE-34F3183233CC}"/>
    <cellStyle name="Comma 2 2 2 2 2 2 7 2" xfId="7269" xr:uid="{1639E868-B0EC-492D-842B-D47753459193}"/>
    <cellStyle name="Comma 2 2 2 2 2 2 8" xfId="4381" xr:uid="{A41F6EC7-442E-4EC6-B27E-11922574BC4F}"/>
    <cellStyle name="Comma 2 2 2 2 2 2 8 2" xfId="8566" xr:uid="{067BC167-85E2-49DC-AACE-98B5567E124B}"/>
    <cellStyle name="Comma 2 2 2 2 2 2 9" xfId="5950" xr:uid="{CE7F80A7-7C44-45A2-B7B1-412731C73698}"/>
    <cellStyle name="Comma 2 2 2 2 2 3" xfId="786" xr:uid="{73665DA7-B15E-4E90-B332-5D230735409A}"/>
    <cellStyle name="Comma 2 2 2 2 2 3 2" xfId="785" xr:uid="{03F78362-5DAA-48B7-AB72-FFC40D7B79B1}"/>
    <cellStyle name="Comma 2 2 2 2 2 3 2 2" xfId="2604" xr:uid="{645D4192-38B9-4192-AE8A-46A753A5B797}"/>
    <cellStyle name="Comma 2 2 2 2 2 3 2 2 2" xfId="3952" xr:uid="{EA5A0917-3A4F-4586-AF16-2415DC5EC79B}"/>
    <cellStyle name="Comma 2 2 2 2 2 3 2 2 2 2" xfId="8141" xr:uid="{EDE799EE-ECD2-487B-A5A0-DF3B43E8A163}"/>
    <cellStyle name="Comma 2 2 2 2 2 3 2 2 3" xfId="5273" xr:uid="{26F2CE5D-D9D9-4EF3-BD93-34C3F191C322}"/>
    <cellStyle name="Comma 2 2 2 2 2 3 2 2 3 2" xfId="9444" xr:uid="{BD45DE83-4E95-43DF-BE76-0BC639660937}"/>
    <cellStyle name="Comma 2 2 2 2 2 3 2 2 4" xfId="6834" xr:uid="{3AC4A5E6-9113-4859-9E72-08FDEDC35328}"/>
    <cellStyle name="Comma 2 2 2 2 2 3 2 3" xfId="3062" xr:uid="{A4F8ECF0-8BA2-461B-BE39-366122B66D9D}"/>
    <cellStyle name="Comma 2 2 2 2 2 3 2 3 2" xfId="7265" xr:uid="{2EC29629-7679-46BB-B4C6-84EC6882DE75}"/>
    <cellStyle name="Comma 2 2 2 2 2 3 2 4" xfId="4377" xr:uid="{0216ED7F-2799-4C6C-8162-2DA6EB37590E}"/>
    <cellStyle name="Comma 2 2 2 2 2 3 2 4 2" xfId="8562" xr:uid="{9775B9BC-D767-4959-B499-27FF180A1814}"/>
    <cellStyle name="Comma 2 2 2 2 2 3 2 5" xfId="5946" xr:uid="{EC198376-41FA-4165-9BAC-483DD73B2B5F}"/>
    <cellStyle name="Comma 2 2 2 2 2 3 3" xfId="2358" xr:uid="{0E491E38-9FDE-432D-8DDE-00A80FDA2EBF}"/>
    <cellStyle name="Comma 2 2 2 2 2 3 3 2" xfId="3712" xr:uid="{7D15D0DA-0DBF-4B1F-BE8C-9211D86C5B06}"/>
    <cellStyle name="Comma 2 2 2 2 2 3 3 2 2" xfId="7901" xr:uid="{EAAB0E99-4B6A-4F6C-A7B8-B2341A345D16}"/>
    <cellStyle name="Comma 2 2 2 2 2 3 3 3" xfId="5033" xr:uid="{00118C22-28D6-4641-BBC2-CF5157E3A556}"/>
    <cellStyle name="Comma 2 2 2 2 2 3 3 3 2" xfId="9204" xr:uid="{3AE20EE4-9E48-4902-B21A-7AB10EF92B37}"/>
    <cellStyle name="Comma 2 2 2 2 2 3 3 4" xfId="6594" xr:uid="{B1EA3C2E-5E4D-430E-82F3-97323075E860}"/>
    <cellStyle name="Comma 2 2 2 2 2 3 4" xfId="3063" xr:uid="{D14C6581-720E-4A53-8B2B-7F1097242AAE}"/>
    <cellStyle name="Comma 2 2 2 2 2 3 4 2" xfId="7266" xr:uid="{3E0B7067-A185-4E3B-8FB1-11970889CD52}"/>
    <cellStyle name="Comma 2 2 2 2 2 3 5" xfId="4378" xr:uid="{EAF62F30-F309-42DD-811C-B3DFB18AD30E}"/>
    <cellStyle name="Comma 2 2 2 2 2 3 5 2" xfId="8563" xr:uid="{5B5C567C-0B4F-4384-831B-C39B70B4A987}"/>
    <cellStyle name="Comma 2 2 2 2 2 3 6" xfId="5947" xr:uid="{39856D19-E020-4B0E-8D57-39843B715FE8}"/>
    <cellStyle name="Comma 2 2 2 2 2 4" xfId="784" xr:uid="{D25C618C-4BC5-42FA-8EA7-5A1C7E3EA357}"/>
    <cellStyle name="Comma 2 2 2 2 2 4 2" xfId="2699" xr:uid="{FEAA80B6-471B-41A0-AD39-7B29392CCEC5}"/>
    <cellStyle name="Comma 2 2 2 2 2 4 2 2" xfId="4047" xr:uid="{67806E14-8101-4282-B818-1C9CBAB46D1A}"/>
    <cellStyle name="Comma 2 2 2 2 2 4 2 2 2" xfId="8236" xr:uid="{02991A26-995F-4E5E-A6C1-9DE15183439B}"/>
    <cellStyle name="Comma 2 2 2 2 2 4 2 3" xfId="5368" xr:uid="{7B4064A9-880B-49AB-823A-5BDF1F936240}"/>
    <cellStyle name="Comma 2 2 2 2 2 4 2 3 2" xfId="9539" xr:uid="{3969D171-2A3E-44A9-B481-342BFFBD9433}"/>
    <cellStyle name="Comma 2 2 2 2 2 4 2 4" xfId="6929" xr:uid="{ED480E80-3215-47F9-850F-25B334D28ED4}"/>
    <cellStyle name="Comma 2 2 2 2 2 4 3" xfId="2459" xr:uid="{81C7FF16-C533-4680-ABAC-7568A786B786}"/>
    <cellStyle name="Comma 2 2 2 2 2 4 3 2" xfId="3807" xr:uid="{9958E267-E209-4C83-A0F2-C42E6592769A}"/>
    <cellStyle name="Comma 2 2 2 2 2 4 3 2 2" xfId="7996" xr:uid="{49590FA4-759F-4A17-BFBD-EC9E87F7F821}"/>
    <cellStyle name="Comma 2 2 2 2 2 4 3 3" xfId="5128" xr:uid="{050011B2-98DA-4837-9597-2554ACE866F6}"/>
    <cellStyle name="Comma 2 2 2 2 2 4 3 3 2" xfId="9299" xr:uid="{B7EE5CCC-CF65-43CA-A3F9-287FCDEDA0C5}"/>
    <cellStyle name="Comma 2 2 2 2 2 4 3 4" xfId="6689" xr:uid="{1F18A8DF-F144-4689-84AD-698535956290}"/>
    <cellStyle name="Comma 2 2 2 2 2 4 4" xfId="3061" xr:uid="{E494C472-27FF-4CE1-A21E-D308A6C481A4}"/>
    <cellStyle name="Comma 2 2 2 2 2 4 4 2" xfId="7264" xr:uid="{93B4319A-323B-44BC-B3FC-CAB9A03CA4E4}"/>
    <cellStyle name="Comma 2 2 2 2 2 4 5" xfId="4376" xr:uid="{C5C8BB10-58CC-476F-B63F-B6B676952E6D}"/>
    <cellStyle name="Comma 2 2 2 2 2 4 5 2" xfId="8561" xr:uid="{9CB8C24F-39BD-47B5-9D05-4D2852F03573}"/>
    <cellStyle name="Comma 2 2 2 2 2 4 6" xfId="5945" xr:uid="{5B22E2A0-60E8-434F-B8CA-A4024A4170BE}"/>
    <cellStyle name="Comma 2 2 2 2 2 5" xfId="2540" xr:uid="{915C448E-FF33-475B-AD34-F699FB1784FA}"/>
    <cellStyle name="Comma 2 2 2 2 2 5 2" xfId="3888" xr:uid="{17C2AEE4-3504-4758-938B-E0BA6251CC92}"/>
    <cellStyle name="Comma 2 2 2 2 2 5 2 2" xfId="8077" xr:uid="{91D5762B-5929-4382-82B2-7FF537DE3987}"/>
    <cellStyle name="Comma 2 2 2 2 2 5 3" xfId="5209" xr:uid="{7F3C6395-795C-4F8E-9013-E8370CE17011}"/>
    <cellStyle name="Comma 2 2 2 2 2 5 3 2" xfId="9380" xr:uid="{78C52AC5-19A0-4756-B08F-0EEB63AE369E}"/>
    <cellStyle name="Comma 2 2 2 2 2 5 4" xfId="6770" xr:uid="{F4BE30D9-FD5F-4C1C-BF8D-4DDBA733EDFC}"/>
    <cellStyle name="Comma 2 2 2 2 2 6" xfId="2294" xr:uid="{F348CECB-9CAC-4EDD-BF90-A766880420BF}"/>
    <cellStyle name="Comma 2 2 2 2 2 6 2" xfId="3648" xr:uid="{D5A7D494-C726-44D3-9390-6ABF84F8E726}"/>
    <cellStyle name="Comma 2 2 2 2 2 6 2 2" xfId="7837" xr:uid="{AFEC80DE-D0FB-4CF6-ADA1-255F7BBD8B47}"/>
    <cellStyle name="Comma 2 2 2 2 2 6 3" xfId="4969" xr:uid="{DABE0D31-8543-41DC-8328-A2FD3C5FF72F}"/>
    <cellStyle name="Comma 2 2 2 2 2 6 3 2" xfId="9140" xr:uid="{D7CA5722-B02B-4381-B7E7-AFF609185CC2}"/>
    <cellStyle name="Comma 2 2 2 2 2 6 4" xfId="6530" xr:uid="{E831DBC2-88F8-4DED-8C69-D1C26047C596}"/>
    <cellStyle name="Comma 2 2 2 2 2 7" xfId="2130" xr:uid="{02719898-1D74-44DE-B9C5-9950498D9807}"/>
    <cellStyle name="Comma 2 2 2 2 2 7 2" xfId="3567" xr:uid="{34F71208-4811-4E9F-9978-555AB673841D}"/>
    <cellStyle name="Comma 2 2 2 2 2 7 2 2" xfId="7756" xr:uid="{7B59BA10-59D2-421C-8DFF-5B33EF0783C0}"/>
    <cellStyle name="Comma 2 2 2 2 2 7 3" xfId="4888" xr:uid="{9C90CC40-5431-457F-8A8F-9E850076BEC7}"/>
    <cellStyle name="Comma 2 2 2 2 2 7 3 2" xfId="9059" xr:uid="{E969E1CA-BD72-46B3-BEB4-FDD600D25AAA}"/>
    <cellStyle name="Comma 2 2 2 2 2 7 4" xfId="6449" xr:uid="{D2C3E210-E21F-4C36-B9C1-AEDAFC2BB3E0}"/>
    <cellStyle name="Comma 2 2 2 2 2 8" xfId="3177" xr:uid="{5746865C-E537-4996-9E61-EF95EC5F8A83}"/>
    <cellStyle name="Comma 2 2 2 2 2 8 2" xfId="7378" xr:uid="{F390CEE1-F063-4209-87FF-387BACD021AC}"/>
    <cellStyle name="Comma 2 2 2 2 2 9" xfId="4494" xr:uid="{41923423-A727-46C6-9D07-780635941402}"/>
    <cellStyle name="Comma 2 2 2 2 2 9 2" xfId="8677" xr:uid="{59EC4E64-7BBD-4E49-AC3E-DE992688FA1F}"/>
    <cellStyle name="Comma 2 2 2 2 3" xfId="783" xr:uid="{10C1921E-8101-429C-9D9C-9551A8E9DD6C}"/>
    <cellStyle name="Comma 2 2 2 2 3 2" xfId="782" xr:uid="{9D7F165D-8F04-41CB-ACCD-F5039E142C1B}"/>
    <cellStyle name="Comma 2 2 2 2 3 2 2" xfId="781" xr:uid="{A449DE3D-1953-4750-9E76-E49223819F3E}"/>
    <cellStyle name="Comma 2 2 2 2 3 2 2 2" xfId="2620" xr:uid="{4D2982A2-2B97-4618-800A-65869FDDF83D}"/>
    <cellStyle name="Comma 2 2 2 2 3 2 2 2 2" xfId="3968" xr:uid="{481A9DA1-408C-4724-BF6C-751D57BA69EC}"/>
    <cellStyle name="Comma 2 2 2 2 3 2 2 2 2 2" xfId="8157" xr:uid="{477352F5-56A5-4BC6-8DD1-52376A602803}"/>
    <cellStyle name="Comma 2 2 2 2 3 2 2 2 3" xfId="5289" xr:uid="{62F07213-1865-4FC5-AD07-3BDE7DFB60F4}"/>
    <cellStyle name="Comma 2 2 2 2 3 2 2 2 3 2" xfId="9460" xr:uid="{3417922A-C5C7-4D9B-BE21-0871C2F156DA}"/>
    <cellStyle name="Comma 2 2 2 2 3 2 2 2 4" xfId="6850" xr:uid="{D9048626-F510-4919-8498-253F0BC2AB64}"/>
    <cellStyle name="Comma 2 2 2 2 3 2 2 3" xfId="3058" xr:uid="{AF433FE1-7F15-4623-A06D-A3D27E01ED13}"/>
    <cellStyle name="Comma 2 2 2 2 3 2 2 3 2" xfId="7261" xr:uid="{1C4E45B1-F75B-48DA-B7ED-8791600AF851}"/>
    <cellStyle name="Comma 2 2 2 2 3 2 2 4" xfId="4373" xr:uid="{30B2C85D-8546-44B6-AE49-109C1B7E4FED}"/>
    <cellStyle name="Comma 2 2 2 2 3 2 2 4 2" xfId="8558" xr:uid="{E1BC8282-8797-48D3-8413-5A50E4E61F28}"/>
    <cellStyle name="Comma 2 2 2 2 3 2 2 5" xfId="5942" xr:uid="{22087DB4-7368-45D5-8DE3-BE45C58F055C}"/>
    <cellStyle name="Comma 2 2 2 2 3 2 3" xfId="2374" xr:uid="{0BB3A140-215F-4D1C-A6B7-ACFEB6564B69}"/>
    <cellStyle name="Comma 2 2 2 2 3 2 3 2" xfId="3728" xr:uid="{6A49832B-916C-4DF5-A14C-3B4ECDD350B6}"/>
    <cellStyle name="Comma 2 2 2 2 3 2 3 2 2" xfId="7917" xr:uid="{2174150C-EA45-4167-8516-B69A9B058526}"/>
    <cellStyle name="Comma 2 2 2 2 3 2 3 3" xfId="5049" xr:uid="{EAB83B78-E3E2-4473-8C8F-8D489FCC5AF2}"/>
    <cellStyle name="Comma 2 2 2 2 3 2 3 3 2" xfId="9220" xr:uid="{AFF0B082-E6E9-4985-830F-65553C4F6A35}"/>
    <cellStyle name="Comma 2 2 2 2 3 2 3 4" xfId="6610" xr:uid="{B6AFDBB4-5F59-4EC4-B53E-205701181B22}"/>
    <cellStyle name="Comma 2 2 2 2 3 2 4" xfId="3059" xr:uid="{E8D37CD6-8601-43ED-924B-093F6EB43DD8}"/>
    <cellStyle name="Comma 2 2 2 2 3 2 4 2" xfId="7262" xr:uid="{D35B58A0-6665-4F1B-8C5B-D3C61364E479}"/>
    <cellStyle name="Comma 2 2 2 2 3 2 5" xfId="4374" xr:uid="{8D19AC39-0E3E-4144-9461-067027406C65}"/>
    <cellStyle name="Comma 2 2 2 2 3 2 5 2" xfId="8559" xr:uid="{3A532F3D-3190-49FA-97B0-A2F9B3AABB1D}"/>
    <cellStyle name="Comma 2 2 2 2 3 2 6" xfId="5943" xr:uid="{16BE69B1-1E3A-478C-8327-627E4529F84C}"/>
    <cellStyle name="Comma 2 2 2 2 3 3" xfId="856" xr:uid="{2D07384C-5C09-4CC9-BD91-A0ED73CB97C4}"/>
    <cellStyle name="Comma 2 2 2 2 3 3 2" xfId="2715" xr:uid="{42B20210-EE77-424C-897D-7FEEAC3220F2}"/>
    <cellStyle name="Comma 2 2 2 2 3 3 2 2" xfId="4063" xr:uid="{587EB8AF-8EE3-4AC6-BEB0-91AF74C6FBCD}"/>
    <cellStyle name="Comma 2 2 2 2 3 3 2 2 2" xfId="8252" xr:uid="{0919CB0A-9B90-4CDB-B178-A75E1C02C468}"/>
    <cellStyle name="Comma 2 2 2 2 3 3 2 3" xfId="5384" xr:uid="{5EB96D1A-05C9-4FD2-871F-2A4E7760F2E4}"/>
    <cellStyle name="Comma 2 2 2 2 3 3 2 3 2" xfId="9555" xr:uid="{C9D24045-37B5-477D-A4A0-E0351C4EF505}"/>
    <cellStyle name="Comma 2 2 2 2 3 3 2 4" xfId="6945" xr:uid="{63A6687C-9C87-4B11-B617-3A21827A7889}"/>
    <cellStyle name="Comma 2 2 2 2 3 3 3" xfId="2475" xr:uid="{C0E88923-13D6-4129-8E4A-47BEB7442674}"/>
    <cellStyle name="Comma 2 2 2 2 3 3 3 2" xfId="3823" xr:uid="{1D5BDA87-AF84-456C-9F3F-C7F2DE871601}"/>
    <cellStyle name="Comma 2 2 2 2 3 3 3 2 2" xfId="8012" xr:uid="{5F655E46-B3EE-42CC-ABAD-B9AF43DBF45A}"/>
    <cellStyle name="Comma 2 2 2 2 3 3 3 3" xfId="5144" xr:uid="{57A25C79-43C5-4C48-9C63-9810E1E35766}"/>
    <cellStyle name="Comma 2 2 2 2 3 3 3 3 2" xfId="9315" xr:uid="{D5BC1E1C-21CB-469D-BA08-3B858DBD1500}"/>
    <cellStyle name="Comma 2 2 2 2 3 3 3 4" xfId="6705" xr:uid="{B1B18613-36C9-4886-A490-541AD8BC321F}"/>
    <cellStyle name="Comma 2 2 2 2 3 3 4" xfId="3099" xr:uid="{C42F3906-F48F-46B1-917C-2A131977FEFD}"/>
    <cellStyle name="Comma 2 2 2 2 3 3 4 2" xfId="7300" xr:uid="{F9D7E574-4B29-46F7-9E33-DD4106E56DB5}"/>
    <cellStyle name="Comma 2 2 2 2 3 3 5" xfId="4414" xr:uid="{B1414E77-3466-468C-96A0-4EDB5DD704FF}"/>
    <cellStyle name="Comma 2 2 2 2 3 3 5 2" xfId="8597" xr:uid="{78AEE00C-D040-49D1-9C50-4DAEA4F0AD78}"/>
    <cellStyle name="Comma 2 2 2 2 3 3 6" xfId="5981" xr:uid="{42270F02-FFB6-4572-9C0A-6E7EB3475F0C}"/>
    <cellStyle name="Comma 2 2 2 2 3 4" xfId="2556" xr:uid="{33B68EBF-1AC1-44E1-A51D-CA14EAF17063}"/>
    <cellStyle name="Comma 2 2 2 2 3 4 2" xfId="3904" xr:uid="{95983D91-5DBD-4DEB-A0F3-F3231A9D11BB}"/>
    <cellStyle name="Comma 2 2 2 2 3 4 2 2" xfId="8093" xr:uid="{2EF61C54-E676-4B10-A127-252744506299}"/>
    <cellStyle name="Comma 2 2 2 2 3 4 3" xfId="5225" xr:uid="{7BD39684-0254-4A5C-BFE5-AEF3261F0AA5}"/>
    <cellStyle name="Comma 2 2 2 2 3 4 3 2" xfId="9396" xr:uid="{771A543C-E86D-41AD-8C3F-05BAA783CB4B}"/>
    <cellStyle name="Comma 2 2 2 2 3 4 4" xfId="6786" xr:uid="{66B1D2B4-3D17-49EB-B917-6EBA85A07F06}"/>
    <cellStyle name="Comma 2 2 2 2 3 5" xfId="2310" xr:uid="{7B9BAB8A-3477-443E-938B-BB11261DEEB2}"/>
    <cellStyle name="Comma 2 2 2 2 3 5 2" xfId="3664" xr:uid="{2EAA8657-658D-48D6-B5C6-462F015F90C3}"/>
    <cellStyle name="Comma 2 2 2 2 3 5 2 2" xfId="7853" xr:uid="{F059977C-BF15-4245-A131-1D8B98FD9067}"/>
    <cellStyle name="Comma 2 2 2 2 3 5 3" xfId="4985" xr:uid="{92A1B38B-8891-4395-998F-1F363DB3CBA4}"/>
    <cellStyle name="Comma 2 2 2 2 3 5 3 2" xfId="9156" xr:uid="{E7878DC0-BD64-4CAC-B73E-7D0AA2AAA99C}"/>
    <cellStyle name="Comma 2 2 2 2 3 5 4" xfId="6546" xr:uid="{45B0CBAE-55E2-45EA-866D-C219809B2996}"/>
    <cellStyle name="Comma 2 2 2 2 3 6" xfId="2149" xr:uid="{1D945AA6-A3BC-4D14-A1E9-AAD3F4ED11A0}"/>
    <cellStyle name="Comma 2 2 2 2 3 6 2" xfId="3583" xr:uid="{6AAFC5E0-C72D-4738-8683-60C8F04BBD94}"/>
    <cellStyle name="Comma 2 2 2 2 3 6 2 2" xfId="7772" xr:uid="{DD62FDAA-616F-4F98-B092-9AA62682A450}"/>
    <cellStyle name="Comma 2 2 2 2 3 6 3" xfId="4904" xr:uid="{C24271D3-02F5-4B1F-AE64-E24AA38C4AAF}"/>
    <cellStyle name="Comma 2 2 2 2 3 6 3 2" xfId="9075" xr:uid="{60C59316-E12C-4EF4-B6C6-F3F0C0057771}"/>
    <cellStyle name="Comma 2 2 2 2 3 6 4" xfId="6465" xr:uid="{93D827AF-1D25-4D4B-B7FD-E9FCB8F032E1}"/>
    <cellStyle name="Comma 2 2 2 2 3 7" xfId="3060" xr:uid="{0A9AEBF9-CA1D-48DA-8FAF-791800A68650}"/>
    <cellStyle name="Comma 2 2 2 2 3 7 2" xfId="7263" xr:uid="{CF44FEC3-E320-4261-B5B4-BA5D74F3DD30}"/>
    <cellStyle name="Comma 2 2 2 2 3 8" xfId="4375" xr:uid="{23AD2C6E-6CCD-40BF-A1A3-41C8F8C60657}"/>
    <cellStyle name="Comma 2 2 2 2 3 8 2" xfId="8560" xr:uid="{0D176F89-199B-4307-A270-B59FF26347E7}"/>
    <cellStyle name="Comma 2 2 2 2 3 9" xfId="5944" xr:uid="{CC4C0EB5-5305-436B-B351-D33A2C583F88}"/>
    <cellStyle name="Comma 2 2 2 2 4" xfId="857" xr:uid="{D95A60DE-6135-4183-9DF5-B50E849A88AD}"/>
    <cellStyle name="Comma 2 2 2 2 4 2" xfId="780" xr:uid="{26F48240-EA8B-45CE-9D32-9956C393A7B3}"/>
    <cellStyle name="Comma 2 2 2 2 4 2 2" xfId="2747" xr:uid="{811738AE-6AC4-4CF5-A2E7-6DB635F0F8CA}"/>
    <cellStyle name="Comma 2 2 2 2 4 2 2 2" xfId="4095" xr:uid="{91929BEC-3F39-4572-A648-85F778DD943F}"/>
    <cellStyle name="Comma 2 2 2 2 4 2 2 2 2" xfId="8284" xr:uid="{C7880CCF-CE51-44A4-B8B2-C926AC62F7B4}"/>
    <cellStyle name="Comma 2 2 2 2 4 2 2 3" xfId="5416" xr:uid="{57EC46A5-5F89-4F83-88F0-EB21094C1B08}"/>
    <cellStyle name="Comma 2 2 2 2 4 2 2 3 2" xfId="9587" xr:uid="{48FF22F4-3696-4BE4-BB67-6A7634A1242D}"/>
    <cellStyle name="Comma 2 2 2 2 4 2 2 4" xfId="6977" xr:uid="{ABEF5538-D9CF-47E6-82DF-C02A74D890C5}"/>
    <cellStyle name="Comma 2 2 2 2 4 2 3" xfId="2507" xr:uid="{3100E7B8-0715-4D58-801F-5C948A3721F7}"/>
    <cellStyle name="Comma 2 2 2 2 4 2 3 2" xfId="3855" xr:uid="{9B882E77-E304-4EAA-9F8A-A732F8A8A3E3}"/>
    <cellStyle name="Comma 2 2 2 2 4 2 3 2 2" xfId="8044" xr:uid="{25FF8CD3-5F4F-460C-BC89-633F79DBE518}"/>
    <cellStyle name="Comma 2 2 2 2 4 2 3 3" xfId="5176" xr:uid="{309CEF5B-C605-4DE0-8D08-E5258FC23B3A}"/>
    <cellStyle name="Comma 2 2 2 2 4 2 3 3 2" xfId="9347" xr:uid="{A9F0FCCE-8A2A-411D-B8D1-1C4EFDBE7F9C}"/>
    <cellStyle name="Comma 2 2 2 2 4 2 3 4" xfId="6737" xr:uid="{A2C55FB2-04DF-4ECD-85BF-29EF5A4FBF9E}"/>
    <cellStyle name="Comma 2 2 2 2 4 2 4" xfId="3057" xr:uid="{BD69868E-105C-40B4-AB1F-FE404E98CB7E}"/>
    <cellStyle name="Comma 2 2 2 2 4 2 4 2" xfId="7260" xr:uid="{86713915-57C9-4C34-ACD2-415E2A3D7838}"/>
    <cellStyle name="Comma 2 2 2 2 4 2 5" xfId="4372" xr:uid="{1F797901-91DA-4ED3-8D35-99B0E151F762}"/>
    <cellStyle name="Comma 2 2 2 2 4 2 5 2" xfId="8557" xr:uid="{AC80C062-126D-46CE-A008-8AFD11709433}"/>
    <cellStyle name="Comma 2 2 2 2 4 2 6" xfId="5941" xr:uid="{BCADAC17-C21A-4928-A68F-6DB9B7D53EA8}"/>
    <cellStyle name="Comma 2 2 2 2 4 3" xfId="2588" xr:uid="{0B304524-6D9C-4AD6-956F-6943C65A2AAF}"/>
    <cellStyle name="Comma 2 2 2 2 4 3 2" xfId="3936" xr:uid="{1D2E714D-E7EF-42A4-A436-8F90B7457053}"/>
    <cellStyle name="Comma 2 2 2 2 4 3 2 2" xfId="8125" xr:uid="{D988CC9F-9022-45C6-8CE6-A50219845943}"/>
    <cellStyle name="Comma 2 2 2 2 4 3 3" xfId="5257" xr:uid="{9D5F94A6-3B1B-491E-87F5-611E4F234B92}"/>
    <cellStyle name="Comma 2 2 2 2 4 3 3 2" xfId="9428" xr:uid="{55A6E939-6822-4706-8016-1929A2FBA27E}"/>
    <cellStyle name="Comma 2 2 2 2 4 3 4" xfId="6818" xr:uid="{A1546F14-82E2-4066-ABDD-6A75FAE9135F}"/>
    <cellStyle name="Comma 2 2 2 2 4 4" xfId="2342" xr:uid="{FE01B20E-5961-4BB8-8DD0-5D0B033F6F9C}"/>
    <cellStyle name="Comma 2 2 2 2 4 4 2" xfId="3696" xr:uid="{A09F83B5-0FF5-4BD2-ADEB-9CEF24E4A4DE}"/>
    <cellStyle name="Comma 2 2 2 2 4 4 2 2" xfId="7885" xr:uid="{804D573E-DD16-4EA6-9F29-00968050BB09}"/>
    <cellStyle name="Comma 2 2 2 2 4 4 3" xfId="5017" xr:uid="{B9748482-048C-4D3C-B356-A24851CB671D}"/>
    <cellStyle name="Comma 2 2 2 2 4 4 3 2" xfId="9188" xr:uid="{4F31136F-D625-4FBC-85B5-DF8DC3FF4864}"/>
    <cellStyle name="Comma 2 2 2 2 4 4 4" xfId="6578" xr:uid="{C2982365-A3B4-404F-89D9-F0E862DFC8E4}"/>
    <cellStyle name="Comma 2 2 2 2 4 5" xfId="2229" xr:uid="{A12FF7EC-DEEC-4297-BC4E-33851EB2AAA9}"/>
    <cellStyle name="Comma 2 2 2 2 4 5 2" xfId="3615" xr:uid="{4CBD60C6-6F35-488F-9C9C-491F7E178F6B}"/>
    <cellStyle name="Comma 2 2 2 2 4 5 2 2" xfId="7804" xr:uid="{25E5EEA3-A89E-4FD1-B2DF-DCB68BCFB8F4}"/>
    <cellStyle name="Comma 2 2 2 2 4 5 3" xfId="4936" xr:uid="{54DB9798-476F-4C92-B606-BB5D32985C80}"/>
    <cellStyle name="Comma 2 2 2 2 4 5 3 2" xfId="9107" xr:uid="{EBD50796-0EC9-4125-A8C5-B3D321BFF938}"/>
    <cellStyle name="Comma 2 2 2 2 4 5 4" xfId="6497" xr:uid="{37A48E2D-7618-4171-B9B3-4B6C72A36F12}"/>
    <cellStyle name="Comma 2 2 2 2 4 6" xfId="3100" xr:uid="{406A8E90-FE98-4321-BF5C-4D6E7C249044}"/>
    <cellStyle name="Comma 2 2 2 2 4 6 2" xfId="7301" xr:uid="{5CCC8642-57C7-485F-A34B-884BA9B32C63}"/>
    <cellStyle name="Comma 2 2 2 2 4 7" xfId="4415" xr:uid="{415C653E-D81D-4125-BDCD-99E759F7B4CB}"/>
    <cellStyle name="Comma 2 2 2 2 4 7 2" xfId="8598" xr:uid="{90F550C1-CE75-4639-8976-49B1A7E60994}"/>
    <cellStyle name="Comma 2 2 2 2 4 8" xfId="5982" xr:uid="{7E6A23E9-55FA-4F6C-A7B3-9BDE00F4DBF9}"/>
    <cellStyle name="Comma 2 2 2 2 5" xfId="779" xr:uid="{C246AC17-07CD-4AE1-9567-7AB649790329}"/>
    <cellStyle name="Comma 2 2 2 2 5 2" xfId="2656" xr:uid="{D34616C8-AE5F-468A-8D2F-9CE395BBA2ED}"/>
    <cellStyle name="Comma 2 2 2 2 5 2 2" xfId="4004" xr:uid="{05B72D2B-E007-4811-A265-854A7A93BBF8}"/>
    <cellStyle name="Comma 2 2 2 2 5 2 2 2" xfId="8193" xr:uid="{5053EE1C-42EE-4494-88AA-344317CBA9D8}"/>
    <cellStyle name="Comma 2 2 2 2 5 2 3" xfId="5325" xr:uid="{3BFA2A87-8CA7-4CAE-B454-DAAA9CB3AB40}"/>
    <cellStyle name="Comma 2 2 2 2 5 2 3 2" xfId="9496" xr:uid="{5FAE9D68-B2A3-40DF-80A8-7A8A69E4EAF6}"/>
    <cellStyle name="Comma 2 2 2 2 5 2 4" xfId="6886" xr:uid="{2FA53358-0342-471F-AC8C-B50D742540EF}"/>
    <cellStyle name="Comma 2 2 2 2 5 3" xfId="2416" xr:uid="{2A0CA275-D444-4F31-A493-D4ADBA659FE5}"/>
    <cellStyle name="Comma 2 2 2 2 5 3 2" xfId="3764" xr:uid="{B5048963-6681-414C-AA96-EB5610560E0F}"/>
    <cellStyle name="Comma 2 2 2 2 5 3 2 2" xfId="7953" xr:uid="{73240EA2-339B-4286-A686-0ADEBF2FE6DC}"/>
    <cellStyle name="Comma 2 2 2 2 5 3 3" xfId="5085" xr:uid="{EDB33E6F-3717-419C-90D0-F889B72E5A88}"/>
    <cellStyle name="Comma 2 2 2 2 5 3 3 2" xfId="9256" xr:uid="{83EC0C91-0A7A-4F12-97D6-2E018E98C045}"/>
    <cellStyle name="Comma 2 2 2 2 5 3 4" xfId="6646" xr:uid="{89BEB7C2-753C-44C1-A4BD-C02801A62EBD}"/>
    <cellStyle name="Comma 2 2 2 2 5 4" xfId="3056" xr:uid="{3A58DC08-E318-4B1D-88EE-B8658CF83E01}"/>
    <cellStyle name="Comma 2 2 2 2 5 4 2" xfId="7259" xr:uid="{AEDAEC37-0EB4-45C6-94FA-65514A366BA9}"/>
    <cellStyle name="Comma 2 2 2 2 5 5" xfId="4371" xr:uid="{13DF130C-1680-43AD-A929-52F4118B9DC5}"/>
    <cellStyle name="Comma 2 2 2 2 5 5 2" xfId="8556" xr:uid="{C288D8C3-6586-4CE3-8142-7A1C1EDB3311}"/>
    <cellStyle name="Comma 2 2 2 2 5 6" xfId="5940" xr:uid="{9E461FFC-E3E3-43A5-B35E-A6AEFB9B44D6}"/>
    <cellStyle name="Comma 2 2 2 2 6" xfId="790" xr:uid="{B287880D-E3AB-4EC9-B574-31C95B87E40F}"/>
    <cellStyle name="Comma 2 2 2 2 6 2" xfId="2683" xr:uid="{0FA3FC8B-CFB6-4191-B44C-05DBB3131FD9}"/>
    <cellStyle name="Comma 2 2 2 2 6 2 2" xfId="4031" xr:uid="{F68D211B-3617-4487-BE68-CD673D913365}"/>
    <cellStyle name="Comma 2 2 2 2 6 2 2 2" xfId="8220" xr:uid="{3642BE2D-A9BA-4C34-9066-5B132AB34AFB}"/>
    <cellStyle name="Comma 2 2 2 2 6 2 3" xfId="5352" xr:uid="{CC86587A-D83D-4BA7-A8CA-EB33C9028461}"/>
    <cellStyle name="Comma 2 2 2 2 6 2 3 2" xfId="9523" xr:uid="{C966DF23-E9D1-43C9-B2B2-BC1EF54C8B11}"/>
    <cellStyle name="Comma 2 2 2 2 6 2 4" xfId="6913" xr:uid="{23AB9815-1113-4758-A0A7-97FEE288B22C}"/>
    <cellStyle name="Comma 2 2 2 2 6 3" xfId="2443" xr:uid="{5F0948EF-F808-4105-B285-F7A93A30B789}"/>
    <cellStyle name="Comma 2 2 2 2 6 3 2" xfId="3791" xr:uid="{D4269416-0D0E-4D1F-A1DE-FED4C7F1F77D}"/>
    <cellStyle name="Comma 2 2 2 2 6 3 2 2" xfId="7980" xr:uid="{4409FB75-1042-499A-8FA1-C0051A73BF8A}"/>
    <cellStyle name="Comma 2 2 2 2 6 3 3" xfId="5112" xr:uid="{DEECBCD1-F62C-46C3-AB91-4D8C650C1C4C}"/>
    <cellStyle name="Comma 2 2 2 2 6 3 3 2" xfId="9283" xr:uid="{5560D894-F6A0-499C-B13D-1C012FE74974}"/>
    <cellStyle name="Comma 2 2 2 2 6 3 4" xfId="6673" xr:uid="{38E2BE72-25CA-4247-AA7E-836312A5EB17}"/>
    <cellStyle name="Comma 2 2 2 2 6 4" xfId="3067" xr:uid="{D6AEFCE3-CC2A-40F6-8CF7-CF6FA23730CF}"/>
    <cellStyle name="Comma 2 2 2 2 6 4 2" xfId="7270" xr:uid="{7F48A604-6C8C-4F1D-9736-FED82E9D8963}"/>
    <cellStyle name="Comma 2 2 2 2 6 5" xfId="4382" xr:uid="{63BF7D83-3844-412C-AF1A-4E00BF887E08}"/>
    <cellStyle name="Comma 2 2 2 2 6 5 2" xfId="8567" xr:uid="{9E0BEF27-0BA6-4609-97AA-4260CBE7AE04}"/>
    <cellStyle name="Comma 2 2 2 2 6 6" xfId="5951" xr:uid="{82943516-E625-406F-9272-338F18D40659}"/>
    <cellStyle name="Comma 2 2 2 2 7" xfId="2524" xr:uid="{0B5B7662-35D3-4B63-B767-12A40C0AD5F2}"/>
    <cellStyle name="Comma 2 2 2 2 7 2" xfId="3872" xr:uid="{F49A143E-DB62-472B-B610-D33A960A17D9}"/>
    <cellStyle name="Comma 2 2 2 2 7 2 2" xfId="8061" xr:uid="{A435434E-C5D8-4CAF-9678-B34819858630}"/>
    <cellStyle name="Comma 2 2 2 2 7 3" xfId="5193" xr:uid="{FDD226EE-3364-4A4D-965C-88DFDE0F38A8}"/>
    <cellStyle name="Comma 2 2 2 2 7 3 2" xfId="9364" xr:uid="{868F181B-BC8A-4347-91D4-D945BD30ED6F}"/>
    <cellStyle name="Comma 2 2 2 2 7 4" xfId="6754" xr:uid="{EA4B5F4B-C5EB-42BF-B564-273D1CBE2FAB}"/>
    <cellStyle name="Comma 2 2 2 2 8" xfId="2278" xr:uid="{1BEAC725-8BF9-418C-B413-35F9BE4C06AC}"/>
    <cellStyle name="Comma 2 2 2 2 8 2" xfId="3632" xr:uid="{7C218575-91AF-480C-B731-CF5700D84E68}"/>
    <cellStyle name="Comma 2 2 2 2 8 2 2" xfId="7821" xr:uid="{6B952A14-4B72-480F-AD40-2789737A65AC}"/>
    <cellStyle name="Comma 2 2 2 2 8 3" xfId="4953" xr:uid="{794C18D6-C871-46FF-838B-9DA8927B7C29}"/>
    <cellStyle name="Comma 2 2 2 2 8 3 2" xfId="9124" xr:uid="{37B4D65F-6EBC-484E-B25B-E24D95DA87A3}"/>
    <cellStyle name="Comma 2 2 2 2 8 4" xfId="6514" xr:uid="{725FEFE5-8BE4-4B3C-ABD3-811529E594FB}"/>
    <cellStyle name="Comma 2 2 2 2 9" xfId="2114" xr:uid="{EE35CCE4-3799-4ADC-B21A-82DCD44ED09F}"/>
    <cellStyle name="Comma 2 2 2 2 9 2" xfId="3551" xr:uid="{D8EAB44E-8798-4674-A509-46B5191817C8}"/>
    <cellStyle name="Comma 2 2 2 2 9 2 2" xfId="7740" xr:uid="{545F429A-6818-40A4-93C0-E77B61FF1289}"/>
    <cellStyle name="Comma 2 2 2 2 9 3" xfId="4872" xr:uid="{3E639E1C-14C7-40DA-85BD-D54D14F4BC76}"/>
    <cellStyle name="Comma 2 2 2 2 9 3 2" xfId="9043" xr:uid="{949DFD10-885D-4A5C-9B18-66BB0FC9B043}"/>
    <cellStyle name="Comma 2 2 2 2 9 4" xfId="6433" xr:uid="{9A41C5BC-A5EF-4E2B-BE98-6E0EE86805F2}"/>
    <cellStyle name="Comma 2 2 2 3" xfId="778" xr:uid="{B2F560FD-245C-4334-B6B2-FE6FC513CD54}"/>
    <cellStyle name="Comma 2 2 2 3 10" xfId="4370" xr:uid="{0725EF41-1070-4684-8C7A-2BC4EDC7C184}"/>
    <cellStyle name="Comma 2 2 2 3 10 2" xfId="8555" xr:uid="{4E8F91C3-4A65-4062-B81D-17D1EB7ED6BB}"/>
    <cellStyle name="Comma 2 2 2 3 11" xfId="5939" xr:uid="{1C159A76-E5D9-41A2-B158-8ABFB18E5A4B}"/>
    <cellStyle name="Comma 2 2 2 3 2" xfId="777" xr:uid="{412753A1-0557-470F-BB3E-4ECEF655800E}"/>
    <cellStyle name="Comma 2 2 2 3 2 2" xfId="776" xr:uid="{D2C5AE34-CED4-42B8-84DF-7F9E9E7C8E87}"/>
    <cellStyle name="Comma 2 2 2 3 2 2 2" xfId="775" xr:uid="{EF2B7387-7C55-4703-9F18-4A874CFD4B37}"/>
    <cellStyle name="Comma 2 2 2 3 2 2 2 2" xfId="2628" xr:uid="{E0C55F33-1667-48A5-9F79-D7C3DCCF2CA5}"/>
    <cellStyle name="Comma 2 2 2 3 2 2 2 2 2" xfId="3976" xr:uid="{6A89D229-3F89-4C19-A680-877E1A1F8156}"/>
    <cellStyle name="Comma 2 2 2 3 2 2 2 2 2 2" xfId="8165" xr:uid="{EE3342E8-602D-4523-B03A-DB5B352D3CED}"/>
    <cellStyle name="Comma 2 2 2 3 2 2 2 2 3" xfId="5297" xr:uid="{42E5274E-B8C9-4369-8744-336F2B4E41D9}"/>
    <cellStyle name="Comma 2 2 2 3 2 2 2 2 3 2" xfId="9468" xr:uid="{A195CF08-DB92-435C-99D4-150DCC2AE02F}"/>
    <cellStyle name="Comma 2 2 2 3 2 2 2 2 4" xfId="6858" xr:uid="{1D23FCC6-5FCC-4287-8585-9F15E46D93AE}"/>
    <cellStyle name="Comma 2 2 2 3 2 2 2 3" xfId="3052" xr:uid="{4F8C928C-AF84-4740-8DAA-33D8C1EE53DF}"/>
    <cellStyle name="Comma 2 2 2 3 2 2 2 3 2" xfId="7255" xr:uid="{A520F8A0-9160-461D-B515-488940AA0EB3}"/>
    <cellStyle name="Comma 2 2 2 3 2 2 2 4" xfId="4367" xr:uid="{E2638ED5-B6E9-4BB4-9D32-ECB9C4CA27B8}"/>
    <cellStyle name="Comma 2 2 2 3 2 2 2 4 2" xfId="8552" xr:uid="{0C96D503-62BD-403D-B945-A739354C0052}"/>
    <cellStyle name="Comma 2 2 2 3 2 2 2 5" xfId="5936" xr:uid="{AAC4BD95-807D-4A0C-8CF9-28319EC51C92}"/>
    <cellStyle name="Comma 2 2 2 3 2 2 3" xfId="2382" xr:uid="{1A0BF4FC-5224-4046-87D4-992230653C17}"/>
    <cellStyle name="Comma 2 2 2 3 2 2 3 2" xfId="3736" xr:uid="{EEF1252A-C94C-4E05-A53B-DA7679EAB0D7}"/>
    <cellStyle name="Comma 2 2 2 3 2 2 3 2 2" xfId="7925" xr:uid="{89F55090-2F18-4D09-8A2A-D0A3FCD5B2E2}"/>
    <cellStyle name="Comma 2 2 2 3 2 2 3 3" xfId="5057" xr:uid="{748AB55B-BC4F-42CC-8F06-F2F92A1706B7}"/>
    <cellStyle name="Comma 2 2 2 3 2 2 3 3 2" xfId="9228" xr:uid="{0D1EFD21-D5C1-4B37-A7FB-CCF682554BE4}"/>
    <cellStyle name="Comma 2 2 2 3 2 2 3 4" xfId="6618" xr:uid="{7A42A4C8-E1E1-4F7F-A209-7F0A878C0E8A}"/>
    <cellStyle name="Comma 2 2 2 3 2 2 4" xfId="3053" xr:uid="{9C9F0EBB-21E2-4EEB-9F9E-6780A51E40CB}"/>
    <cellStyle name="Comma 2 2 2 3 2 2 4 2" xfId="7256" xr:uid="{067AC86D-DCDD-45D2-9D08-DE54A5DDE65D}"/>
    <cellStyle name="Comma 2 2 2 3 2 2 5" xfId="4368" xr:uid="{3F1B11EC-FB55-4484-9854-99C64464B82C}"/>
    <cellStyle name="Comma 2 2 2 3 2 2 5 2" xfId="8553" xr:uid="{4DE60258-D0A2-4B8F-A32F-331C3FA5F73C}"/>
    <cellStyle name="Comma 2 2 2 3 2 2 6" xfId="5937" xr:uid="{654897C7-AC47-4377-895F-0BB1B0816F85}"/>
    <cellStyle name="Comma 2 2 2 3 2 3" xfId="774" xr:uid="{8760365B-71FE-4BB5-8E7A-B657F433E267}"/>
    <cellStyle name="Comma 2 2 2 3 2 3 2" xfId="2723" xr:uid="{C189D1F1-F790-4CF1-B1DE-4CD87090B983}"/>
    <cellStyle name="Comma 2 2 2 3 2 3 2 2" xfId="4071" xr:uid="{2D985738-6851-4741-99EB-3A92E1637209}"/>
    <cellStyle name="Comma 2 2 2 3 2 3 2 2 2" xfId="8260" xr:uid="{7239477E-D5EB-43AD-8335-501F896C2C77}"/>
    <cellStyle name="Comma 2 2 2 3 2 3 2 3" xfId="5392" xr:uid="{348F38D4-D5CD-4956-8BE9-78A135ABF025}"/>
    <cellStyle name="Comma 2 2 2 3 2 3 2 3 2" xfId="9563" xr:uid="{1CF926F3-475B-4B55-ACD8-CA3EC5F0701F}"/>
    <cellStyle name="Comma 2 2 2 3 2 3 2 4" xfId="6953" xr:uid="{6C1B9F99-84BE-47A0-AE41-C3F725613CB3}"/>
    <cellStyle name="Comma 2 2 2 3 2 3 3" xfId="2483" xr:uid="{16C5457D-A40F-409A-982D-BBA4C1EF710D}"/>
    <cellStyle name="Comma 2 2 2 3 2 3 3 2" xfId="3831" xr:uid="{C9D64FA5-1EB0-4EC5-8860-793269084A75}"/>
    <cellStyle name="Comma 2 2 2 3 2 3 3 2 2" xfId="8020" xr:uid="{455CDD53-6DF5-41AB-A7A0-520482A768C8}"/>
    <cellStyle name="Comma 2 2 2 3 2 3 3 3" xfId="5152" xr:uid="{4EF3E929-4320-4A91-8DEC-AB536361839B}"/>
    <cellStyle name="Comma 2 2 2 3 2 3 3 3 2" xfId="9323" xr:uid="{09959544-3DBF-4A40-8808-CD44EF329CB7}"/>
    <cellStyle name="Comma 2 2 2 3 2 3 3 4" xfId="6713" xr:uid="{2B7D31FC-1EE9-4A7D-9E07-F9167FB6E278}"/>
    <cellStyle name="Comma 2 2 2 3 2 3 4" xfId="3051" xr:uid="{B50AD7EC-D3CE-486E-82AA-92639CC1BDA0}"/>
    <cellStyle name="Comma 2 2 2 3 2 3 4 2" xfId="7254" xr:uid="{CF1A6647-7A08-4B1B-8EED-0450E176FA7A}"/>
    <cellStyle name="Comma 2 2 2 3 2 3 5" xfId="4366" xr:uid="{5BC077CD-86EB-478B-8ED6-07EAD6786EE8}"/>
    <cellStyle name="Comma 2 2 2 3 2 3 5 2" xfId="8551" xr:uid="{E85B7A23-D997-40CE-A64D-120BA7CD34E0}"/>
    <cellStyle name="Comma 2 2 2 3 2 3 6" xfId="5935" xr:uid="{553DF612-E5E0-4817-AE45-5CAA6D5A4C4E}"/>
    <cellStyle name="Comma 2 2 2 3 2 4" xfId="2564" xr:uid="{E36E1FAE-6107-493E-8B9E-7C4048309A6B}"/>
    <cellStyle name="Comma 2 2 2 3 2 4 2" xfId="3912" xr:uid="{A6B95A25-6824-42CE-A1E8-746E0CB5AFAE}"/>
    <cellStyle name="Comma 2 2 2 3 2 4 2 2" xfId="8101" xr:uid="{D6DFA92A-4C6E-40DF-9F71-F059985B1887}"/>
    <cellStyle name="Comma 2 2 2 3 2 4 3" xfId="5233" xr:uid="{C6039E11-C7A5-44A8-A361-58F03E3B3EF9}"/>
    <cellStyle name="Comma 2 2 2 3 2 4 3 2" xfId="9404" xr:uid="{AD23511F-4085-42AA-8CBC-75C2D286EDE8}"/>
    <cellStyle name="Comma 2 2 2 3 2 4 4" xfId="6794" xr:uid="{3C058512-4922-42B0-9624-4191F765964B}"/>
    <cellStyle name="Comma 2 2 2 3 2 5" xfId="2318" xr:uid="{6EBBFCEA-FEFB-41ED-9D5B-B9433705B027}"/>
    <cellStyle name="Comma 2 2 2 3 2 5 2" xfId="3672" xr:uid="{C9B68C17-2C76-46CE-83A7-9797F0D9660C}"/>
    <cellStyle name="Comma 2 2 2 3 2 5 2 2" xfId="7861" xr:uid="{9D511606-0593-48E0-9D95-609594F7BF3B}"/>
    <cellStyle name="Comma 2 2 2 3 2 5 3" xfId="4993" xr:uid="{3EB560C4-5559-4D8E-A168-40F3DC680FE2}"/>
    <cellStyle name="Comma 2 2 2 3 2 5 3 2" xfId="9164" xr:uid="{83E9B892-2DB7-4764-B0C1-5C681DEC7557}"/>
    <cellStyle name="Comma 2 2 2 3 2 5 4" xfId="6554" xr:uid="{B6C6DE1B-3097-4A15-9757-AF7FF8E65B5E}"/>
    <cellStyle name="Comma 2 2 2 3 2 6" xfId="2157" xr:uid="{8CC32AD4-1961-4BFC-A3BB-843A79C570E0}"/>
    <cellStyle name="Comma 2 2 2 3 2 6 2" xfId="3591" xr:uid="{8D27550A-8E56-4FE9-AEA3-E0920EC720A4}"/>
    <cellStyle name="Comma 2 2 2 3 2 6 2 2" xfId="7780" xr:uid="{B06090C0-50B0-44B7-9409-0FCA4FF071D1}"/>
    <cellStyle name="Comma 2 2 2 3 2 6 3" xfId="4912" xr:uid="{EEC34525-A488-48B9-8B6C-42F452F5B8EA}"/>
    <cellStyle name="Comma 2 2 2 3 2 6 3 2" xfId="9083" xr:uid="{613BCB87-9F60-427E-940D-CBC712C22B99}"/>
    <cellStyle name="Comma 2 2 2 3 2 6 4" xfId="6473" xr:uid="{B6F40FB4-7E9B-472B-93CF-01D6EC952B34}"/>
    <cellStyle name="Comma 2 2 2 3 2 7" xfId="3054" xr:uid="{AE91E057-550B-412F-918F-8053E29A6B60}"/>
    <cellStyle name="Comma 2 2 2 3 2 7 2" xfId="7257" xr:uid="{D51ED710-4EFC-4D96-BBCA-A835BC6A8091}"/>
    <cellStyle name="Comma 2 2 2 3 2 8" xfId="4369" xr:uid="{A939099C-7110-4B45-992E-65F4160CC418}"/>
    <cellStyle name="Comma 2 2 2 3 2 8 2" xfId="8554" xr:uid="{5FCDD1B4-D5E1-469A-99C1-EDB71A3BB8DF}"/>
    <cellStyle name="Comma 2 2 2 3 2 9" xfId="5938" xr:uid="{EA8EF0DB-79D6-4B5C-9B85-EE8570FEA4E4}"/>
    <cellStyle name="Comma 2 2 2 3 3" xfId="773" xr:uid="{B0056AB7-11B7-40FE-8BC2-379F5A3E3F31}"/>
    <cellStyle name="Comma 2 2 2 3 3 2" xfId="860" xr:uid="{1CC50BD2-0BB2-491B-8072-D79CC54D7A63}"/>
    <cellStyle name="Comma 2 2 2 3 3 2 2" xfId="2596" xr:uid="{6D20A00C-1D2D-40FC-9C69-F27ACCFC6EA4}"/>
    <cellStyle name="Comma 2 2 2 3 3 2 2 2" xfId="3944" xr:uid="{90B578FF-38F0-4B54-B9CE-9CAE620618EB}"/>
    <cellStyle name="Comma 2 2 2 3 3 2 2 2 2" xfId="8133" xr:uid="{76A6A9C8-8CD2-4D96-A10A-F77AE7D5F0AB}"/>
    <cellStyle name="Comma 2 2 2 3 3 2 2 3" xfId="5265" xr:uid="{CB244FE2-4193-4D61-9BC1-7D4F9CAF72E8}"/>
    <cellStyle name="Comma 2 2 2 3 3 2 2 3 2" xfId="9436" xr:uid="{B71A37BF-AA2E-4415-A054-DDA13A4A4614}"/>
    <cellStyle name="Comma 2 2 2 3 3 2 2 4" xfId="6826" xr:uid="{2E31A458-CADF-473D-904F-1D0DBB6EC422}"/>
    <cellStyle name="Comma 2 2 2 3 3 2 3" xfId="3103" xr:uid="{7F5978A8-13C2-4295-8AAB-69E25CFC3606}"/>
    <cellStyle name="Comma 2 2 2 3 3 2 3 2" xfId="7304" xr:uid="{6161BBA2-21ED-405F-946F-0B131969F3AE}"/>
    <cellStyle name="Comma 2 2 2 3 3 2 4" xfId="4418" xr:uid="{89D48E59-9EDC-4E3E-91C3-1F9FC8B75878}"/>
    <cellStyle name="Comma 2 2 2 3 3 2 4 2" xfId="8601" xr:uid="{D896F61D-7906-41BF-9535-DC0FBB3523AA}"/>
    <cellStyle name="Comma 2 2 2 3 3 2 5" xfId="5985" xr:uid="{DE9B0E8D-F4B7-45BE-8636-675D960D3437}"/>
    <cellStyle name="Comma 2 2 2 3 3 3" xfId="2350" xr:uid="{47329EF8-5139-4386-ACB0-E37E0F2D4827}"/>
    <cellStyle name="Comma 2 2 2 3 3 3 2" xfId="3704" xr:uid="{E668FF49-1959-4DE4-94A8-13F7977A531D}"/>
    <cellStyle name="Comma 2 2 2 3 3 3 2 2" xfId="7893" xr:uid="{84F8B554-4B5E-4549-B023-68F6A59E257E}"/>
    <cellStyle name="Comma 2 2 2 3 3 3 3" xfId="5025" xr:uid="{F7FE2157-1003-4EB4-8451-40F241692C21}"/>
    <cellStyle name="Comma 2 2 2 3 3 3 3 2" xfId="9196" xr:uid="{724B4343-F57D-4A4E-85AF-D8DAEF0F94AD}"/>
    <cellStyle name="Comma 2 2 2 3 3 3 4" xfId="6586" xr:uid="{A4D2FF99-B613-4C4C-B878-939DED08DFEF}"/>
    <cellStyle name="Comma 2 2 2 3 3 4" xfId="3050" xr:uid="{DF58B68B-CD34-447D-88A5-513A71915FF4}"/>
    <cellStyle name="Comma 2 2 2 3 3 4 2" xfId="7253" xr:uid="{CFD56A48-4E74-44C6-9A09-93A4B7E15BA2}"/>
    <cellStyle name="Comma 2 2 2 3 3 5" xfId="4365" xr:uid="{8D792F5D-2B05-40A9-8A8D-722753EDC6B5}"/>
    <cellStyle name="Comma 2 2 2 3 3 5 2" xfId="8550" xr:uid="{ABE96A03-1DCD-4BAA-818F-59989BD0EE74}"/>
    <cellStyle name="Comma 2 2 2 3 3 6" xfId="5934" xr:uid="{14B3D910-69DC-49CB-A353-893CEC08837F}"/>
    <cellStyle name="Comma 2 2 2 3 4" xfId="772" xr:uid="{B20772A7-67BF-456F-8E36-0CA61D3130BA}"/>
    <cellStyle name="Comma 2 2 2 3 4 2" xfId="2666" xr:uid="{38219702-5466-478C-B689-4B26179360E3}"/>
    <cellStyle name="Comma 2 2 2 3 4 2 2" xfId="4014" xr:uid="{6A699A70-8C70-4F66-B1A6-4214EE9A7DB3}"/>
    <cellStyle name="Comma 2 2 2 3 4 2 2 2" xfId="8203" xr:uid="{7C12391B-2655-4035-93E4-229341A65773}"/>
    <cellStyle name="Comma 2 2 2 3 4 2 3" xfId="5335" xr:uid="{73AFD2AB-13C2-4C2E-8188-F5452EB79BA3}"/>
    <cellStyle name="Comma 2 2 2 3 4 2 3 2" xfId="9506" xr:uid="{5AD93959-61DC-45E9-8D09-12DB23EC10C6}"/>
    <cellStyle name="Comma 2 2 2 3 4 2 4" xfId="6896" xr:uid="{832B4B2F-45E5-40D3-86D9-1236339C69A7}"/>
    <cellStyle name="Comma 2 2 2 3 4 3" xfId="2426" xr:uid="{FF316D82-36DE-4C28-B1D6-D76F2676DD46}"/>
    <cellStyle name="Comma 2 2 2 3 4 3 2" xfId="3774" xr:uid="{4670B63C-216F-4C82-92CD-0056C9159343}"/>
    <cellStyle name="Comma 2 2 2 3 4 3 2 2" xfId="7963" xr:uid="{0A361767-99B4-42DE-9D51-9F0B67310D82}"/>
    <cellStyle name="Comma 2 2 2 3 4 3 3" xfId="5095" xr:uid="{CCC6D801-1EDB-4FB7-AA97-41D240F86ACD}"/>
    <cellStyle name="Comma 2 2 2 3 4 3 3 2" xfId="9266" xr:uid="{4BE27060-7C45-4982-95EC-CAF8282B7DEE}"/>
    <cellStyle name="Comma 2 2 2 3 4 3 4" xfId="6656" xr:uid="{F7BBFA85-A3D2-455E-8F22-86B41C6A5DA3}"/>
    <cellStyle name="Comma 2 2 2 3 4 4" xfId="3049" xr:uid="{34F1EFA1-0032-412B-B5B7-D0FCB344749F}"/>
    <cellStyle name="Comma 2 2 2 3 4 4 2" xfId="7252" xr:uid="{CDE75EF6-B8B2-4749-A644-425B20C21F1D}"/>
    <cellStyle name="Comma 2 2 2 3 4 5" xfId="4364" xr:uid="{0777AF7C-A303-4F3C-96EA-E6527F1D7B31}"/>
    <cellStyle name="Comma 2 2 2 3 4 5 2" xfId="8549" xr:uid="{009164DE-BBB2-47D4-8F71-B0A1A9681DDF}"/>
    <cellStyle name="Comma 2 2 2 3 4 6" xfId="5933" xr:uid="{A6B607E9-A87E-4BCC-ADF8-B5055BF21F54}"/>
    <cellStyle name="Comma 2 2 2 3 5" xfId="2451" xr:uid="{EA11860C-2F97-42A7-A90C-E32396A0FF42}"/>
    <cellStyle name="Comma 2 2 2 3 5 2" xfId="2691" xr:uid="{8BF91F06-F60E-47E8-B653-506386792ECB}"/>
    <cellStyle name="Comma 2 2 2 3 5 2 2" xfId="4039" xr:uid="{6B965DBE-8ED3-4C21-97BE-6E78C78E172F}"/>
    <cellStyle name="Comma 2 2 2 3 5 2 2 2" xfId="8228" xr:uid="{A64294F6-676B-458C-B840-5C0E7C7283AD}"/>
    <cellStyle name="Comma 2 2 2 3 5 2 3" xfId="5360" xr:uid="{D075F6F6-5558-44FD-8B31-B8B9E5FA0898}"/>
    <cellStyle name="Comma 2 2 2 3 5 2 3 2" xfId="9531" xr:uid="{BACBA20A-39DA-4D8F-97F7-9487842AD406}"/>
    <cellStyle name="Comma 2 2 2 3 5 2 4" xfId="6921" xr:uid="{90320CED-BBA3-413C-B3B4-17730919CF37}"/>
    <cellStyle name="Comma 2 2 2 3 5 3" xfId="3799" xr:uid="{760E86D4-58C0-47C1-B8A4-C4C1C459ED5C}"/>
    <cellStyle name="Comma 2 2 2 3 5 3 2" xfId="7988" xr:uid="{2ABECA34-6A2B-405E-9E3B-0639FE101D89}"/>
    <cellStyle name="Comma 2 2 2 3 5 4" xfId="5120" xr:uid="{DC05B7AE-A91E-4BF0-9BBD-5D6A9077FC2F}"/>
    <cellStyle name="Comma 2 2 2 3 5 4 2" xfId="9291" xr:uid="{BCF6D0A6-0954-4BBD-8CAE-346808D098FF}"/>
    <cellStyle name="Comma 2 2 2 3 5 5" xfId="6681" xr:uid="{0E459E74-27B9-4E8A-801F-461C4BB29390}"/>
    <cellStyle name="Comma 2 2 2 3 6" xfId="2532" xr:uid="{05F2C9AB-7AFD-4DBE-B4A0-132A0C0A2799}"/>
    <cellStyle name="Comma 2 2 2 3 6 2" xfId="3880" xr:uid="{385F4AE3-BC67-4AED-B934-221342AA6C0F}"/>
    <cellStyle name="Comma 2 2 2 3 6 2 2" xfId="8069" xr:uid="{8DE59B0E-4C49-4248-8BC0-E397A0BC16E0}"/>
    <cellStyle name="Comma 2 2 2 3 6 3" xfId="5201" xr:uid="{B093589C-2FD4-44A6-BA37-2D0E09A7B0CF}"/>
    <cellStyle name="Comma 2 2 2 3 6 3 2" xfId="9372" xr:uid="{A88C3ABD-81B9-4CE7-AAD1-4760475EC927}"/>
    <cellStyle name="Comma 2 2 2 3 6 4" xfId="6762" xr:uid="{F1CB89B5-B46E-43E8-9401-09C77D269932}"/>
    <cellStyle name="Comma 2 2 2 3 7" xfId="2286" xr:uid="{4AA4BAE4-440B-48BE-943B-E89803BABFDB}"/>
    <cellStyle name="Comma 2 2 2 3 7 2" xfId="3640" xr:uid="{45F883B9-7602-40C0-B904-0CD4FE3FF843}"/>
    <cellStyle name="Comma 2 2 2 3 7 2 2" xfId="7829" xr:uid="{5E567E61-4689-4210-AAAE-BA07EEB1472F}"/>
    <cellStyle name="Comma 2 2 2 3 7 3" xfId="4961" xr:uid="{A2F7264D-1867-4511-AA01-540B52B01F82}"/>
    <cellStyle name="Comma 2 2 2 3 7 3 2" xfId="9132" xr:uid="{E475F8A6-A143-4E96-BC2B-8B5281F58743}"/>
    <cellStyle name="Comma 2 2 2 3 7 4" xfId="6522" xr:uid="{461A14AD-A408-4071-B9B2-3A2F0ECBEF3F}"/>
    <cellStyle name="Comma 2 2 2 3 8" xfId="2122" xr:uid="{261D9D19-5F81-4669-8CE8-1215208905E4}"/>
    <cellStyle name="Comma 2 2 2 3 8 2" xfId="3559" xr:uid="{BC2D006B-6D9B-4A97-8C74-BBEB065F6FF1}"/>
    <cellStyle name="Comma 2 2 2 3 8 2 2" xfId="7748" xr:uid="{ED3E29A9-D5E7-4012-93A9-AFB966FD7976}"/>
    <cellStyle name="Comma 2 2 2 3 8 3" xfId="4880" xr:uid="{63B91B75-F997-4FAF-A9CA-D23836B97E0A}"/>
    <cellStyle name="Comma 2 2 2 3 8 3 2" xfId="9051" xr:uid="{299007E3-CDDC-4A83-BCEC-702DF2815BC0}"/>
    <cellStyle name="Comma 2 2 2 3 8 4" xfId="6441" xr:uid="{27779718-B1E7-4AE8-96F2-72467EC097DE}"/>
    <cellStyle name="Comma 2 2 2 3 9" xfId="3055" xr:uid="{78239236-7015-4F1A-BB4F-A857BE6F340C}"/>
    <cellStyle name="Comma 2 2 2 3 9 2" xfId="7258" xr:uid="{98E33FCA-29D7-4640-AE15-7C810300A164}"/>
    <cellStyle name="Comma 2 2 2 4" xfId="926" xr:uid="{55E3072D-E7CF-41A1-82A0-8E07D7218B60}"/>
    <cellStyle name="Comma 2 2 2 4 2" xfId="928" xr:uid="{E0C7C5F9-38AD-4A67-9ADF-1A75E474D9FB}"/>
    <cellStyle name="Comma 2 2 2 4 2 2" xfId="1346" xr:uid="{97F1A8B1-ACD6-48C6-BF9D-033DCA3E96B9}"/>
    <cellStyle name="Comma 2 2 2 4 2 2 2" xfId="2612" xr:uid="{281870B9-7E27-476D-B712-9051B91DE3AF}"/>
    <cellStyle name="Comma 2 2 2 4 2 2 2 2" xfId="3960" xr:uid="{4C6C1D64-4F13-4D1E-B75E-DCA903D2726F}"/>
    <cellStyle name="Comma 2 2 2 4 2 2 2 2 2" xfId="8149" xr:uid="{B3DE51A6-B37E-4727-BD85-5C6974E085FA}"/>
    <cellStyle name="Comma 2 2 2 4 2 2 2 3" xfId="5281" xr:uid="{98540240-86D5-40D7-8780-54AB80F7F659}"/>
    <cellStyle name="Comma 2 2 2 4 2 2 2 3 2" xfId="9452" xr:uid="{BB16D1B2-47EF-4A35-BC23-7B175F19C209}"/>
    <cellStyle name="Comma 2 2 2 4 2 2 2 4" xfId="6842" xr:uid="{8F1ABC11-8C1E-43A6-BD2D-931BEC1025CC}"/>
    <cellStyle name="Comma 2 2 2 4 2 2 3" xfId="3511" xr:uid="{5B4D5350-1552-44C2-BEF5-5C2AC2D7D1AF}"/>
    <cellStyle name="Comma 2 2 2 4 2 2 3 2" xfId="7708" xr:uid="{3371E024-57B7-4323-A48D-13E10D8751F5}"/>
    <cellStyle name="Comma 2 2 2 4 2 2 4" xfId="4831" xr:uid="{77C1E50A-CD03-48D5-9939-AD5DF0836C99}"/>
    <cellStyle name="Comma 2 2 2 4 2 2 4 2" xfId="9010" xr:uid="{92A382B7-D4A4-423D-BFB4-92B8E25F7A16}"/>
    <cellStyle name="Comma 2 2 2 4 2 2 5" xfId="6395" xr:uid="{D459D1CA-C7C2-4804-8760-B0C4F0FD0741}"/>
    <cellStyle name="Comma 2 2 2 4 2 3" xfId="2366" xr:uid="{DD3AC7B9-2FE7-4034-956D-D7E6A641F9FB}"/>
    <cellStyle name="Comma 2 2 2 4 2 3 2" xfId="3720" xr:uid="{8D63CAC9-2ACF-49B7-BC28-C52398D28DD6}"/>
    <cellStyle name="Comma 2 2 2 4 2 3 2 2" xfId="7909" xr:uid="{8D7621AA-8D80-46E1-9DEC-3594AEC9AFD2}"/>
    <cellStyle name="Comma 2 2 2 4 2 3 3" xfId="5041" xr:uid="{00B5E481-803B-4523-944A-50731327E65C}"/>
    <cellStyle name="Comma 2 2 2 4 2 3 3 2" xfId="9212" xr:uid="{F4374C96-F664-4B39-B500-3478D01CD357}"/>
    <cellStyle name="Comma 2 2 2 4 2 3 4" xfId="6602" xr:uid="{C97AB02E-A406-409A-B4DA-68A58ADA52F0}"/>
    <cellStyle name="Comma 2 2 2 4 2 4" xfId="3154" xr:uid="{9FD823BC-1CAF-427E-9BCC-A59BC252D381}"/>
    <cellStyle name="Comma 2 2 2 4 2 4 2" xfId="7355" xr:uid="{9582C69E-698A-49AF-82AB-5768FC8433F4}"/>
    <cellStyle name="Comma 2 2 2 4 2 5" xfId="4470" xr:uid="{2FA2ABA0-B6BA-4E6F-B597-A78A8346AF92}"/>
    <cellStyle name="Comma 2 2 2 4 2 5 2" xfId="8653" xr:uid="{AAF13C8E-3673-4399-AEEA-ABD1E6994168}"/>
    <cellStyle name="Comma 2 2 2 4 2 6" xfId="6038" xr:uid="{2EC75907-2076-47F0-9584-D5529FB6C787}"/>
    <cellStyle name="Comma 2 2 2 4 3" xfId="735" xr:uid="{78DA3E7C-C014-414B-8C13-FF6BDDCA4AD7}"/>
    <cellStyle name="Comma 2 2 2 4 3 2" xfId="2707" xr:uid="{CE3D85C9-5BFA-40FD-AA1D-819238C84CE2}"/>
    <cellStyle name="Comma 2 2 2 4 3 2 2" xfId="4055" xr:uid="{471C24F2-AF90-4F4C-8960-8B4D42ED2B48}"/>
    <cellStyle name="Comma 2 2 2 4 3 2 2 2" xfId="8244" xr:uid="{6408B318-4ED8-4312-8BA2-F0AA8C210F30}"/>
    <cellStyle name="Comma 2 2 2 4 3 2 3" xfId="5376" xr:uid="{8CDFB30A-8AC8-4093-9BD3-DACA571ECB52}"/>
    <cellStyle name="Comma 2 2 2 4 3 2 3 2" xfId="9547" xr:uid="{4280F38D-D6B3-4B20-9A82-7A1BC2880FC8}"/>
    <cellStyle name="Comma 2 2 2 4 3 2 4" xfId="6937" xr:uid="{4B1F5258-B0E7-4606-BC80-F3611BCAD811}"/>
    <cellStyle name="Comma 2 2 2 4 3 3" xfId="2467" xr:uid="{2B04A052-DEAE-4518-975E-C902B3ECEB7A}"/>
    <cellStyle name="Comma 2 2 2 4 3 3 2" xfId="3815" xr:uid="{E2D207A4-807F-490A-83B8-D0A8A3C9E505}"/>
    <cellStyle name="Comma 2 2 2 4 3 3 2 2" xfId="8004" xr:uid="{61F33812-2E35-4755-9C14-4D7DD8B1B64C}"/>
    <cellStyle name="Comma 2 2 2 4 3 3 3" xfId="5136" xr:uid="{C0F5A605-1227-43DA-9172-44A05D407D09}"/>
    <cellStyle name="Comma 2 2 2 4 3 3 3 2" xfId="9307" xr:uid="{5346F39A-A921-4D65-AFAD-3A8C17005B22}"/>
    <cellStyle name="Comma 2 2 2 4 3 3 4" xfId="6697" xr:uid="{2B31AD73-0799-411D-B446-7EA454C405AA}"/>
    <cellStyle name="Comma 2 2 2 4 3 4" xfId="3017" xr:uid="{76D0C68F-0ADA-4AD6-BADF-82BCC3BA8254}"/>
    <cellStyle name="Comma 2 2 2 4 3 4 2" xfId="7220" xr:uid="{6295705B-FD87-4C27-84EC-E8553779FCF0}"/>
    <cellStyle name="Comma 2 2 2 4 3 5" xfId="4332" xr:uid="{1B76BC01-DBC2-465D-A47E-31D92E75C1E5}"/>
    <cellStyle name="Comma 2 2 2 4 3 5 2" xfId="8517" xr:uid="{576B43EA-ED20-4EC1-997D-0C61385C6EC8}"/>
    <cellStyle name="Comma 2 2 2 4 3 6" xfId="5901" xr:uid="{EBCA9FD4-3B69-4005-8974-29189B794E18}"/>
    <cellStyle name="Comma 2 2 2 4 4" xfId="2548" xr:uid="{806ACDC6-FE13-40E0-AD31-BAA7AC096C11}"/>
    <cellStyle name="Comma 2 2 2 4 4 2" xfId="3896" xr:uid="{1F9E0A66-E2B5-4C92-930F-D4CFA25AA71C}"/>
    <cellStyle name="Comma 2 2 2 4 4 2 2" xfId="8085" xr:uid="{EBF888F4-7971-4FB1-B87B-2D04A3DA3CB7}"/>
    <cellStyle name="Comma 2 2 2 4 4 3" xfId="5217" xr:uid="{D1A907A8-4BBA-4435-9F2B-C1FAB1D7AAC7}"/>
    <cellStyle name="Comma 2 2 2 4 4 3 2" xfId="9388" xr:uid="{9B695153-C614-42B2-ABA8-52BCB7BF5B59}"/>
    <cellStyle name="Comma 2 2 2 4 4 4" xfId="6778" xr:uid="{DB2F7124-6B6A-4B41-AEE5-CCBBC8C3BEFC}"/>
    <cellStyle name="Comma 2 2 2 4 5" xfId="2302" xr:uid="{2E922350-A8A3-44B0-B6B1-90551ED0695E}"/>
    <cellStyle name="Comma 2 2 2 4 5 2" xfId="3656" xr:uid="{3BBEA8D9-9DCE-491B-B160-F30E41C61928}"/>
    <cellStyle name="Comma 2 2 2 4 5 2 2" xfId="7845" xr:uid="{D426F8E9-4FC6-4864-B59A-45918CAD032D}"/>
    <cellStyle name="Comma 2 2 2 4 5 3" xfId="4977" xr:uid="{1DDCEC11-81EE-4ECE-B268-119F41D639D5}"/>
    <cellStyle name="Comma 2 2 2 4 5 3 2" xfId="9148" xr:uid="{624BCF34-78DB-4D97-8538-E2AF6FE387D3}"/>
    <cellStyle name="Comma 2 2 2 4 5 4" xfId="6538" xr:uid="{96072E62-76B2-417C-BF7D-8DF017458EFB}"/>
    <cellStyle name="Comma 2 2 2 4 6" xfId="2141" xr:uid="{14D0B904-DF22-455B-9C7B-248AC7064D86}"/>
    <cellStyle name="Comma 2 2 2 4 6 2" xfId="3575" xr:uid="{702A6F41-3103-40F7-BBE5-DC97E96C600A}"/>
    <cellStyle name="Comma 2 2 2 4 6 2 2" xfId="7764" xr:uid="{091EFCBB-2837-46F4-9FC5-765E1D668977}"/>
    <cellStyle name="Comma 2 2 2 4 6 3" xfId="4896" xr:uid="{2953C12D-915E-4DB9-A781-582DC12E5B4E}"/>
    <cellStyle name="Comma 2 2 2 4 6 3 2" xfId="9067" xr:uid="{1CF221D3-31E8-4A98-86AC-69F1A1BA55D9}"/>
    <cellStyle name="Comma 2 2 2 4 6 4" xfId="6457" xr:uid="{B275D585-98D6-4CFF-A123-7AFEFF436C4A}"/>
    <cellStyle name="Comma 2 2 2 4 7" xfId="3152" xr:uid="{0DD4DC70-B241-4269-8E27-9767E0C76817}"/>
    <cellStyle name="Comma 2 2 2 4 7 2" xfId="7353" xr:uid="{CBD05A4B-3DE0-4B8D-9D53-DA7A6083866C}"/>
    <cellStyle name="Comma 2 2 2 4 8" xfId="4468" xr:uid="{7FA00E0C-88B5-471D-B026-84CB819F6624}"/>
    <cellStyle name="Comma 2 2 2 4 8 2" xfId="8651" xr:uid="{BEEBCCD9-8DBB-4C22-A7B2-040B371DB953}"/>
    <cellStyle name="Comma 2 2 2 4 9" xfId="6036" xr:uid="{17EB27FC-E2B5-4D17-88D9-D6FA287087B6}"/>
    <cellStyle name="Comma 2 2 2 5" xfId="771" xr:uid="{FC9A731B-1809-4396-829F-732ED45B33ED}"/>
    <cellStyle name="Comma 2 2 2 5 2" xfId="877" xr:uid="{3C3142CB-B581-4A05-B8E8-CC4DECECE3B2}"/>
    <cellStyle name="Comma 2 2 2 5 2 2" xfId="927" xr:uid="{82C9C84D-C0FE-4875-B867-CF77A1E5CB25}"/>
    <cellStyle name="Comma 2 2 2 5 2 2 2" xfId="2739" xr:uid="{143301AE-7877-43C0-9F2B-9657D55DE6CE}"/>
    <cellStyle name="Comma 2 2 2 5 2 2 2 2" xfId="4087" xr:uid="{C305557A-643F-4635-B85A-69B6374FCB9A}"/>
    <cellStyle name="Comma 2 2 2 5 2 2 2 2 2" xfId="8276" xr:uid="{6B68B27D-D3A0-4E80-918F-66ACDA8B63F6}"/>
    <cellStyle name="Comma 2 2 2 5 2 2 2 3" xfId="5408" xr:uid="{7C1B1B6D-A5F2-40A4-B9ED-1CA0684D4A15}"/>
    <cellStyle name="Comma 2 2 2 5 2 2 2 3 2" xfId="9579" xr:uid="{FA17871C-BDDA-462D-8F61-A4F189E0C145}"/>
    <cellStyle name="Comma 2 2 2 5 2 2 2 4" xfId="6969" xr:uid="{40AEFC9F-60DA-49A9-8BFA-804C209DF9BD}"/>
    <cellStyle name="Comma 2 2 2 5 2 2 3" xfId="3153" xr:uid="{77787D2B-E286-453F-8820-7D52ED5B3999}"/>
    <cellStyle name="Comma 2 2 2 5 2 2 3 2" xfId="7354" xr:uid="{C092435E-EAFF-40E1-8303-204D94F2F2E5}"/>
    <cellStyle name="Comma 2 2 2 5 2 2 4" xfId="4469" xr:uid="{36E78DC0-99F6-4495-B863-40B8FC8603D5}"/>
    <cellStyle name="Comma 2 2 2 5 2 2 4 2" xfId="8652" xr:uid="{38260F21-4CF8-4B29-95B5-E932FFD4A15E}"/>
    <cellStyle name="Comma 2 2 2 5 2 2 5" xfId="6037" xr:uid="{203ECE57-9919-4E37-ACA7-EB38763F1051}"/>
    <cellStyle name="Comma 2 2 2 5 2 3" xfId="2499" xr:uid="{00D19CD1-6908-4D3E-BA25-ACFAD706D510}"/>
    <cellStyle name="Comma 2 2 2 5 2 3 2" xfId="3847" xr:uid="{3283A16E-F378-4E0F-8DBD-44A923E987C1}"/>
    <cellStyle name="Comma 2 2 2 5 2 3 2 2" xfId="8036" xr:uid="{5501E31A-DBD0-4DF4-A9EF-10B49488CBA5}"/>
    <cellStyle name="Comma 2 2 2 5 2 3 3" xfId="5168" xr:uid="{AFFD4ED4-ACEC-4C21-AC18-233A5C540409}"/>
    <cellStyle name="Comma 2 2 2 5 2 3 3 2" xfId="9339" xr:uid="{645985FF-C94E-42E2-BF2A-702F68D86094}"/>
    <cellStyle name="Comma 2 2 2 5 2 3 4" xfId="6729" xr:uid="{8D8BEF68-8FCD-4F9D-84C2-07A520411A4F}"/>
    <cellStyle name="Comma 2 2 2 5 2 4" xfId="3112" xr:uid="{83F29130-4F85-48BF-83C9-BE7F1E77F5F9}"/>
    <cellStyle name="Comma 2 2 2 5 2 4 2" xfId="7313" xr:uid="{8317077B-0508-45C7-BF71-3892ED3B3BD2}"/>
    <cellStyle name="Comma 2 2 2 5 2 5" xfId="4427" xr:uid="{D2D4E605-C0AE-4843-BBEF-9A11A3C4383A}"/>
    <cellStyle name="Comma 2 2 2 5 2 5 2" xfId="8610" xr:uid="{46321D39-7278-4548-91A1-F68D5A31F216}"/>
    <cellStyle name="Comma 2 2 2 5 2 6" xfId="5994" xr:uid="{8DA8065F-BF93-4BDC-8B47-1143739A7B87}"/>
    <cellStyle name="Comma 2 2 2 5 3" xfId="770" xr:uid="{0A431D4A-B1C9-4509-9CF5-087B47F61663}"/>
    <cellStyle name="Comma 2 2 2 5 3 2" xfId="2580" xr:uid="{A23807C6-3ED5-46E0-B776-CF3DD4F3139D}"/>
    <cellStyle name="Comma 2 2 2 5 3 2 2" xfId="3928" xr:uid="{FD66D735-E302-48EE-98BC-E33AB30DF14C}"/>
    <cellStyle name="Comma 2 2 2 5 3 2 2 2" xfId="8117" xr:uid="{5FCFCA0A-68CF-498C-9D1F-E5409DC00B94}"/>
    <cellStyle name="Comma 2 2 2 5 3 2 3" xfId="5249" xr:uid="{EE5930BD-54B3-4F1B-9FB7-AE28BD51F8AD}"/>
    <cellStyle name="Comma 2 2 2 5 3 2 3 2" xfId="9420" xr:uid="{7291F00A-F275-4BD3-BAE3-B6CD85B783E1}"/>
    <cellStyle name="Comma 2 2 2 5 3 2 4" xfId="6810" xr:uid="{51891595-6D0E-4E30-A6D1-1CCEA69D9D05}"/>
    <cellStyle name="Comma 2 2 2 5 3 3" xfId="3047" xr:uid="{872CDFBA-A6C8-4278-81A3-F4D3BE3DD992}"/>
    <cellStyle name="Comma 2 2 2 5 3 3 2" xfId="7250" xr:uid="{49466FEF-4ACB-4AB1-91BB-08722632C64C}"/>
    <cellStyle name="Comma 2 2 2 5 3 4" xfId="4362" xr:uid="{8DF9AFBD-11DB-48C6-9720-ECE41E748AB0}"/>
    <cellStyle name="Comma 2 2 2 5 3 4 2" xfId="8547" xr:uid="{E86A496A-48F9-4E26-8D5B-31F399743348}"/>
    <cellStyle name="Comma 2 2 2 5 3 5" xfId="5931" xr:uid="{C91215CC-E8C7-4735-8832-32BC77CBE832}"/>
    <cellStyle name="Comma 2 2 2 5 4" xfId="2334" xr:uid="{CBC66A39-AD0F-48CF-A302-6A4067A28B76}"/>
    <cellStyle name="Comma 2 2 2 5 4 2" xfId="3688" xr:uid="{C526A23A-4327-4DD0-9F1F-26B0B93F7A02}"/>
    <cellStyle name="Comma 2 2 2 5 4 2 2" xfId="7877" xr:uid="{CF0A3A29-8491-4C93-8F55-E9CF6DA145B7}"/>
    <cellStyle name="Comma 2 2 2 5 4 3" xfId="5009" xr:uid="{F8B367B2-A511-467C-809C-00139979025C}"/>
    <cellStyle name="Comma 2 2 2 5 4 3 2" xfId="9180" xr:uid="{244D71A6-5A0D-47DD-B75E-8C3B48B0211B}"/>
    <cellStyle name="Comma 2 2 2 5 4 4" xfId="6570" xr:uid="{920083D8-D8E0-4949-8C6B-239AE33CBD5E}"/>
    <cellStyle name="Comma 2 2 2 5 5" xfId="2221" xr:uid="{87FDF34E-6E85-45A7-B95C-8890182EB22E}"/>
    <cellStyle name="Comma 2 2 2 5 5 2" xfId="3607" xr:uid="{FD80E6C4-E660-41BA-B877-2D7E24421ADB}"/>
    <cellStyle name="Comma 2 2 2 5 5 2 2" xfId="7796" xr:uid="{075FB0FC-57AA-4545-A695-F80C3FFB81D9}"/>
    <cellStyle name="Comma 2 2 2 5 5 3" xfId="4928" xr:uid="{C745AC42-4DE5-4075-953C-F1DC69AA7327}"/>
    <cellStyle name="Comma 2 2 2 5 5 3 2" xfId="9099" xr:uid="{87BC5926-AD9A-4151-AA3A-B26AEA04798F}"/>
    <cellStyle name="Comma 2 2 2 5 5 4" xfId="6489" xr:uid="{9D37DE62-4073-48E6-BC54-52F5FAB120A1}"/>
    <cellStyle name="Comma 2 2 2 5 6" xfId="3048" xr:uid="{A4D62F28-776C-48AC-A53B-59A1406FA60B}"/>
    <cellStyle name="Comma 2 2 2 5 6 2" xfId="7251" xr:uid="{48BA016C-4F23-4E2B-9526-64A93C34A8D9}"/>
    <cellStyle name="Comma 2 2 2 5 7" xfId="4363" xr:uid="{1189FC92-6966-4A86-A144-226570D7860D}"/>
    <cellStyle name="Comma 2 2 2 5 7 2" xfId="8548" xr:uid="{0DA04BD0-25F7-400A-8709-FF4C9F65D786}"/>
    <cellStyle name="Comma 2 2 2 5 8" xfId="5932" xr:uid="{9D765C55-C7C6-4033-858F-8AA489FA661F}"/>
    <cellStyle name="Comma 2 2 2 6" xfId="2406" xr:uid="{C94B39A7-5DF9-4741-B59C-8164B036B021}"/>
    <cellStyle name="Comma 2 2 2 6 2" xfId="2646" xr:uid="{A27F509A-FCFB-42C6-BEDA-2802D9B9EF92}"/>
    <cellStyle name="Comma 2 2 2 6 2 2" xfId="3994" xr:uid="{D09A404E-C5AB-4E07-8969-EC478819840F}"/>
    <cellStyle name="Comma 2 2 2 6 2 2 2" xfId="8183" xr:uid="{8C5F5B0E-65E5-4C8A-91B9-FFDBA369E564}"/>
    <cellStyle name="Comma 2 2 2 6 2 3" xfId="5315" xr:uid="{6E8FB06C-6A96-4430-AE7F-CB8E10C7F141}"/>
    <cellStyle name="Comma 2 2 2 6 2 3 2" xfId="9486" xr:uid="{B22F36D3-4F7F-4885-BD77-B21B3A725D42}"/>
    <cellStyle name="Comma 2 2 2 6 2 4" xfId="6876" xr:uid="{94685C64-AABF-46B5-957B-6921DE2AB679}"/>
    <cellStyle name="Comma 2 2 2 6 3" xfId="3754" xr:uid="{6B1961FE-C4CD-48B0-A08B-23246A926B26}"/>
    <cellStyle name="Comma 2 2 2 6 3 2" xfId="7943" xr:uid="{29E89F36-3858-475F-9549-394D632E721D}"/>
    <cellStyle name="Comma 2 2 2 6 4" xfId="5075" xr:uid="{728E64D8-F066-4208-ACBA-3377D056F782}"/>
    <cellStyle name="Comma 2 2 2 6 4 2" xfId="9246" xr:uid="{63FFA640-EF52-4AB7-B2DE-BE78BBDBDF39}"/>
    <cellStyle name="Comma 2 2 2 6 5" xfId="6636" xr:uid="{5C57C10F-D658-42F5-B82C-B3285EFE6E12}"/>
    <cellStyle name="Comma 2 2 2 7" xfId="2435" xr:uid="{8C07CFC0-0039-4D1E-A1CC-CCE600782187}"/>
    <cellStyle name="Comma 2 2 2 7 2" xfId="2675" xr:uid="{8DE04DCC-D921-47CB-8ADE-A15094A407FF}"/>
    <cellStyle name="Comma 2 2 2 7 2 2" xfId="4023" xr:uid="{57775984-3FA6-4F01-B541-3DDDC5369BF5}"/>
    <cellStyle name="Comma 2 2 2 7 2 2 2" xfId="8212" xr:uid="{01D6819C-486F-4081-88A3-ADA08F5E0581}"/>
    <cellStyle name="Comma 2 2 2 7 2 3" xfId="5344" xr:uid="{1A9F22F5-90FD-4404-9A4E-321FC0048157}"/>
    <cellStyle name="Comma 2 2 2 7 2 3 2" xfId="9515" xr:uid="{F60237BC-9778-47B4-A5C1-C112D6480CAD}"/>
    <cellStyle name="Comma 2 2 2 7 2 4" xfId="6905" xr:uid="{D8A92FC3-9406-43D5-B711-DE85ABBA5CE7}"/>
    <cellStyle name="Comma 2 2 2 7 3" xfId="3783" xr:uid="{1A24E454-EAE1-4FF9-BA1F-79790502D022}"/>
    <cellStyle name="Comma 2 2 2 7 3 2" xfId="7972" xr:uid="{46474CBA-A4E9-48AB-8A07-C4703BCE6DC3}"/>
    <cellStyle name="Comma 2 2 2 7 4" xfId="5104" xr:uid="{56A70ED8-1E3B-4658-8DE8-E964FE0CAE84}"/>
    <cellStyle name="Comma 2 2 2 7 4 2" xfId="9275" xr:uid="{81D361B0-8848-4EC7-B413-89C062819B7D}"/>
    <cellStyle name="Comma 2 2 2 7 5" xfId="6665" xr:uid="{C8732994-2364-4281-A2C5-E707CD15CA59}"/>
    <cellStyle name="Comma 2 2 2 8" xfId="2516" xr:uid="{193FEC3F-608C-4E9F-8847-6CD0FBDAF31D}"/>
    <cellStyle name="Comma 2 2 2 8 2" xfId="3864" xr:uid="{4AE6B6A5-15B8-4173-8438-DA3C8007A789}"/>
    <cellStyle name="Comma 2 2 2 8 2 2" xfId="8053" xr:uid="{536F7FA3-9847-4492-A34A-78861F0D23D2}"/>
    <cellStyle name="Comma 2 2 2 8 3" xfId="5185" xr:uid="{9221BC51-E6F7-44CD-A2DE-AFCDC760AF89}"/>
    <cellStyle name="Comma 2 2 2 8 3 2" xfId="9356" xr:uid="{4A22A148-9202-41BF-9244-17346F0080B0}"/>
    <cellStyle name="Comma 2 2 2 8 4" xfId="6746" xr:uid="{BE854030-8426-4D6A-A74A-54AE1667CF69}"/>
    <cellStyle name="Comma 2 2 2 9" xfId="2270" xr:uid="{BFF8CCFF-3562-479A-A3FB-9C994B186222}"/>
    <cellStyle name="Comma 2 2 2 9 2" xfId="3624" xr:uid="{7374B148-3F6B-4451-ADE0-5A6A5BEA6824}"/>
    <cellStyle name="Comma 2 2 2 9 2 2" xfId="7813" xr:uid="{53892EBA-712B-4E9F-8B3B-2F5D39FDA2D9}"/>
    <cellStyle name="Comma 2 2 2 9 3" xfId="4945" xr:uid="{439B7994-8D8A-4AF8-A32E-F019D2028642}"/>
    <cellStyle name="Comma 2 2 2 9 3 2" xfId="9116" xr:uid="{A9947D53-4205-4A5C-9B53-BCC1E8B9A713}"/>
    <cellStyle name="Comma 2 2 2 9 4" xfId="6506" xr:uid="{63B50471-E53C-49B0-BA6C-192EF6CD4843}"/>
    <cellStyle name="Comma 2 2 3" xfId="168" xr:uid="{B868DD80-B494-4457-A47A-0DFCB902B3FD}"/>
    <cellStyle name="Comma 2 2 3 10" xfId="4155" xr:uid="{DA497393-8AD3-4E02-B806-067C5E65A655}"/>
    <cellStyle name="Comma 2 2 3 10 2" xfId="8344" xr:uid="{4C57EB67-2078-4AC8-8BC9-4AD631300646}"/>
    <cellStyle name="Comma 2 2 3 11" xfId="5726" xr:uid="{4DBBA0E5-757A-46CA-9F92-64C9891F0C93}"/>
    <cellStyle name="Comma 2 2 3 2" xfId="56" xr:uid="{BD7E9DD3-54E6-41C4-813D-6BD2249770ED}"/>
    <cellStyle name="Comma 2 2 3 2 10" xfId="5419" xr:uid="{47093ECF-E46D-4CA2-940D-A6D7BD2251A7}"/>
    <cellStyle name="Comma 2 2 3 2 10 2" xfId="9590" xr:uid="{51173615-0C15-47D6-AD0F-D8A3C90CC8A3}"/>
    <cellStyle name="Comma 2 2 3 2 11" xfId="5464" xr:uid="{51BD3E96-C6C4-44C9-ABC8-76D92785A5B4}"/>
    <cellStyle name="Comma 2 2 3 2 11 2" xfId="9599" xr:uid="{E7DDE782-2023-4645-93F6-10C641A0A4AE}"/>
    <cellStyle name="Comma 2 2 3 2 12" xfId="616" xr:uid="{10477951-69E7-435C-A152-62111A4F0C42}"/>
    <cellStyle name="Comma 2 2 3 2 13" xfId="5817" xr:uid="{D31BAC5E-D3B6-4476-BA5B-04462AFBF26D}"/>
    <cellStyle name="Comma 2 2 3 2 2" xfId="656" xr:uid="{41B28ABD-A1D7-48CA-A0CD-65080E67D594}"/>
    <cellStyle name="Comma 2 2 3 2 2 2" xfId="855" xr:uid="{CF5CADDB-56D8-4C63-B43E-7ED5A50445BA}"/>
    <cellStyle name="Comma 2 2 3 2 2 2 2" xfId="2632" xr:uid="{A6D15890-6E2D-4152-B900-3140EF73CAF9}"/>
    <cellStyle name="Comma 2 2 3 2 2 2 2 2" xfId="3980" xr:uid="{A392CDB0-0046-4030-988D-11E44ACD4C51}"/>
    <cellStyle name="Comma 2 2 3 2 2 2 2 2 2" xfId="8169" xr:uid="{E5BB4E43-82BF-4B26-AB21-45861CD5F07D}"/>
    <cellStyle name="Comma 2 2 3 2 2 2 2 3" xfId="5301" xr:uid="{A8C3FF5A-FB58-4DC8-A582-D6224D25C2E6}"/>
    <cellStyle name="Comma 2 2 3 2 2 2 2 3 2" xfId="9472" xr:uid="{7174FB9A-FB1A-4D6F-8579-ED66965F64AF}"/>
    <cellStyle name="Comma 2 2 3 2 2 2 2 4" xfId="6862" xr:uid="{7BCDD0E0-F8C2-4A83-B8D4-A2204BA7ED5B}"/>
    <cellStyle name="Comma 2 2 3 2 2 2 3" xfId="2386" xr:uid="{2BE85E66-68B4-4001-B99E-4891FA3B2C4C}"/>
    <cellStyle name="Comma 2 2 3 2 2 2 3 2" xfId="3740" xr:uid="{18F3D03E-83BE-4060-BCE6-343E1B3D322B}"/>
    <cellStyle name="Comma 2 2 3 2 2 2 3 2 2" xfId="7929" xr:uid="{B8B9AE9F-B9D6-466E-A035-F777A14E6E07}"/>
    <cellStyle name="Comma 2 2 3 2 2 2 3 3" xfId="5061" xr:uid="{92ABD025-72B6-405D-8AA6-0C9841D2441B}"/>
    <cellStyle name="Comma 2 2 3 2 2 2 3 3 2" xfId="9232" xr:uid="{AB729DA4-E20E-46C1-93CC-B6454199492B}"/>
    <cellStyle name="Comma 2 2 3 2 2 2 3 4" xfId="6622" xr:uid="{43A4B039-86DA-472B-8261-0A30B6C6E72E}"/>
    <cellStyle name="Comma 2 2 3 2 2 2 4" xfId="3098" xr:uid="{79397707-EA4D-486A-AE5C-383B127EEDDE}"/>
    <cellStyle name="Comma 2 2 3 2 2 2 4 2" xfId="7299" xr:uid="{D6BBA4D2-4B2E-400E-9003-E9F96394B40B}"/>
    <cellStyle name="Comma 2 2 3 2 2 2 5" xfId="4413" xr:uid="{4EEA570E-91A2-41E4-8FF9-8FCF2C7C815F}"/>
    <cellStyle name="Comma 2 2 3 2 2 2 5 2" xfId="8596" xr:uid="{2A4ACA55-60DD-47F2-85AC-A037B6BE368B}"/>
    <cellStyle name="Comma 2 2 3 2 2 2 6" xfId="5980" xr:uid="{525B33B2-2661-4B23-8836-2C91E7CA561B}"/>
    <cellStyle name="Comma 2 2 3 2 2 3" xfId="2487" xr:uid="{3C36D4E9-148B-48B8-9C78-0180BEC3DE5B}"/>
    <cellStyle name="Comma 2 2 3 2 2 3 2" xfId="2727" xr:uid="{6999E719-5C4A-40EF-A21B-76FD685EECE0}"/>
    <cellStyle name="Comma 2 2 3 2 2 3 2 2" xfId="4075" xr:uid="{4D4F6D47-CED5-4B0F-9334-50645DB91A04}"/>
    <cellStyle name="Comma 2 2 3 2 2 3 2 2 2" xfId="8264" xr:uid="{FA2C0560-5172-487B-817C-D22C873780E0}"/>
    <cellStyle name="Comma 2 2 3 2 2 3 2 3" xfId="5396" xr:uid="{F42BDF83-BB87-4C15-8C54-4A44B2466F08}"/>
    <cellStyle name="Comma 2 2 3 2 2 3 2 3 2" xfId="9567" xr:uid="{154FA829-020E-44D1-94B1-28CF1592F970}"/>
    <cellStyle name="Comma 2 2 3 2 2 3 2 4" xfId="6957" xr:uid="{41EB282E-D213-4DEB-B7BA-658802305E40}"/>
    <cellStyle name="Comma 2 2 3 2 2 3 3" xfId="3835" xr:uid="{EC40B34D-010B-48E7-907E-6E4DDF87E8B1}"/>
    <cellStyle name="Comma 2 2 3 2 2 3 3 2" xfId="8024" xr:uid="{48C3AE3F-AED9-4A52-8E2D-7A0F76507968}"/>
    <cellStyle name="Comma 2 2 3 2 2 3 4" xfId="5156" xr:uid="{BE91FCAD-BDBF-42B2-9440-50BF5CBD0985}"/>
    <cellStyle name="Comma 2 2 3 2 2 3 4 2" xfId="9327" xr:uid="{39717FB8-90F2-4AB7-99E1-1AE63AE08830}"/>
    <cellStyle name="Comma 2 2 3 2 2 3 5" xfId="6717" xr:uid="{1C9BFEA3-267F-4366-B265-D6F17290A2C1}"/>
    <cellStyle name="Comma 2 2 3 2 2 4" xfId="2568" xr:uid="{A74ECF91-FA31-43D8-8C08-1D04C8402122}"/>
    <cellStyle name="Comma 2 2 3 2 2 4 2" xfId="3916" xr:uid="{CD8E84B0-E3F9-4BF4-A665-45292F12242B}"/>
    <cellStyle name="Comma 2 2 3 2 2 4 2 2" xfId="8105" xr:uid="{B8552F39-20E2-489E-BEFC-48F92E234CEE}"/>
    <cellStyle name="Comma 2 2 3 2 2 4 3" xfId="5237" xr:uid="{474BE7D8-8C7B-4AA5-9DA4-8BB5EEE7834F}"/>
    <cellStyle name="Comma 2 2 3 2 2 4 3 2" xfId="9408" xr:uid="{B632C3E9-779E-4964-B398-FC7E02C60818}"/>
    <cellStyle name="Comma 2 2 3 2 2 4 4" xfId="6798" xr:uid="{EA0F9C81-2527-45A4-A778-1ECAE8780EB5}"/>
    <cellStyle name="Comma 2 2 3 2 2 5" xfId="2322" xr:uid="{D0AD33B0-4E31-4160-A0F4-5CDECB5D11D1}"/>
    <cellStyle name="Comma 2 2 3 2 2 5 2" xfId="3676" xr:uid="{71DC345C-4054-428A-B2DB-3BE1A1595EA7}"/>
    <cellStyle name="Comma 2 2 3 2 2 5 2 2" xfId="7865" xr:uid="{07E4CF15-0E7A-4B5F-B37B-A4442F5FA402}"/>
    <cellStyle name="Comma 2 2 3 2 2 5 3" xfId="4997" xr:uid="{B8F00C98-829C-461D-A6CD-F0EDBFDBEDF2}"/>
    <cellStyle name="Comma 2 2 3 2 2 5 3 2" xfId="9168" xr:uid="{44014DF4-B8E3-468A-92C5-652D26338869}"/>
    <cellStyle name="Comma 2 2 3 2 2 5 4" xfId="6558" xr:uid="{E193B925-BE4E-4057-9699-3156A974E71D}"/>
    <cellStyle name="Comma 2 2 3 2 2 6" xfId="2161" xr:uid="{8723E742-56F6-4DA2-8B26-A21C13007561}"/>
    <cellStyle name="Comma 2 2 3 2 2 6 2" xfId="3595" xr:uid="{E03D2857-C2C0-4EC0-80DC-CD9E596E6404}"/>
    <cellStyle name="Comma 2 2 3 2 2 6 2 2" xfId="7784" xr:uid="{87917EF5-7B5A-438D-9E38-074ADC500ADC}"/>
    <cellStyle name="Comma 2 2 3 2 2 6 3" xfId="4916" xr:uid="{DE29646C-65B2-4FB2-B9A4-BDEC19602587}"/>
    <cellStyle name="Comma 2 2 3 2 2 6 3 2" xfId="9087" xr:uid="{D6BC6554-D4C8-4355-B8C4-B25F6ECB1377}"/>
    <cellStyle name="Comma 2 2 3 2 2 6 4" xfId="6477" xr:uid="{6140F9D4-5CD9-462D-9C2C-BAC9BD8D91D7}"/>
    <cellStyle name="Comma 2 2 3 2 2 7" xfId="4284" xr:uid="{DAF4EE16-03CB-42DA-89BD-8B80A254DB66}"/>
    <cellStyle name="Comma 2 2 3 2 2 7 2" xfId="8469" xr:uid="{76D13C9E-7B1F-4E12-9172-47DEB75CB09F}"/>
    <cellStyle name="Comma 2 2 3 2 2 8" xfId="5853" xr:uid="{1388106C-F7DB-4BBF-B369-8279C2406B8A}"/>
    <cellStyle name="Comma 2 2 3 2 3" xfId="1074" xr:uid="{2CAE9969-DFEE-4215-9DE4-B793239001CB}"/>
    <cellStyle name="Comma 2 2 3 2 3 2" xfId="2600" xr:uid="{9F6AE411-4032-4B76-A246-A77BF35E31BD}"/>
    <cellStyle name="Comma 2 2 3 2 3 2 2" xfId="3948" xr:uid="{62B9E41A-FBD7-4627-954F-16A63CDE76F6}"/>
    <cellStyle name="Comma 2 2 3 2 3 2 2 2" xfId="8137" xr:uid="{5B1526DB-5E48-4782-9E9F-3B3F699DD06F}"/>
    <cellStyle name="Comma 2 2 3 2 3 2 3" xfId="5269" xr:uid="{CFC44EF5-F9A5-438C-8219-353D7CD72265}"/>
    <cellStyle name="Comma 2 2 3 2 3 2 3 2" xfId="9440" xr:uid="{EEDC34AE-720D-4009-B804-1F7C40AC78B5}"/>
    <cellStyle name="Comma 2 2 3 2 3 2 4" xfId="6830" xr:uid="{4093DBE1-8DCC-47DF-8250-3156D4C87C37}"/>
    <cellStyle name="Comma 2 2 3 2 3 3" xfId="2354" xr:uid="{0D3FB855-4321-4F62-8E5D-13A6D12BE9A2}"/>
    <cellStyle name="Comma 2 2 3 2 3 3 2" xfId="3708" xr:uid="{58082761-4BCB-45A2-8F40-99D2737BB667}"/>
    <cellStyle name="Comma 2 2 3 2 3 3 2 2" xfId="7897" xr:uid="{1E9AADBF-E85A-4F19-A750-61C058B3A63D}"/>
    <cellStyle name="Comma 2 2 3 2 3 3 3" xfId="5029" xr:uid="{B02E7A57-9F38-4932-BA17-C5DDCBC1C47A}"/>
    <cellStyle name="Comma 2 2 3 2 3 3 3 2" xfId="9200" xr:uid="{8F8D680F-6912-44CE-BDE3-660CD596C548}"/>
    <cellStyle name="Comma 2 2 3 2 3 3 4" xfId="6590" xr:uid="{7E74BB12-94BE-4368-A07C-4F55C7DBA0C1}"/>
    <cellStyle name="Comma 2 2 3 2 3 4" xfId="3274" xr:uid="{4BB12623-3D74-4482-A9FF-3F8996FAB7AF}"/>
    <cellStyle name="Comma 2 2 3 2 3 4 2" xfId="7471" xr:uid="{CAC9CAD0-7924-418A-99E0-C5E0F4D23CE3}"/>
    <cellStyle name="Comma 2 2 3 2 3 5" xfId="4592" xr:uid="{22C1791F-677D-4AF5-B5EB-2175094F69D5}"/>
    <cellStyle name="Comma 2 2 3 2 3 5 2" xfId="8771" xr:uid="{6691B20D-89EB-4664-8B61-DC8124EFC92D}"/>
    <cellStyle name="Comma 2 2 3 2 3 6" xfId="6156" xr:uid="{2519EDD6-1DC3-4F2F-B27F-83927F6390AE}"/>
    <cellStyle name="Comma 2 2 3 2 4" xfId="2455" xr:uid="{B45D1168-2006-4EEE-AC19-3F7E99327B29}"/>
    <cellStyle name="Comma 2 2 3 2 4 2" xfId="2695" xr:uid="{B2088F9E-A159-48F4-B0FE-4B9940D6A0EC}"/>
    <cellStyle name="Comma 2 2 3 2 4 2 2" xfId="4043" xr:uid="{EC84AA8D-DA6D-4E9A-839B-864E1CA0BCA1}"/>
    <cellStyle name="Comma 2 2 3 2 4 2 2 2" xfId="8232" xr:uid="{ED47B802-CAD4-48A0-A37F-53361BF33144}"/>
    <cellStyle name="Comma 2 2 3 2 4 2 3" xfId="5364" xr:uid="{AADEBF39-09A2-4475-AD58-87C6B3A42ED5}"/>
    <cellStyle name="Comma 2 2 3 2 4 2 3 2" xfId="9535" xr:uid="{EF7A460F-C405-475C-9F66-EBB721075B06}"/>
    <cellStyle name="Comma 2 2 3 2 4 2 4" xfId="6925" xr:uid="{90963A33-2CF0-482F-849F-C6B1DA58A69B}"/>
    <cellStyle name="Comma 2 2 3 2 4 3" xfId="3803" xr:uid="{8579776F-C828-4486-B97D-04A01B688A85}"/>
    <cellStyle name="Comma 2 2 3 2 4 3 2" xfId="7992" xr:uid="{87814606-1875-4173-94A7-0952699C2B85}"/>
    <cellStyle name="Comma 2 2 3 2 4 4" xfId="5124" xr:uid="{C339F080-FB10-48AD-A48E-0450B59AD226}"/>
    <cellStyle name="Comma 2 2 3 2 4 4 2" xfId="9295" xr:uid="{A77B3903-8608-4115-B9D6-C63176400937}"/>
    <cellStyle name="Comma 2 2 3 2 4 5" xfId="6685" xr:uid="{9E97925C-F948-4609-8250-438047B503D8}"/>
    <cellStyle name="Comma 2 2 3 2 5" xfId="2536" xr:uid="{6BCFF1A4-2CE0-4849-84FC-36D00CF6A7FD}"/>
    <cellStyle name="Comma 2 2 3 2 5 2" xfId="3884" xr:uid="{8EAA4305-244F-4646-91ED-4D2108DDC49E}"/>
    <cellStyle name="Comma 2 2 3 2 5 2 2" xfId="8073" xr:uid="{004EC52F-1282-4975-AEAC-31FA64E52235}"/>
    <cellStyle name="Comma 2 2 3 2 5 3" xfId="5205" xr:uid="{2B5DD004-90B7-445F-8014-7FE8971D4203}"/>
    <cellStyle name="Comma 2 2 3 2 5 3 2" xfId="9376" xr:uid="{81EE15E9-FF89-4023-87B4-4A5C376A5703}"/>
    <cellStyle name="Comma 2 2 3 2 5 4" xfId="6766" xr:uid="{B53565A8-2FCF-4C34-9886-3FE81A2EB36A}"/>
    <cellStyle name="Comma 2 2 3 2 6" xfId="2290" xr:uid="{9EFF896C-9164-4423-A921-61F652977B6A}"/>
    <cellStyle name="Comma 2 2 3 2 6 2" xfId="3644" xr:uid="{079DB28A-9953-4EDD-BB12-579D43325F87}"/>
    <cellStyle name="Comma 2 2 3 2 6 2 2" xfId="7833" xr:uid="{F488028D-B295-4675-9C57-7F1BE0B499A5}"/>
    <cellStyle name="Comma 2 2 3 2 6 3" xfId="4965" xr:uid="{B05C9284-9567-47B1-8666-FB0CF3C41299}"/>
    <cellStyle name="Comma 2 2 3 2 6 3 2" xfId="9136" xr:uid="{254CDCF3-3F02-428E-B270-2F446A901661}"/>
    <cellStyle name="Comma 2 2 3 2 6 4" xfId="6526" xr:uid="{84151ED7-0E34-4EF1-A104-D8BC54385959}"/>
    <cellStyle name="Comma 2 2 3 2 7" xfId="2126" xr:uid="{20DDDE23-5781-45ED-95D2-FE9E3E0AB827}"/>
    <cellStyle name="Comma 2 2 3 2 7 2" xfId="3563" xr:uid="{0CD47696-87ED-48C9-BCB3-439635D4F401}"/>
    <cellStyle name="Comma 2 2 3 2 7 2 2" xfId="7752" xr:uid="{981631D2-7BBB-40F4-816A-04CF02A6D7DC}"/>
    <cellStyle name="Comma 2 2 3 2 7 3" xfId="4884" xr:uid="{A2E5BD2B-F4C9-4460-ABC1-D5BA13D7A019}"/>
    <cellStyle name="Comma 2 2 3 2 7 3 2" xfId="9055" xr:uid="{F09F0F1C-4BBE-428B-BA1D-C6263B2EAF1B}"/>
    <cellStyle name="Comma 2 2 3 2 7 4" xfId="6445" xr:uid="{5951C7C5-9EA4-4F9F-8737-DF60309F1989}"/>
    <cellStyle name="Comma 2 2 3 2 8" xfId="2937" xr:uid="{70B104C9-E161-49A0-96E3-400579C124AB}"/>
    <cellStyle name="Comma 2 2 3 2 8 2" xfId="7140" xr:uid="{28D1B19F-2E4F-4B0B-BB33-2326D239F95C}"/>
    <cellStyle name="Comma 2 2 3 2 9" xfId="4248" xr:uid="{B3BA76CB-6040-4C85-A3FD-35730A51CC95}"/>
    <cellStyle name="Comma 2 2 3 2 9 2" xfId="8433" xr:uid="{63B3B067-425C-4DBC-9998-DD876F9A1AE9}"/>
    <cellStyle name="Comma 2 2 3 3" xfId="615" xr:uid="{F13147B1-C7BB-4EEA-A639-B80C350F6F51}"/>
    <cellStyle name="Comma 2 2 3 3 2" xfId="2370" xr:uid="{221E0895-E74A-478E-B421-C3C0BA07DEC8}"/>
    <cellStyle name="Comma 2 2 3 3 2 2" xfId="2616" xr:uid="{6DD4BCE4-452B-4C15-8A6B-E4017724A096}"/>
    <cellStyle name="Comma 2 2 3 3 2 2 2" xfId="3964" xr:uid="{F67635FE-4565-4F50-AED5-BBBA850C620C}"/>
    <cellStyle name="Comma 2 2 3 3 2 2 2 2" xfId="8153" xr:uid="{ACD2E1BB-FE70-43B5-8E60-3007DADFCFD5}"/>
    <cellStyle name="Comma 2 2 3 3 2 2 3" xfId="5285" xr:uid="{E2AF5C8D-2F5A-4F48-BAB5-52E3BF39057B}"/>
    <cellStyle name="Comma 2 2 3 3 2 2 3 2" xfId="9456" xr:uid="{78E20C6A-2987-4467-8EF8-FF5BCCFAE5F7}"/>
    <cellStyle name="Comma 2 2 3 3 2 2 4" xfId="6846" xr:uid="{A775A1D1-9D59-4980-B441-BE9880CB316A}"/>
    <cellStyle name="Comma 2 2 3 3 2 3" xfId="3724" xr:uid="{44013B2E-9629-4064-B5F5-7DFB3BEC120E}"/>
    <cellStyle name="Comma 2 2 3 3 2 3 2" xfId="7913" xr:uid="{0BC32134-EE83-46C0-B6F1-E82B7A298CC7}"/>
    <cellStyle name="Comma 2 2 3 3 2 4" xfId="5045" xr:uid="{3D61A142-8B3C-4128-8013-F18765AA8654}"/>
    <cellStyle name="Comma 2 2 3 3 2 4 2" xfId="9216" xr:uid="{FCC2A01C-7E61-47AF-9C63-5E186C86652E}"/>
    <cellStyle name="Comma 2 2 3 3 2 5" xfId="6606" xr:uid="{82A6C0EF-0E0F-4DE7-8FBB-473DAEDFB826}"/>
    <cellStyle name="Comma 2 2 3 3 3" xfId="2471" xr:uid="{7E3965E8-BBB6-4D94-A3D6-16C5C2A6E7D1}"/>
    <cellStyle name="Comma 2 2 3 3 3 2" xfId="2711" xr:uid="{69282B13-BDC8-47E0-9C95-6404FD9F5A66}"/>
    <cellStyle name="Comma 2 2 3 3 3 2 2" xfId="4059" xr:uid="{9D771B7A-221E-43E9-AB5B-B38FF04E7B54}"/>
    <cellStyle name="Comma 2 2 3 3 3 2 2 2" xfId="8248" xr:uid="{C040E2D9-0FCB-48B0-9884-ABEBEC50A212}"/>
    <cellStyle name="Comma 2 2 3 3 3 2 3" xfId="5380" xr:uid="{C1B5351D-CA50-4B73-8E35-321D6D5EE68A}"/>
    <cellStyle name="Comma 2 2 3 3 3 2 3 2" xfId="9551" xr:uid="{E78BE814-AAB5-4E0D-B2BD-CED0F3B7AC82}"/>
    <cellStyle name="Comma 2 2 3 3 3 2 4" xfId="6941" xr:uid="{C1B58D37-CE13-4327-967D-F15B5896029C}"/>
    <cellStyle name="Comma 2 2 3 3 3 3" xfId="3819" xr:uid="{272BFAB9-4EF2-441B-8086-0A62DE19E5B1}"/>
    <cellStyle name="Comma 2 2 3 3 3 3 2" xfId="8008" xr:uid="{EAD11B36-C0EC-4CAC-A766-2F78851958B3}"/>
    <cellStyle name="Comma 2 2 3 3 3 4" xfId="5140" xr:uid="{B0ABC9BF-45B0-4FE1-87F1-1BA59334D22D}"/>
    <cellStyle name="Comma 2 2 3 3 3 4 2" xfId="9311" xr:uid="{B3F10793-0A89-44C6-8FF8-6C82645C87F5}"/>
    <cellStyle name="Comma 2 2 3 3 3 5" xfId="6701" xr:uid="{F4B18A09-7161-4D69-A1C9-18CE8A92FE6A}"/>
    <cellStyle name="Comma 2 2 3 3 4" xfId="2552" xr:uid="{7C6A3CD2-CAEA-4845-923E-D0B765AF3828}"/>
    <cellStyle name="Comma 2 2 3 3 4 2" xfId="3900" xr:uid="{41359671-0003-4DF0-AA16-BF3F4EC99DAE}"/>
    <cellStyle name="Comma 2 2 3 3 4 2 2" xfId="8089" xr:uid="{9CDCD700-BDAD-4E61-A518-913803E967E3}"/>
    <cellStyle name="Comma 2 2 3 3 4 3" xfId="5221" xr:uid="{9FF290F7-A0DD-4DFC-BC1A-B37C4E7AAD1A}"/>
    <cellStyle name="Comma 2 2 3 3 4 3 2" xfId="9392" xr:uid="{1C6A4741-9E1C-4D44-8999-3F314454ECBF}"/>
    <cellStyle name="Comma 2 2 3 3 4 4" xfId="6782" xr:uid="{2937FD66-DB04-42CB-A308-DF69E1D36304}"/>
    <cellStyle name="Comma 2 2 3 3 5" xfId="2306" xr:uid="{C31E7252-E1AE-4D6C-A6AC-668255D56421}"/>
    <cellStyle name="Comma 2 2 3 3 5 2" xfId="3660" xr:uid="{43DD3FCF-9987-4119-818D-1D5F3C34B782}"/>
    <cellStyle name="Comma 2 2 3 3 5 2 2" xfId="7849" xr:uid="{A259FCE6-5868-465E-868B-EDBB987E567D}"/>
    <cellStyle name="Comma 2 2 3 3 5 3" xfId="4981" xr:uid="{46E98100-C6F6-46F5-BE7E-7C2F22419FE6}"/>
    <cellStyle name="Comma 2 2 3 3 5 3 2" xfId="9152" xr:uid="{FE673EA9-6EA7-4140-8AE0-BD0DC5EC3A17}"/>
    <cellStyle name="Comma 2 2 3 3 5 4" xfId="6542" xr:uid="{EBFF85C1-9DEB-464A-99CF-76A71B8C1AC1}"/>
    <cellStyle name="Comma 2 2 3 3 6" xfId="2145" xr:uid="{D57557BB-DFD6-49D5-A9E8-887EA92717EF}"/>
    <cellStyle name="Comma 2 2 3 3 6 2" xfId="3579" xr:uid="{49678DAA-4DBE-42E0-BFBE-8D57DE4283A1}"/>
    <cellStyle name="Comma 2 2 3 3 6 2 2" xfId="7768" xr:uid="{8403C8D3-D2C2-4235-A690-B1B4328787DF}"/>
    <cellStyle name="Comma 2 2 3 3 6 3" xfId="4900" xr:uid="{315776DC-BDF3-4CE4-97E8-85A5253A895A}"/>
    <cellStyle name="Comma 2 2 3 3 6 3 2" xfId="9071" xr:uid="{AE075963-0EC3-4369-867F-4A3147F01391}"/>
    <cellStyle name="Comma 2 2 3 3 6 4" xfId="6461" xr:uid="{AC107408-1A0F-47EA-91C7-A576145633DA}"/>
    <cellStyle name="Comma 2 2 3 3 7" xfId="2936" xr:uid="{28D42CBA-F808-4A3B-830F-471348A43FAF}"/>
    <cellStyle name="Comma 2 2 3 3 7 2" xfId="7139" xr:uid="{CCDEB1EA-ADC6-41C6-A03B-D9F61DC21501}"/>
    <cellStyle name="Comma 2 2 3 3 8" xfId="4247" xr:uid="{BF32660A-C94C-4468-B1EC-EC7F5650F1D9}"/>
    <cellStyle name="Comma 2 2 3 3 8 2" xfId="8432" xr:uid="{86830460-7D34-415B-99F8-1F5F351C6458}"/>
    <cellStyle name="Comma 2 2 3 3 9" xfId="5816" xr:uid="{C3186FC7-C6EE-4625-A050-4B0C5A6F2F68}"/>
    <cellStyle name="Comma 2 2 3 4" xfId="2225" xr:uid="{568675C8-5EF7-4BCA-832B-07C7DB7AF2DD}"/>
    <cellStyle name="Comma 2 2 3 4 2" xfId="2503" xr:uid="{4E512F29-0B82-4651-AC62-FC6D14FC6904}"/>
    <cellStyle name="Comma 2 2 3 4 2 2" xfId="2743" xr:uid="{078927F3-46A5-4B0F-A389-0F7664A0F1EB}"/>
    <cellStyle name="Comma 2 2 3 4 2 2 2" xfId="4091" xr:uid="{99B52224-BBB1-412F-8416-06687F29CAFC}"/>
    <cellStyle name="Comma 2 2 3 4 2 2 2 2" xfId="8280" xr:uid="{9A0DD103-4F4B-40D7-BE9A-9A50AF534931}"/>
    <cellStyle name="Comma 2 2 3 4 2 2 3" xfId="5412" xr:uid="{FFDE7CBD-2BE2-4FBB-A8C7-E4B723F6D34D}"/>
    <cellStyle name="Comma 2 2 3 4 2 2 3 2" xfId="9583" xr:uid="{E777EEBC-2BD4-4A36-8DB3-61C840705357}"/>
    <cellStyle name="Comma 2 2 3 4 2 2 4" xfId="6973" xr:uid="{84169023-0586-4375-8FAA-AAF06FBC5132}"/>
    <cellStyle name="Comma 2 2 3 4 2 3" xfId="3851" xr:uid="{4CFED705-A43D-4773-8989-D45AA68D88E9}"/>
    <cellStyle name="Comma 2 2 3 4 2 3 2" xfId="8040" xr:uid="{96BC7910-09A0-4810-868B-5BCE888A29FF}"/>
    <cellStyle name="Comma 2 2 3 4 2 4" xfId="5172" xr:uid="{28212925-8616-4E59-847D-714E4D6AE072}"/>
    <cellStyle name="Comma 2 2 3 4 2 4 2" xfId="9343" xr:uid="{5B789508-1845-4938-AE0F-DFAAB55562B4}"/>
    <cellStyle name="Comma 2 2 3 4 2 5" xfId="6733" xr:uid="{16EFB278-6945-4D93-9580-CAFD1FF15B25}"/>
    <cellStyle name="Comma 2 2 3 4 3" xfId="2584" xr:uid="{544222F3-BB2F-4FAF-BB75-CB1AB82496C1}"/>
    <cellStyle name="Comma 2 2 3 4 3 2" xfId="3932" xr:uid="{220C3B3F-E3BF-4D62-965F-1ACF3183F642}"/>
    <cellStyle name="Comma 2 2 3 4 3 2 2" xfId="8121" xr:uid="{57137E6E-0AAC-44C9-A16A-0167D7232BF8}"/>
    <cellStyle name="Comma 2 2 3 4 3 3" xfId="5253" xr:uid="{F99E7886-5327-4C83-AC33-00EFF4206292}"/>
    <cellStyle name="Comma 2 2 3 4 3 3 2" xfId="9424" xr:uid="{236B429F-04A1-4BA5-9B61-203AA0E9B5E7}"/>
    <cellStyle name="Comma 2 2 3 4 3 4" xfId="6814" xr:uid="{669777D1-53F8-45D6-B363-CF1A45397DB5}"/>
    <cellStyle name="Comma 2 2 3 4 4" xfId="2338" xr:uid="{EFC8BC11-79AE-4B3D-9D36-AA8FCC591E32}"/>
    <cellStyle name="Comma 2 2 3 4 4 2" xfId="3692" xr:uid="{3F992A24-E8B4-4B2F-9BD7-E297C4E7A2F3}"/>
    <cellStyle name="Comma 2 2 3 4 4 2 2" xfId="7881" xr:uid="{2AE95351-F643-474B-98BF-879182741FCE}"/>
    <cellStyle name="Comma 2 2 3 4 4 3" xfId="5013" xr:uid="{61FE4A2E-C74F-4E77-9316-853F71602AA1}"/>
    <cellStyle name="Comma 2 2 3 4 4 3 2" xfId="9184" xr:uid="{FE2F655C-6A78-4BA4-AD8D-7FBDEE80B06E}"/>
    <cellStyle name="Comma 2 2 3 4 4 4" xfId="6574" xr:uid="{C2F2CF91-AA09-4234-988B-2B8ACDA6C41B}"/>
    <cellStyle name="Comma 2 2 3 4 5" xfId="3611" xr:uid="{2DC92C39-D254-4E18-96C8-0AB8E410CEE3}"/>
    <cellStyle name="Comma 2 2 3 4 5 2" xfId="7800" xr:uid="{74110D37-431B-4359-B3B2-36D2FDE6D62C}"/>
    <cellStyle name="Comma 2 2 3 4 6" xfId="4932" xr:uid="{2C54433D-FC8A-4561-973C-99B3B9F76CF3}"/>
    <cellStyle name="Comma 2 2 3 4 6 2" xfId="9103" xr:uid="{378458F3-1C72-4C94-BCD2-02C57F73A073}"/>
    <cellStyle name="Comma 2 2 3 4 7" xfId="6493" xr:uid="{89E40313-D9A5-47F1-A908-B79C65512D2D}"/>
    <cellStyle name="Comma 2 2 3 5" xfId="2412" xr:uid="{62B6D5BC-9755-4572-BB4D-5C0557DF4D4A}"/>
    <cellStyle name="Comma 2 2 3 5 2" xfId="2652" xr:uid="{6D3F7244-8A7D-4466-9C10-617D3DE181B3}"/>
    <cellStyle name="Comma 2 2 3 5 2 2" xfId="4000" xr:uid="{891D81D4-18D0-4455-9499-846D05234863}"/>
    <cellStyle name="Comma 2 2 3 5 2 2 2" xfId="8189" xr:uid="{95826645-69CE-448F-AC3C-41304647FA51}"/>
    <cellStyle name="Comma 2 2 3 5 2 3" xfId="5321" xr:uid="{60D8ABEE-E586-48CF-AB98-B2C2BF03B093}"/>
    <cellStyle name="Comma 2 2 3 5 2 3 2" xfId="9492" xr:uid="{C7516071-09F3-4C02-A000-C8B760E09806}"/>
    <cellStyle name="Comma 2 2 3 5 2 4" xfId="6882" xr:uid="{78297D2D-3C2E-481E-A501-D14AA880CC1F}"/>
    <cellStyle name="Comma 2 2 3 5 3" xfId="3760" xr:uid="{167BC048-90CA-4539-BA71-93933E3F8FF3}"/>
    <cellStyle name="Comma 2 2 3 5 3 2" xfId="7949" xr:uid="{51B45A54-2C42-4E19-B080-59BA6F90E053}"/>
    <cellStyle name="Comma 2 2 3 5 4" xfId="5081" xr:uid="{7185E964-5373-4B0C-A054-800495DB0241}"/>
    <cellStyle name="Comma 2 2 3 5 4 2" xfId="9252" xr:uid="{E15B41FA-86E5-43FE-AAAF-ED75D25F25DD}"/>
    <cellStyle name="Comma 2 2 3 5 5" xfId="6642" xr:uid="{440A203E-75D4-42E4-8A17-9E985BA32B87}"/>
    <cellStyle name="Comma 2 2 3 6" xfId="2439" xr:uid="{01E15583-768B-4F64-89FE-5C32E164BB2B}"/>
    <cellStyle name="Comma 2 2 3 6 2" xfId="2679" xr:uid="{7B8F5025-9E6C-4071-B48A-46774CC9E8AA}"/>
    <cellStyle name="Comma 2 2 3 6 2 2" xfId="4027" xr:uid="{66D75530-572A-46C1-BA41-225DAC5238A9}"/>
    <cellStyle name="Comma 2 2 3 6 2 2 2" xfId="8216" xr:uid="{A7469F9A-6201-4A66-93A6-EC6C845E4E80}"/>
    <cellStyle name="Comma 2 2 3 6 2 3" xfId="5348" xr:uid="{C989ED6B-E8A3-4651-9668-230616D3935B}"/>
    <cellStyle name="Comma 2 2 3 6 2 3 2" xfId="9519" xr:uid="{9C2F554B-9AF2-431F-8AC6-E8B345DDF8DE}"/>
    <cellStyle name="Comma 2 2 3 6 2 4" xfId="6909" xr:uid="{9119A201-E071-4AE3-84BC-C27BF631A0E0}"/>
    <cellStyle name="Comma 2 2 3 6 3" xfId="3787" xr:uid="{336AD9EA-4E91-4CBD-8F0C-C23A4CD208C4}"/>
    <cellStyle name="Comma 2 2 3 6 3 2" xfId="7976" xr:uid="{0B9AF9C9-B971-42AC-BEE0-4CC73D646DC4}"/>
    <cellStyle name="Comma 2 2 3 6 4" xfId="5108" xr:uid="{CE9FCEFC-9A87-4A71-BD9A-756FBB6B33CC}"/>
    <cellStyle name="Comma 2 2 3 6 4 2" xfId="9279" xr:uid="{8E39145A-94CE-41F7-BF98-EBC3617AD098}"/>
    <cellStyle name="Comma 2 2 3 6 5" xfId="6669" xr:uid="{D51987DB-F29B-4F47-AEDD-FB2DFA420852}"/>
    <cellStyle name="Comma 2 2 3 7" xfId="2520" xr:uid="{E7BD5BA4-F69B-4241-8881-F95BF6370259}"/>
    <cellStyle name="Comma 2 2 3 7 2" xfId="3868" xr:uid="{8C81D020-8C86-4AE7-9766-327694E81F69}"/>
    <cellStyle name="Comma 2 2 3 7 2 2" xfId="8057" xr:uid="{1050B2EE-C988-4597-B1AC-248C98C75DB7}"/>
    <cellStyle name="Comma 2 2 3 7 3" xfId="5189" xr:uid="{4F9467BA-59E1-4F46-9B99-8E75AD45628C}"/>
    <cellStyle name="Comma 2 2 3 7 3 2" xfId="9360" xr:uid="{DA745868-67C4-404B-A86E-C08F7A64BC87}"/>
    <cellStyle name="Comma 2 2 3 7 4" xfId="6750" xr:uid="{7A68A8C8-42B8-4D3C-9986-7E3D67701850}"/>
    <cellStyle name="Comma 2 2 3 8" xfId="2274" xr:uid="{3BD1F551-2BA7-4AF9-80EA-4DB4067A013E}"/>
    <cellStyle name="Comma 2 2 3 8 2" xfId="3628" xr:uid="{1F333339-1253-492E-9AB2-F4EBC1D2AD8F}"/>
    <cellStyle name="Comma 2 2 3 8 2 2" xfId="7817" xr:uid="{24C46FC3-FFEF-42E9-BED8-38EF45E1FB60}"/>
    <cellStyle name="Comma 2 2 3 8 3" xfId="4949" xr:uid="{0CAFBB10-3CFA-4E39-8226-5D197D59F027}"/>
    <cellStyle name="Comma 2 2 3 8 3 2" xfId="9120" xr:uid="{9D93DF98-16DD-4134-ABA3-F14C1F7B5F6B}"/>
    <cellStyle name="Comma 2 2 3 8 4" xfId="6510" xr:uid="{8D4B51C0-3BBF-4AC9-BF42-B42E6B92BE93}"/>
    <cellStyle name="Comma 2 2 3 9" xfId="2110" xr:uid="{51A7CCD9-A852-4AA5-B1A7-8505DC651C0C}"/>
    <cellStyle name="Comma 2 2 3 9 2" xfId="3547" xr:uid="{A27003EA-CC12-47FC-B0D4-EDF0013621E8}"/>
    <cellStyle name="Comma 2 2 3 9 2 2" xfId="7736" xr:uid="{6A25470D-AF1C-4DE3-8990-D318B366A500}"/>
    <cellStyle name="Comma 2 2 3 9 3" xfId="4868" xr:uid="{82EB68D8-C479-44AF-B04A-A2D9BD87ADBA}"/>
    <cellStyle name="Comma 2 2 3 9 3 2" xfId="9039" xr:uid="{2457E17B-0984-4556-9BDB-B13F3CB8587E}"/>
    <cellStyle name="Comma 2 2 3 9 4" xfId="6429" xr:uid="{5C211886-59FF-4CA2-A085-8419A8C4E796}"/>
    <cellStyle name="Comma 2 2 4" xfId="169" xr:uid="{922BE268-36EF-4804-8593-527E0D18C109}"/>
    <cellStyle name="Comma 2 2 4 10" xfId="4156" xr:uid="{4A9DAE5C-BFF5-4EDC-89D4-33EA79590361}"/>
    <cellStyle name="Comma 2 2 4 10 2" xfId="8345" xr:uid="{94CBF6A3-2F4F-46EF-B380-D24077613B7F}"/>
    <cellStyle name="Comma 2 2 4 11" xfId="5727" xr:uid="{5D34E02D-54EA-4129-A3FF-1BEFF2D97C26}"/>
    <cellStyle name="Comma 2 2 4 2" xfId="617" xr:uid="{54AA0AD0-6513-49E8-A307-3F4A0E36B725}"/>
    <cellStyle name="Comma 2 2 4 2 10" xfId="5818" xr:uid="{E5D72024-17F3-4CC6-8878-D5B5177201B5}"/>
    <cellStyle name="Comma 2 2 4 2 2" xfId="1061" xr:uid="{A3E64AFF-ED8C-4A2F-A31B-60488DBD0566}"/>
    <cellStyle name="Comma 2 2 4 2 2 2" xfId="854" xr:uid="{0F6264B3-5B59-479D-8B68-53DE015DDDA8}"/>
    <cellStyle name="Comma 2 2 4 2 2 2 2" xfId="1321" xr:uid="{0FB9AC0B-F586-4F84-A333-77DA8C0F0619}"/>
    <cellStyle name="Comma 2 2 4 2 2 2 2 2" xfId="1068" xr:uid="{41EE336E-FF01-4D06-A9D2-469FAA3B3D49}"/>
    <cellStyle name="Comma 2 2 4 2 2 2 2 2 2" xfId="3268" xr:uid="{DBBA1FFD-ADCD-4ACD-882E-512EB92B1A45}"/>
    <cellStyle name="Comma 2 2 4 2 2 2 2 2 2 2" xfId="7466" xr:uid="{A15C067E-AF35-4E3A-ABAF-668C41608188}"/>
    <cellStyle name="Comma 2 2 4 2 2 2 2 2 3" xfId="4586" xr:uid="{DD00240D-EEA8-438D-8EF4-B16798E0F745}"/>
    <cellStyle name="Comma 2 2 4 2 2 2 2 2 3 2" xfId="8766" xr:uid="{0897098E-2D63-41D6-9166-4224D3E0925B}"/>
    <cellStyle name="Comma 2 2 4 2 2 2 2 2 4" xfId="6151" xr:uid="{906E3CB6-0528-455B-BB9D-05870F7503B4}"/>
    <cellStyle name="Comma 2 2 4 2 2 2 2 3" xfId="3497" xr:uid="{948C817C-8C7D-4590-99D5-0FC7D42A1918}"/>
    <cellStyle name="Comma 2 2 4 2 2 2 2 3 2" xfId="7694" xr:uid="{CC221C60-762C-4EAA-A43A-26755D4C1E20}"/>
    <cellStyle name="Comma 2 2 4 2 2 2 2 4" xfId="4816" xr:uid="{1F3B8EBB-5FBB-4F3D-9D99-B6A721A3BF02}"/>
    <cellStyle name="Comma 2 2 4 2 2 2 2 4 2" xfId="8995" xr:uid="{43776107-8539-4AE8-A19F-A10CD8E7B606}"/>
    <cellStyle name="Comma 2 2 4 2 2 2 2 5" xfId="6380" xr:uid="{ECC90828-D98C-4167-80AA-CE6B6FBC210F}"/>
    <cellStyle name="Comma 2 2 4 2 2 2 3" xfId="1069" xr:uid="{FD5F4DAB-5717-4E62-BF7D-63209B079AF8}"/>
    <cellStyle name="Comma 2 2 4 2 2 2 3 2" xfId="3269" xr:uid="{B757305B-032A-4211-B225-0A1C59813DFF}"/>
    <cellStyle name="Comma 2 2 4 2 2 2 3 2 2" xfId="7467" xr:uid="{3BEB59D3-4CBA-4885-A719-E8BBB9EDE12F}"/>
    <cellStyle name="Comma 2 2 4 2 2 2 3 3" xfId="4587" xr:uid="{348F78DC-74D5-4E73-83B7-15DFA5D99A5A}"/>
    <cellStyle name="Comma 2 2 4 2 2 2 3 3 2" xfId="8767" xr:uid="{24F3FED2-1CF4-4379-8F4B-2A29F3AEA46C}"/>
    <cellStyle name="Comma 2 2 4 2 2 2 3 4" xfId="6152" xr:uid="{8EB82FC4-79C7-4BA5-9B38-6AAB3AF442C3}"/>
    <cellStyle name="Comma 2 2 4 2 2 2 4" xfId="2624" xr:uid="{89EE2269-FF6D-4E16-81DB-1B0D2B818EF3}"/>
    <cellStyle name="Comma 2 2 4 2 2 2 4 2" xfId="3972" xr:uid="{9689A41A-85DA-4F4E-9ABC-A32009CF99CB}"/>
    <cellStyle name="Comma 2 2 4 2 2 2 4 2 2" xfId="8161" xr:uid="{EC61E669-D409-4FA9-8EAB-3AF6AD8D6987}"/>
    <cellStyle name="Comma 2 2 4 2 2 2 4 3" xfId="5293" xr:uid="{C1411E8C-74EA-401F-8B82-A7BE1143BD91}"/>
    <cellStyle name="Comma 2 2 4 2 2 2 4 3 2" xfId="9464" xr:uid="{98597959-CFA0-42E2-9410-A32D90FFF5CC}"/>
    <cellStyle name="Comma 2 2 4 2 2 2 4 4" xfId="6854" xr:uid="{78C92F75-5E26-498E-A28E-225170A8C7D8}"/>
    <cellStyle name="Comma 2 2 4 2 2 2 5" xfId="3097" xr:uid="{E0E8E7C4-D595-4EAA-B5B0-C68B20DCB377}"/>
    <cellStyle name="Comma 2 2 4 2 2 2 5 2" xfId="7298" xr:uid="{AD75F0BC-36AC-49F3-B7E4-6316328465CE}"/>
    <cellStyle name="Comma 2 2 4 2 2 2 6" xfId="4412" xr:uid="{D4AE69D9-85F2-43F3-8988-5AFDA50F25DE}"/>
    <cellStyle name="Comma 2 2 4 2 2 2 6 2" xfId="8595" xr:uid="{CF280216-37F6-4C86-8E4C-0CA51AC7A74E}"/>
    <cellStyle name="Comma 2 2 4 2 2 2 7" xfId="5979" xr:uid="{FF5AEB34-7E6D-4942-A92F-9AB7F8D12A21}"/>
    <cellStyle name="Comma 2 2 4 2 2 3" xfId="769" xr:uid="{E8E7626F-ED6F-4DEF-A04D-3F03FF37DE06}"/>
    <cellStyle name="Comma 2 2 4 2 2 3 2" xfId="768" xr:uid="{6047CC2C-1407-4F8F-8084-40E635BBEF0F}"/>
    <cellStyle name="Comma 2 2 4 2 2 3 2 2" xfId="3045" xr:uid="{B048A9F1-39C4-4668-90C9-AC765AB67DAD}"/>
    <cellStyle name="Comma 2 2 4 2 2 3 2 2 2" xfId="7248" xr:uid="{CA88DB00-AD72-4DB6-B4A2-947F5EB143C9}"/>
    <cellStyle name="Comma 2 2 4 2 2 3 2 3" xfId="4360" xr:uid="{BF67C489-4873-443D-B8E2-6D7BEDC6B953}"/>
    <cellStyle name="Comma 2 2 4 2 2 3 2 3 2" xfId="8545" xr:uid="{ABD96966-B70E-46DB-BAD2-7DBCCAC4DC7B}"/>
    <cellStyle name="Comma 2 2 4 2 2 3 2 4" xfId="5929" xr:uid="{5E320ABE-0ACF-482F-8C6B-AF0A10B8EC97}"/>
    <cellStyle name="Comma 2 2 4 2 2 3 3" xfId="3046" xr:uid="{B9DC7222-98A4-4D8A-A853-85DDF1B35679}"/>
    <cellStyle name="Comma 2 2 4 2 2 3 3 2" xfId="7249" xr:uid="{30EB33B3-7A39-4364-AD52-28E36C70B574}"/>
    <cellStyle name="Comma 2 2 4 2 2 3 4" xfId="4361" xr:uid="{59354210-0C44-45BA-A75C-C9C278885AEE}"/>
    <cellStyle name="Comma 2 2 4 2 2 3 4 2" xfId="8546" xr:uid="{D216625E-E649-43DE-ADA3-065635C101BA}"/>
    <cellStyle name="Comma 2 2 4 2 2 3 5" xfId="5930" xr:uid="{B4EE6586-9C46-45CE-B363-59750A086FF9}"/>
    <cellStyle name="Comma 2 2 4 2 2 4" xfId="925" xr:uid="{8BAA65F5-BB41-407A-8C13-FFDDA7974CC7}"/>
    <cellStyle name="Comma 2 2 4 2 2 4 2" xfId="3151" xr:uid="{6A30544A-8FFF-48E8-B0A1-22259B8C44D0}"/>
    <cellStyle name="Comma 2 2 4 2 2 4 2 2" xfId="7352" xr:uid="{1955905E-C023-4063-B7C5-D24576A32490}"/>
    <cellStyle name="Comma 2 2 4 2 2 4 3" xfId="4467" xr:uid="{A3848F13-5DB4-44F5-8CE0-3DF9FFC5495F}"/>
    <cellStyle name="Comma 2 2 4 2 2 4 3 2" xfId="8650" xr:uid="{793DA768-EDA2-46BD-B108-08993EDC430F}"/>
    <cellStyle name="Comma 2 2 4 2 2 4 4" xfId="6035" xr:uid="{D428C21E-6E77-4E3E-9421-FEEDA49F5BCC}"/>
    <cellStyle name="Comma 2 2 4 2 2 5" xfId="2378" xr:uid="{AFE52135-8E54-4FEC-864E-2232851AA6FA}"/>
    <cellStyle name="Comma 2 2 4 2 2 5 2" xfId="3732" xr:uid="{9399C512-C7BB-40B2-9EF3-5C02951B1FEC}"/>
    <cellStyle name="Comma 2 2 4 2 2 5 2 2" xfId="7921" xr:uid="{20076588-4788-432C-AD7B-CA97FA2C2422}"/>
    <cellStyle name="Comma 2 2 4 2 2 5 3" xfId="5053" xr:uid="{8BBB04B6-2AC4-4982-BA69-EB26C0FB4AF5}"/>
    <cellStyle name="Comma 2 2 4 2 2 5 3 2" xfId="9224" xr:uid="{AF5DBFB0-B25E-4205-AC7A-3F6BC257DDEF}"/>
    <cellStyle name="Comma 2 2 4 2 2 5 4" xfId="6614" xr:uid="{DD57C36B-E070-472F-8AFF-7642A576626A}"/>
    <cellStyle name="Comma 2 2 4 2 2 6" xfId="3263" xr:uid="{F37833A8-4238-4E51-BF79-9B44618984FB}"/>
    <cellStyle name="Comma 2 2 4 2 2 6 2" xfId="7461" xr:uid="{46F9A14E-7CBE-43BB-A14B-9B03D669ED8A}"/>
    <cellStyle name="Comma 2 2 4 2 2 7" xfId="4580" xr:uid="{5876B153-E4DD-4DC0-9E97-DF5F99F1425B}"/>
    <cellStyle name="Comma 2 2 4 2 2 7 2" xfId="8760" xr:uid="{423D127B-D201-45F4-90BF-6E43C334EE71}"/>
    <cellStyle name="Comma 2 2 4 2 2 8" xfId="6145" xr:uid="{5C2B616B-6B8A-4816-AFC9-17A1AEAB4745}"/>
    <cellStyle name="Comma 2 2 4 2 3" xfId="767" xr:uid="{B9BFD90F-21F6-40C8-824A-89580254B68B}"/>
    <cellStyle name="Comma 2 2 4 2 3 2" xfId="766" xr:uid="{4402E76E-A8B7-4D8E-B0AD-261E661F3F57}"/>
    <cellStyle name="Comma 2 2 4 2 3 2 2" xfId="923" xr:uid="{CFB77235-2C29-451A-9989-84F2AD6BE708}"/>
    <cellStyle name="Comma 2 2 4 2 3 2 2 2" xfId="3149" xr:uid="{4763D34A-C734-4011-853E-BBD76311811D}"/>
    <cellStyle name="Comma 2 2 4 2 3 2 2 2 2" xfId="7350" xr:uid="{FCB35288-43A6-4880-A8DE-02536D91EB3D}"/>
    <cellStyle name="Comma 2 2 4 2 3 2 2 3" xfId="4465" xr:uid="{49BFB53B-9636-4BAA-A9BD-F57A379AE053}"/>
    <cellStyle name="Comma 2 2 4 2 3 2 2 3 2" xfId="8648" xr:uid="{F396B81D-3EB6-418C-B37A-ED88CA9B9C8D}"/>
    <cellStyle name="Comma 2 2 4 2 3 2 2 4" xfId="6033" xr:uid="{A3CD3B70-DCF7-4381-81DA-83A74C22B909}"/>
    <cellStyle name="Comma 2 2 4 2 3 2 3" xfId="2719" xr:uid="{2BA4EC4F-105C-49D1-B3EE-A8494D4B72FA}"/>
    <cellStyle name="Comma 2 2 4 2 3 2 3 2" xfId="4067" xr:uid="{F7899FB2-2DEB-4A6F-A9ED-EDB9A8E84021}"/>
    <cellStyle name="Comma 2 2 4 2 3 2 3 2 2" xfId="8256" xr:uid="{7593ECD7-CD3C-44E2-9545-FBB884DFEC7E}"/>
    <cellStyle name="Comma 2 2 4 2 3 2 3 3" xfId="5388" xr:uid="{B6E27E3D-0D09-42FC-97E8-3E56B3FBBDD1}"/>
    <cellStyle name="Comma 2 2 4 2 3 2 3 3 2" xfId="9559" xr:uid="{8946F3CB-3ED9-4D60-AD99-9D249FB2DDDB}"/>
    <cellStyle name="Comma 2 2 4 2 3 2 3 4" xfId="6949" xr:uid="{0753EF4A-988C-4AC1-9A91-92EA5DF1E710}"/>
    <cellStyle name="Comma 2 2 4 2 3 2 4" xfId="3043" xr:uid="{C767BCF1-7614-4097-A02D-AD2D9CCCADB1}"/>
    <cellStyle name="Comma 2 2 4 2 3 2 4 2" xfId="7246" xr:uid="{61F50C02-C399-47F0-86B2-27E3040E5BAD}"/>
    <cellStyle name="Comma 2 2 4 2 3 2 5" xfId="4358" xr:uid="{06FBDE2E-7259-4AB9-9AF9-6DFE682D72B2}"/>
    <cellStyle name="Comma 2 2 4 2 3 2 5 2" xfId="8543" xr:uid="{21FB26F8-17A5-4FEA-8038-A0D2DCE29B29}"/>
    <cellStyle name="Comma 2 2 4 2 3 2 6" xfId="5927" xr:uid="{789E8FCF-C2E0-4CA0-8E65-38D080BB844B}"/>
    <cellStyle name="Comma 2 2 4 2 3 3" xfId="1289" xr:uid="{BDF64234-5924-42AC-87AA-06A721F49920}"/>
    <cellStyle name="Comma 2 2 4 2 3 3 2" xfId="3480" xr:uid="{262360C3-4B7D-489A-BBE2-80B5343C4457}"/>
    <cellStyle name="Comma 2 2 4 2 3 3 2 2" xfId="7677" xr:uid="{9772C760-9C6A-4DA9-A751-17CD4313A544}"/>
    <cellStyle name="Comma 2 2 4 2 3 3 3" xfId="4798" xr:uid="{6D58AB9C-CF88-4A17-8E26-DD8680EA8F95}"/>
    <cellStyle name="Comma 2 2 4 2 3 3 3 2" xfId="8977" xr:uid="{585C3190-0E49-4160-A71B-7A28AD695F4A}"/>
    <cellStyle name="Comma 2 2 4 2 3 3 4" xfId="6362" xr:uid="{9484EF0B-F537-48B8-BC79-4E00B3F44B67}"/>
    <cellStyle name="Comma 2 2 4 2 3 4" xfId="2479" xr:uid="{B1C067A0-D222-44C7-9B72-75185A15448D}"/>
    <cellStyle name="Comma 2 2 4 2 3 4 2" xfId="3827" xr:uid="{B0C2BE1D-8ED6-48B6-95B7-9DFB914CA99E}"/>
    <cellStyle name="Comma 2 2 4 2 3 4 2 2" xfId="8016" xr:uid="{BBD9A0DA-E3B4-4189-80FD-CAC82B48CE9F}"/>
    <cellStyle name="Comma 2 2 4 2 3 4 3" xfId="5148" xr:uid="{E8DD62DB-303F-4757-87E8-4E126A4E84D5}"/>
    <cellStyle name="Comma 2 2 4 2 3 4 3 2" xfId="9319" xr:uid="{240FD0E3-4EDF-4BB3-B6FE-E7DC54EF5FF2}"/>
    <cellStyle name="Comma 2 2 4 2 3 4 4" xfId="6709" xr:uid="{85E11C55-B4B1-464B-B641-F47B7C6B95DC}"/>
    <cellStyle name="Comma 2 2 4 2 3 5" xfId="3044" xr:uid="{9E748F4A-71C9-442E-B1DA-CFF3F0565AF1}"/>
    <cellStyle name="Comma 2 2 4 2 3 5 2" xfId="7247" xr:uid="{B0DDE74C-9489-4B33-8D6A-173F6BDB2790}"/>
    <cellStyle name="Comma 2 2 4 2 3 6" xfId="4359" xr:uid="{56804F1E-C1A7-470C-8E33-25827C2DC3A9}"/>
    <cellStyle name="Comma 2 2 4 2 3 6 2" xfId="8544" xr:uid="{FDAE7E9C-FB42-456B-BFDC-0262CA5ACBC2}"/>
    <cellStyle name="Comma 2 2 4 2 3 7" xfId="5928" xr:uid="{C86D63DA-4F5F-4DFF-B12C-9E4D3EBC864E}"/>
    <cellStyle name="Comma 2 2 4 2 4" xfId="1070" xr:uid="{0BCBA047-1BB5-49AE-BA6D-721F988B647A}"/>
    <cellStyle name="Comma 2 2 4 2 4 2" xfId="922" xr:uid="{22D3C130-AABB-4E48-ACB8-FD2BEBBD33BE}"/>
    <cellStyle name="Comma 2 2 4 2 4 2 2" xfId="3148" xr:uid="{02580B57-4A94-4558-B94C-CDD7316B95F0}"/>
    <cellStyle name="Comma 2 2 4 2 4 2 2 2" xfId="7349" xr:uid="{068FC400-1866-4871-A326-F41EA04EC42C}"/>
    <cellStyle name="Comma 2 2 4 2 4 2 3" xfId="4464" xr:uid="{AC307DA5-F9C7-415B-9F26-B6C31D392741}"/>
    <cellStyle name="Comma 2 2 4 2 4 2 3 2" xfId="8647" xr:uid="{DB09CF32-CD0C-44E8-B736-5811AF0E3127}"/>
    <cellStyle name="Comma 2 2 4 2 4 2 4" xfId="6032" xr:uid="{2FCD57E9-48D6-4F49-BA6D-56FE4205627E}"/>
    <cellStyle name="Comma 2 2 4 2 4 3" xfId="2560" xr:uid="{638D8623-6D19-4EFB-AA8E-8ACC640B5286}"/>
    <cellStyle name="Comma 2 2 4 2 4 3 2" xfId="3908" xr:uid="{6BAB2F01-B542-405F-84D7-C2918F8C3CF1}"/>
    <cellStyle name="Comma 2 2 4 2 4 3 2 2" xfId="8097" xr:uid="{B902C28E-CB27-49BF-9828-8374F5538E36}"/>
    <cellStyle name="Comma 2 2 4 2 4 3 3" xfId="5229" xr:uid="{DA523971-7752-480F-BEB9-673790708A87}"/>
    <cellStyle name="Comma 2 2 4 2 4 3 3 2" xfId="9400" xr:uid="{F8C3A0A5-A1B7-40D8-A2FE-B6EF28EE9990}"/>
    <cellStyle name="Comma 2 2 4 2 4 3 4" xfId="6790" xr:uid="{EA92E187-A5AB-48FA-87E5-AC16A7A76C19}"/>
    <cellStyle name="Comma 2 2 4 2 4 4" xfId="3270" xr:uid="{44154759-2F19-42BA-9726-A6C01F907B61}"/>
    <cellStyle name="Comma 2 2 4 2 4 4 2" xfId="7468" xr:uid="{2F007278-5C47-451B-BFBC-0BC44351AB4C}"/>
    <cellStyle name="Comma 2 2 4 2 4 5" xfId="4588" xr:uid="{E2CF4759-382D-4296-ADE7-0617F3F5C5CD}"/>
    <cellStyle name="Comma 2 2 4 2 4 5 2" xfId="8768" xr:uid="{495977DF-0B85-4BE0-AAC3-2174B9C81A3A}"/>
    <cellStyle name="Comma 2 2 4 2 4 6" xfId="6153" xr:uid="{549D2262-B49A-46C3-8639-53619F1A2445}"/>
    <cellStyle name="Comma 2 2 4 2 5" xfId="765" xr:uid="{723C839F-A9D4-462F-A10B-36C6275CBA63}"/>
    <cellStyle name="Comma 2 2 4 2 5 2" xfId="2314" xr:uid="{76FB0310-AC69-4EB4-B3E6-A133A4FBF7B3}"/>
    <cellStyle name="Comma 2 2 4 2 5 2 2" xfId="3668" xr:uid="{36E13095-E252-4BF9-99EE-1E7391BF0101}"/>
    <cellStyle name="Comma 2 2 4 2 5 2 2 2" xfId="7857" xr:uid="{BBDB6D47-AC5F-49E8-B040-C0B2AE044682}"/>
    <cellStyle name="Comma 2 2 4 2 5 2 3" xfId="4989" xr:uid="{6DA37CE8-11BF-41BD-90E8-D11904C2B850}"/>
    <cellStyle name="Comma 2 2 4 2 5 2 3 2" xfId="9160" xr:uid="{3DD1E7C8-572F-4EE1-AC7D-32D66350B21E}"/>
    <cellStyle name="Comma 2 2 4 2 5 2 4" xfId="6550" xr:uid="{CBAFB825-FC25-4D89-BF49-D37EFD88E477}"/>
    <cellStyle name="Comma 2 2 4 2 5 3" xfId="3042" xr:uid="{D1DF6D8C-5019-4E47-AE6F-FA24E3C9166F}"/>
    <cellStyle name="Comma 2 2 4 2 5 3 2" xfId="7245" xr:uid="{B2173E8D-F261-442D-8C88-4D1BFA8E1249}"/>
    <cellStyle name="Comma 2 2 4 2 5 4" xfId="4357" xr:uid="{0AF6F020-90F8-49CB-80E1-4979281EB4D2}"/>
    <cellStyle name="Comma 2 2 4 2 5 4 2" xfId="8542" xr:uid="{60754EEC-587B-4728-B453-C054393F1703}"/>
    <cellStyle name="Comma 2 2 4 2 5 5" xfId="5926" xr:uid="{05DB9D94-1BEE-48B9-9A11-0B7563A76638}"/>
    <cellStyle name="Comma 2 2 4 2 6" xfId="924" xr:uid="{E6183F81-E05A-4979-8DA7-5866DDEE4F20}"/>
    <cellStyle name="Comma 2 2 4 2 6 2" xfId="3150" xr:uid="{CE63F88E-B9C4-47E5-9FA9-CC7D054F0736}"/>
    <cellStyle name="Comma 2 2 4 2 6 2 2" xfId="7351" xr:uid="{A2ECA4B0-1F16-4311-8700-5AAD82A4CC38}"/>
    <cellStyle name="Comma 2 2 4 2 6 3" xfId="4466" xr:uid="{21A72D67-78CB-454E-AD8F-9758A0073825}"/>
    <cellStyle name="Comma 2 2 4 2 6 3 2" xfId="8649" xr:uid="{1C4DB59E-9022-49EE-9054-8220E89729CA}"/>
    <cellStyle name="Comma 2 2 4 2 6 4" xfId="6034" xr:uid="{A788F7DD-5CDA-4EAD-ACF3-D56CA9998584}"/>
    <cellStyle name="Comma 2 2 4 2 7" xfId="2153" xr:uid="{C5619C7F-78E5-43B6-BADD-2A1C0E02E6BB}"/>
    <cellStyle name="Comma 2 2 4 2 7 2" xfId="3587" xr:uid="{57B43869-4537-4F84-85BF-5561078F0220}"/>
    <cellStyle name="Comma 2 2 4 2 7 2 2" xfId="7776" xr:uid="{51A214EC-66B1-441F-87DF-BC7B52E22754}"/>
    <cellStyle name="Comma 2 2 4 2 7 3" xfId="4908" xr:uid="{8C0B24F0-BE8B-4401-9B40-3F5C357C69BC}"/>
    <cellStyle name="Comma 2 2 4 2 7 3 2" xfId="9079" xr:uid="{28B3E819-D590-483B-83AE-6AD2C70C286E}"/>
    <cellStyle name="Comma 2 2 4 2 7 4" xfId="6469" xr:uid="{C1933B3E-9ADD-41D5-9D61-790F9E585AE1}"/>
    <cellStyle name="Comma 2 2 4 2 8" xfId="2938" xr:uid="{FB14F2DC-5A6F-4C82-9C59-C49099AF0439}"/>
    <cellStyle name="Comma 2 2 4 2 8 2" xfId="7141" xr:uid="{06092E24-99A5-4067-AB44-E48FB0B6DC9F}"/>
    <cellStyle name="Comma 2 2 4 2 9" xfId="4249" xr:uid="{57B2C8FE-C32B-4426-86F8-65DB90CE35EF}"/>
    <cellStyle name="Comma 2 2 4 2 9 2" xfId="8434" xr:uid="{AD46976F-6C02-4CEB-8C62-EB8A616FD459}"/>
    <cellStyle name="Comma 2 2 4 3" xfId="764" xr:uid="{192E16AD-4D97-4D6E-8DE3-8396A6C7416E}"/>
    <cellStyle name="Comma 2 2 4 3 2" xfId="921" xr:uid="{154DD7B3-FD2D-4658-AA25-878A2FADDA6C}"/>
    <cellStyle name="Comma 2 2 4 3 2 2" xfId="1319" xr:uid="{F6E9D94D-D462-44CF-B717-835E14BC7A58}"/>
    <cellStyle name="Comma 2 2 4 3 2 2 2" xfId="953" xr:uid="{001CADF7-8699-4CA5-9400-C15A87248B37}"/>
    <cellStyle name="Comma 2 2 4 3 2 2 2 2" xfId="3168" xr:uid="{F132D0DE-FB33-42C6-89A4-55FF03BA2510}"/>
    <cellStyle name="Comma 2 2 4 3 2 2 2 2 2" xfId="7369" xr:uid="{26F9A6BB-E460-4FAD-913A-57220F672FBF}"/>
    <cellStyle name="Comma 2 2 4 3 2 2 2 3" xfId="4484" xr:uid="{597F8349-362C-411D-BAB4-D3E6F9529697}"/>
    <cellStyle name="Comma 2 2 4 3 2 2 2 3 2" xfId="8667" xr:uid="{17C0BEAC-CA54-46D8-B3CD-90115C747F07}"/>
    <cellStyle name="Comma 2 2 4 3 2 2 2 4" xfId="6052" xr:uid="{E90E6982-BD57-4286-9ABC-3E816C895DE0}"/>
    <cellStyle name="Comma 2 2 4 3 2 2 3" xfId="3495" xr:uid="{406D5DAD-C7E6-41D2-8FDD-F8FDAAF756BA}"/>
    <cellStyle name="Comma 2 2 4 3 2 2 3 2" xfId="7692" xr:uid="{EBFC480B-D6FE-4C74-AD63-7E1947669C58}"/>
    <cellStyle name="Comma 2 2 4 3 2 2 4" xfId="4814" xr:uid="{81A5797F-4C40-43C7-9AFE-C8867120CA2D}"/>
    <cellStyle name="Comma 2 2 4 3 2 2 4 2" xfId="8993" xr:uid="{2922E530-F147-43B3-BD83-921CEA57EA93}"/>
    <cellStyle name="Comma 2 2 4 3 2 2 5" xfId="6378" xr:uid="{B209974B-24D5-4B0B-BC96-398AB3DCB45D}"/>
    <cellStyle name="Comma 2 2 4 3 2 3" xfId="726" xr:uid="{9F87764E-8568-4466-B7F2-B6F4594504E3}"/>
    <cellStyle name="Comma 2 2 4 3 2 3 2" xfId="3010" xr:uid="{8389061E-E46F-4583-9FC6-11845AA25AA9}"/>
    <cellStyle name="Comma 2 2 4 3 2 3 2 2" xfId="7213" xr:uid="{3F630F2C-4F94-40D5-B8EF-218B3837C566}"/>
    <cellStyle name="Comma 2 2 4 3 2 3 3" xfId="4325" xr:uid="{5A73C2A8-84B2-422A-9EDE-91971F5E7EE2}"/>
    <cellStyle name="Comma 2 2 4 3 2 3 3 2" xfId="8510" xr:uid="{A02E5B49-5E47-4047-8EB2-07952370045C}"/>
    <cellStyle name="Comma 2 2 4 3 2 3 4" xfId="5894" xr:uid="{9C25771C-9297-49B8-8F8B-ABDB9D6A7D91}"/>
    <cellStyle name="Comma 2 2 4 3 2 4" xfId="2592" xr:uid="{92DBB575-8310-4A43-B8F6-C9E4A1D2E4AB}"/>
    <cellStyle name="Comma 2 2 4 3 2 4 2" xfId="3940" xr:uid="{7E01CFBE-6501-4A73-AFFD-75F9F420F643}"/>
    <cellStyle name="Comma 2 2 4 3 2 4 2 2" xfId="8129" xr:uid="{805E06CA-7AFD-4421-BF91-28FB3417C134}"/>
    <cellStyle name="Comma 2 2 4 3 2 4 3" xfId="5261" xr:uid="{CA94724C-B06E-4970-A89D-F8352AA0BB88}"/>
    <cellStyle name="Comma 2 2 4 3 2 4 3 2" xfId="9432" xr:uid="{1A627131-0146-4786-96E9-BA343A4ED322}"/>
    <cellStyle name="Comma 2 2 4 3 2 4 4" xfId="6822" xr:uid="{E13D4812-C23F-4AFA-A4DE-FDC502055BE4}"/>
    <cellStyle name="Comma 2 2 4 3 2 5" xfId="3147" xr:uid="{E8C1B666-903E-4E25-912D-8C47A7156E9C}"/>
    <cellStyle name="Comma 2 2 4 3 2 5 2" xfId="7348" xr:uid="{9046E613-CB58-4A35-8880-78EF4DD8514D}"/>
    <cellStyle name="Comma 2 2 4 3 2 6" xfId="4463" xr:uid="{0E0D0B95-F517-499F-95C4-487B129A92FD}"/>
    <cellStyle name="Comma 2 2 4 3 2 6 2" xfId="8646" xr:uid="{4785DC06-DB0D-4B6A-9A21-AA87424B135D}"/>
    <cellStyle name="Comma 2 2 4 3 2 7" xfId="6031" xr:uid="{512B548B-4BA0-4655-83A3-8015D76AB684}"/>
    <cellStyle name="Comma 2 2 4 3 3" xfId="1360" xr:uid="{18A43E0B-9DE5-49C4-AF4C-C55ACDFF6DFF}"/>
    <cellStyle name="Comma 2 2 4 3 3 2" xfId="763" xr:uid="{7A8DE5A3-4DF4-4910-B09E-71D3BB137009}"/>
    <cellStyle name="Comma 2 2 4 3 3 2 2" xfId="3040" xr:uid="{2E006CAD-B9C7-484A-80E6-761EE10D9574}"/>
    <cellStyle name="Comma 2 2 4 3 3 2 2 2" xfId="7243" xr:uid="{4D256F1B-1BAA-4CB9-8F53-8E68372337D4}"/>
    <cellStyle name="Comma 2 2 4 3 3 2 3" xfId="4355" xr:uid="{C582C90A-FC85-43DA-BF39-C717652634FC}"/>
    <cellStyle name="Comma 2 2 4 3 3 2 3 2" xfId="8540" xr:uid="{699FCBBF-9B3E-4E5B-B2BF-33B4D3EBB5B8}"/>
    <cellStyle name="Comma 2 2 4 3 3 2 4" xfId="5924" xr:uid="{05FCB4A7-C500-4974-A872-CA532003913D}"/>
    <cellStyle name="Comma 2 2 4 3 3 3" xfId="3516" xr:uid="{19CDE2CC-DC2D-46A1-BC67-5970767CB73F}"/>
    <cellStyle name="Comma 2 2 4 3 3 3 2" xfId="7713" xr:uid="{A38319AA-84D0-4D94-94D8-726DEB43BD95}"/>
    <cellStyle name="Comma 2 2 4 3 3 4" xfId="4836" xr:uid="{023BAD2D-1B95-4798-AA3D-B625E75EF291}"/>
    <cellStyle name="Comma 2 2 4 3 3 4 2" xfId="9015" xr:uid="{E9C72343-5A41-4F69-801B-BB3FB1040A18}"/>
    <cellStyle name="Comma 2 2 4 3 3 5" xfId="6400" xr:uid="{41BF1797-B202-4FC3-9809-2A020ED8D7EF}"/>
    <cellStyle name="Comma 2 2 4 3 4" xfId="920" xr:uid="{2890EBFE-82F8-4CE6-B10A-279F5B4D783C}"/>
    <cellStyle name="Comma 2 2 4 3 4 2" xfId="3146" xr:uid="{BD1C396C-C8EF-4049-9645-6DCB535AB0B3}"/>
    <cellStyle name="Comma 2 2 4 3 4 2 2" xfId="7347" xr:uid="{8102C52B-AC33-4A58-8157-D6CE224DDF95}"/>
    <cellStyle name="Comma 2 2 4 3 4 3" xfId="4462" xr:uid="{4B6EC78E-8B55-4758-A684-C17681DBD540}"/>
    <cellStyle name="Comma 2 2 4 3 4 3 2" xfId="8645" xr:uid="{B16A540A-34B5-4000-85AD-66F78EE5EAEC}"/>
    <cellStyle name="Comma 2 2 4 3 4 4" xfId="6030" xr:uid="{0C7A2A24-9D4F-4D20-9AD2-1CF88E22E58C}"/>
    <cellStyle name="Comma 2 2 4 3 5" xfId="2346" xr:uid="{7A124183-C8E2-4BB3-A682-9B8378B73832}"/>
    <cellStyle name="Comma 2 2 4 3 5 2" xfId="3700" xr:uid="{AFFE671C-D26A-428E-AC26-9E82019E49E5}"/>
    <cellStyle name="Comma 2 2 4 3 5 2 2" xfId="7889" xr:uid="{C6664501-9384-47B6-81BF-7534597909D4}"/>
    <cellStyle name="Comma 2 2 4 3 5 3" xfId="5021" xr:uid="{D3056218-3243-432B-A248-F45CB68ACA56}"/>
    <cellStyle name="Comma 2 2 4 3 5 3 2" xfId="9192" xr:uid="{27176D22-A31A-4DFD-827D-CD24E066F266}"/>
    <cellStyle name="Comma 2 2 4 3 5 4" xfId="6582" xr:uid="{B4B0D8CE-43C1-4940-9F86-57D25CE6CBCC}"/>
    <cellStyle name="Comma 2 2 4 3 6" xfId="3041" xr:uid="{DDC1EADF-CD84-4CE7-8D0B-C7EB6ED06AFC}"/>
    <cellStyle name="Comma 2 2 4 3 6 2" xfId="7244" xr:uid="{65A085CD-181D-4AEE-92BA-91563B1867BF}"/>
    <cellStyle name="Comma 2 2 4 3 7" xfId="4356" xr:uid="{148644F6-4A89-44B8-B7C1-EC6FFD08F282}"/>
    <cellStyle name="Comma 2 2 4 3 7 2" xfId="8541" xr:uid="{1E20EE51-12F5-402D-9F8D-C60E1EBD7883}"/>
    <cellStyle name="Comma 2 2 4 3 8" xfId="5925" xr:uid="{F6FD7EA8-8B97-4264-8AAD-B9D48F478C68}"/>
    <cellStyle name="Comma 2 2 4 4" xfId="666" xr:uid="{A22DCCC0-F57E-4811-9E64-D2BDA2F213D3}"/>
    <cellStyle name="Comma 2 2 4 4 2" xfId="1332" xr:uid="{821BCAF0-84E0-4B00-B64A-D94E6CC8A58F}"/>
    <cellStyle name="Comma 2 2 4 4 2 2" xfId="1320" xr:uid="{15491963-8265-4E9E-A5A8-02D98971FA7D}"/>
    <cellStyle name="Comma 2 2 4 4 2 2 2" xfId="3496" xr:uid="{4E5657CE-41C2-482A-AB1F-41FACB0A21B6}"/>
    <cellStyle name="Comma 2 2 4 4 2 2 2 2" xfId="7693" xr:uid="{FF3DE3B5-8B8F-49F9-AD71-0F5C2BAA444C}"/>
    <cellStyle name="Comma 2 2 4 4 2 2 3" xfId="4815" xr:uid="{285E0A4D-C55C-47CA-B349-89F441ADFB75}"/>
    <cellStyle name="Comma 2 2 4 4 2 2 3 2" xfId="8994" xr:uid="{16A90D98-22AF-4D67-94D2-B328BAB283FC}"/>
    <cellStyle name="Comma 2 2 4 4 2 2 4" xfId="6379" xr:uid="{6DBFCD5F-079E-4703-BB5F-4FCB78518ABA}"/>
    <cellStyle name="Comma 2 2 4 4 2 3" xfId="2662" xr:uid="{0CB86C76-2A21-4364-B51A-D276042B6865}"/>
    <cellStyle name="Comma 2 2 4 4 2 3 2" xfId="4010" xr:uid="{889F8E00-45DB-4054-B276-E47330EE2E76}"/>
    <cellStyle name="Comma 2 2 4 4 2 3 2 2" xfId="8199" xr:uid="{DE81F2DB-D130-4050-81FA-2E08B5627DF3}"/>
    <cellStyle name="Comma 2 2 4 4 2 3 3" xfId="5331" xr:uid="{92E4A028-A9B7-4863-8AF3-6D7AE51FAD18}"/>
    <cellStyle name="Comma 2 2 4 4 2 3 3 2" xfId="9502" xr:uid="{743A7A63-ADF3-4378-A6AC-6B4ABA0E99F3}"/>
    <cellStyle name="Comma 2 2 4 4 2 3 4" xfId="6892" xr:uid="{55BC5930-FAED-4F08-9FA6-34858F773A74}"/>
    <cellStyle name="Comma 2 2 4 4 2 4" xfId="3506" xr:uid="{D63A6E38-E2FD-4EF2-947E-FE53A6ED15D9}"/>
    <cellStyle name="Comma 2 2 4 4 2 4 2" xfId="7703" xr:uid="{77CC8C82-BD44-427C-985F-8D3BFB6EE03F}"/>
    <cellStyle name="Comma 2 2 4 4 2 5" xfId="4825" xr:uid="{A3C6E1C6-B60F-4619-8872-F43794243DF9}"/>
    <cellStyle name="Comma 2 2 4 4 2 5 2" xfId="9004" xr:uid="{B428232A-7A46-4FE7-9E56-BDC707301ECF}"/>
    <cellStyle name="Comma 2 2 4 4 2 6" xfId="6389" xr:uid="{98845E20-748E-4996-9E88-4C8354DDA4BE}"/>
    <cellStyle name="Comma 2 2 4 4 3" xfId="899" xr:uid="{E8EF2BFC-5D8B-4F72-8222-E9CDCB0EB82F}"/>
    <cellStyle name="Comma 2 2 4 4 3 2" xfId="3125" xr:uid="{5C4F8EB9-9F28-44CD-B4B5-FF38F98BEFB7}"/>
    <cellStyle name="Comma 2 2 4 4 3 2 2" xfId="7326" xr:uid="{18DD2A26-1A6A-4A53-8DAA-779A5D178DF4}"/>
    <cellStyle name="Comma 2 2 4 4 3 3" xfId="4441" xr:uid="{905B25EF-A0A4-4052-BB22-477406AD0459}"/>
    <cellStyle name="Comma 2 2 4 4 3 3 2" xfId="8624" xr:uid="{BB991C44-8C5B-4DEF-933C-1F2B3EDCC547}"/>
    <cellStyle name="Comma 2 2 4 4 3 4" xfId="6009" xr:uid="{DC74622B-CAC3-46C4-8F2F-47BEDAD94328}"/>
    <cellStyle name="Comma 2 2 4 4 4" xfId="2422" xr:uid="{330EEDA2-4F21-400F-AD06-82E7754775BD}"/>
    <cellStyle name="Comma 2 2 4 4 4 2" xfId="3770" xr:uid="{1BA923FA-7636-4E8A-A3E3-EF797CA27EAC}"/>
    <cellStyle name="Comma 2 2 4 4 4 2 2" xfId="7959" xr:uid="{37D598EE-FB02-4673-BCC7-F12F79FD889C}"/>
    <cellStyle name="Comma 2 2 4 4 4 3" xfId="5091" xr:uid="{48AD52F4-F9E3-4EB2-85CB-90CD33FA4B3E}"/>
    <cellStyle name="Comma 2 2 4 4 4 3 2" xfId="9262" xr:uid="{BB9E10DF-4273-48D3-BA39-EA8CADF4A265}"/>
    <cellStyle name="Comma 2 2 4 4 4 4" xfId="6652" xr:uid="{6E89FDC1-0477-45C5-A767-382303C104CB}"/>
    <cellStyle name="Comma 2 2 4 4 5" xfId="2976" xr:uid="{94C770C6-9D9E-4A31-A86C-D1F118D98F24}"/>
    <cellStyle name="Comma 2 2 4 4 5 2" xfId="7179" xr:uid="{2658B7D9-7C08-40E1-89C3-16CDAC119462}"/>
    <cellStyle name="Comma 2 2 4 4 6" xfId="4289" xr:uid="{3009A8CF-D8C8-402C-95B0-103B65D43AA1}"/>
    <cellStyle name="Comma 2 2 4 4 6 2" xfId="8474" xr:uid="{C5736F57-1CDF-47AF-8989-25B8C45CBCEE}"/>
    <cellStyle name="Comma 2 2 4 4 7" xfId="5858" xr:uid="{2391F9C6-2946-4C2B-B30E-8D61D931AE62}"/>
    <cellStyle name="Comma 2 2 4 5" xfId="762" xr:uid="{987B1B79-B1B4-460A-BCA7-2A54CC1284AC}"/>
    <cellStyle name="Comma 2 2 4 5 2" xfId="918" xr:uid="{DB69A2F1-4A89-4598-80D8-83DD05FC6E5D}"/>
    <cellStyle name="Comma 2 2 4 5 2 2" xfId="2687" xr:uid="{8FE1E0FF-A446-453D-8F50-AD7E7617E64E}"/>
    <cellStyle name="Comma 2 2 4 5 2 2 2" xfId="4035" xr:uid="{84ABDDF8-E4B9-414E-8372-7668D10C2294}"/>
    <cellStyle name="Comma 2 2 4 5 2 2 2 2" xfId="8224" xr:uid="{45D3671C-B764-4559-A117-F361CA71C5EB}"/>
    <cellStyle name="Comma 2 2 4 5 2 2 3" xfId="5356" xr:uid="{49B4D981-DE41-4C00-9C5F-8BE458CA2DF6}"/>
    <cellStyle name="Comma 2 2 4 5 2 2 3 2" xfId="9527" xr:uid="{3ECD336A-7A43-4BA2-9D83-A9636D078D92}"/>
    <cellStyle name="Comma 2 2 4 5 2 2 4" xfId="6917" xr:uid="{63FFAABA-F36E-4615-A820-B4DD536737FE}"/>
    <cellStyle name="Comma 2 2 4 5 2 3" xfId="3144" xr:uid="{D12C670F-49B4-4B2F-A006-2511777F411F}"/>
    <cellStyle name="Comma 2 2 4 5 2 3 2" xfId="7345" xr:uid="{EFA0C887-C6A5-462E-B65A-9C2A4A74A067}"/>
    <cellStyle name="Comma 2 2 4 5 2 4" xfId="4460" xr:uid="{052CD580-D179-43D4-9528-0D80343D9A15}"/>
    <cellStyle name="Comma 2 2 4 5 2 4 2" xfId="8643" xr:uid="{9E8020A6-EA05-4A42-9D1C-079CFAF9D0EA}"/>
    <cellStyle name="Comma 2 2 4 5 2 5" xfId="6028" xr:uid="{844459F8-588F-441E-9CFE-84F81C499F89}"/>
    <cellStyle name="Comma 2 2 4 5 3" xfId="2447" xr:uid="{1BD5A1D5-ACFB-46C3-9B38-CA17086CCA6D}"/>
    <cellStyle name="Comma 2 2 4 5 3 2" xfId="3795" xr:uid="{9CEEFF53-3D17-4163-808C-F8EDEBB28171}"/>
    <cellStyle name="Comma 2 2 4 5 3 2 2" xfId="7984" xr:uid="{E1B1B60E-C4D2-46DF-8125-F9EBC0FC97A9}"/>
    <cellStyle name="Comma 2 2 4 5 3 3" xfId="5116" xr:uid="{896DCF8B-FE41-4F8B-940C-33449963E3FE}"/>
    <cellStyle name="Comma 2 2 4 5 3 3 2" xfId="9287" xr:uid="{0509FE0B-5F72-4FAA-9B4A-3142B3C9FB97}"/>
    <cellStyle name="Comma 2 2 4 5 3 4" xfId="6677" xr:uid="{9566AA5E-0338-4F2A-A3FA-5210455C9800}"/>
    <cellStyle name="Comma 2 2 4 5 4" xfId="3039" xr:uid="{62A4D327-0D2A-423D-A724-726A886D439C}"/>
    <cellStyle name="Comma 2 2 4 5 4 2" xfId="7242" xr:uid="{BD83757B-D1BF-4E11-98DD-8282F64F1BC3}"/>
    <cellStyle name="Comma 2 2 4 5 5" xfId="4354" xr:uid="{C21D3156-558D-407D-B929-90AA45607F0D}"/>
    <cellStyle name="Comma 2 2 4 5 5 2" xfId="8539" xr:uid="{9EC9F622-81E5-4772-A705-B9A5D44722EA}"/>
    <cellStyle name="Comma 2 2 4 5 6" xfId="5923" xr:uid="{5AD2C5FD-B170-4F33-82B3-478D682F6E3A}"/>
    <cellStyle name="Comma 2 2 4 6" xfId="2528" xr:uid="{517F8722-FAFA-4F7F-B280-423FEB22DB61}"/>
    <cellStyle name="Comma 2 2 4 6 2" xfId="3876" xr:uid="{5A289C59-606C-4196-9B2F-FDA7ED1FCCC3}"/>
    <cellStyle name="Comma 2 2 4 6 2 2" xfId="8065" xr:uid="{B416438B-4CD9-42D6-9BAB-1A01C0EAC3B5}"/>
    <cellStyle name="Comma 2 2 4 6 3" xfId="5197" xr:uid="{BF6E2049-6E2A-4B6D-A3E1-95A32E57CF35}"/>
    <cellStyle name="Comma 2 2 4 6 3 2" xfId="9368" xr:uid="{67EB631C-F640-4F7D-BE35-0C1A87C570DD}"/>
    <cellStyle name="Comma 2 2 4 6 4" xfId="6758" xr:uid="{F317F33C-27E4-47B2-AC59-48F447FB68DB}"/>
    <cellStyle name="Comma 2 2 4 7" xfId="2282" xr:uid="{19722991-BA76-4E7B-8B43-00BAA23AA650}"/>
    <cellStyle name="Comma 2 2 4 7 2" xfId="3636" xr:uid="{086418AC-6253-44FC-94DD-A08F80F291EB}"/>
    <cellStyle name="Comma 2 2 4 7 2 2" xfId="7825" xr:uid="{D8BDC623-54EC-4041-B2CB-6A7593561DE8}"/>
    <cellStyle name="Comma 2 2 4 7 3" xfId="4957" xr:uid="{48139E7F-59C4-44CD-9AC4-79A5E53603A0}"/>
    <cellStyle name="Comma 2 2 4 7 3 2" xfId="9128" xr:uid="{B24DA51F-F3D9-4EFF-83CC-43BFFA05B7DB}"/>
    <cellStyle name="Comma 2 2 4 7 4" xfId="6518" xr:uid="{ECFCC414-F764-497D-8BBB-D65BF04AEC2C}"/>
    <cellStyle name="Comma 2 2 4 8" xfId="2118" xr:uid="{5F724127-954D-45D1-8EE0-724B8DD0BDD0}"/>
    <cellStyle name="Comma 2 2 4 8 2" xfId="3555" xr:uid="{1D327D69-C3E7-4AC0-AB58-AC5F68F4CC02}"/>
    <cellStyle name="Comma 2 2 4 8 2 2" xfId="7744" xr:uid="{10D530B9-8F6B-4D88-A9DE-536E6BCD99B7}"/>
    <cellStyle name="Comma 2 2 4 8 3" xfId="4876" xr:uid="{6ADB8757-94E3-4E20-A2B4-65EC1E13DEAE}"/>
    <cellStyle name="Comma 2 2 4 8 3 2" xfId="9047" xr:uid="{C4E343D4-2715-4705-91FD-97745543DA72}"/>
    <cellStyle name="Comma 2 2 4 8 4" xfId="6437" xr:uid="{2C437B16-8978-4C4A-A382-62A8A17A8B59}"/>
    <cellStyle name="Comma 2 2 4 9" xfId="2847" xr:uid="{C8C4FD91-9270-4FBF-B3CA-B39C567A348C}"/>
    <cellStyle name="Comma 2 2 4 9 2" xfId="7058" xr:uid="{E5B8B3C7-4DCD-4555-9E99-3CB69968833D}"/>
    <cellStyle name="Comma 2 2 5" xfId="170" xr:uid="{2819B393-2ED7-4C95-99AA-F65CADB37D58}"/>
    <cellStyle name="Comma 2 2 5 2" xfId="618" xr:uid="{182BCE9A-DF9D-4C50-AC35-2C4004D44519}"/>
    <cellStyle name="Comma 2 2 5 2 2" xfId="761" xr:uid="{17351868-C6B1-47C7-A59E-A7D381076965}"/>
    <cellStyle name="Comma 2 2 5 2 2 2" xfId="760" xr:uid="{315FE743-5DAF-404A-B1CC-207FDC492BD8}"/>
    <cellStyle name="Comma 2 2 5 2 2 2 2" xfId="853" xr:uid="{C63B524E-12F8-44F8-AA6E-8F2367DD38A7}"/>
    <cellStyle name="Comma 2 2 5 2 2 2 2 2" xfId="3096" xr:uid="{F4D74616-8657-45F9-9CE9-3E46B451E6FC}"/>
    <cellStyle name="Comma 2 2 5 2 2 2 2 2 2" xfId="7297" xr:uid="{33F63B5F-2A7E-47A0-8240-369A26FE9797}"/>
    <cellStyle name="Comma 2 2 5 2 2 2 2 3" xfId="4411" xr:uid="{59863A34-949C-40DE-AD4E-0B3E628922C1}"/>
    <cellStyle name="Comma 2 2 5 2 2 2 2 3 2" xfId="8594" xr:uid="{D18465BB-1A9A-4DF8-B207-B8BB40E6DB21}"/>
    <cellStyle name="Comma 2 2 5 2 2 2 2 4" xfId="5978" xr:uid="{61964B88-361E-4308-A506-1EBAAD2C11DD}"/>
    <cellStyle name="Comma 2 2 5 2 2 2 3" xfId="3037" xr:uid="{6D40B8CE-4EF3-4695-AB8D-69908C6A26EA}"/>
    <cellStyle name="Comma 2 2 5 2 2 2 3 2" xfId="7240" xr:uid="{18B4BB78-5740-4572-97B4-7E14330DB35C}"/>
    <cellStyle name="Comma 2 2 5 2 2 2 4" xfId="4352" xr:uid="{C9E0838D-6809-45EA-92A5-3511A5674536}"/>
    <cellStyle name="Comma 2 2 5 2 2 2 4 2" xfId="8537" xr:uid="{063E98AD-D17C-45EA-93B4-597A136C802F}"/>
    <cellStyle name="Comma 2 2 5 2 2 2 5" xfId="5921" xr:uid="{A799CBB7-9973-424A-A5EF-8E7A733FD4DA}"/>
    <cellStyle name="Comma 2 2 5 2 2 3" xfId="919" xr:uid="{F746F363-ED45-4FB4-891E-7F3C23FF9B87}"/>
    <cellStyle name="Comma 2 2 5 2 2 3 2" xfId="3145" xr:uid="{889C115C-188F-48B7-8539-282700696012}"/>
    <cellStyle name="Comma 2 2 5 2 2 3 2 2" xfId="7346" xr:uid="{0D36B590-E2CF-4BF0-AC14-D9F0CC9FEB1C}"/>
    <cellStyle name="Comma 2 2 5 2 2 3 3" xfId="4461" xr:uid="{FB5E7992-B988-48CC-800C-DE1EC9DA4A97}"/>
    <cellStyle name="Comma 2 2 5 2 2 3 3 2" xfId="8644" xr:uid="{017E3643-D3D0-47F3-9845-C59F6B870315}"/>
    <cellStyle name="Comma 2 2 5 2 2 3 4" xfId="6029" xr:uid="{08803C9B-34E4-4191-87E9-AE6269E533B5}"/>
    <cellStyle name="Comma 2 2 5 2 2 4" xfId="2608" xr:uid="{A52D9342-2339-4AB0-B15E-70A5601D74BF}"/>
    <cellStyle name="Comma 2 2 5 2 2 4 2" xfId="3956" xr:uid="{BC8D1FD9-1BFA-4DA3-B2D6-38F05297FB26}"/>
    <cellStyle name="Comma 2 2 5 2 2 4 2 2" xfId="8145" xr:uid="{1A7EF3EF-88B3-4A7C-A690-62F0B6AD1E75}"/>
    <cellStyle name="Comma 2 2 5 2 2 4 3" xfId="5277" xr:uid="{A6A8892B-D535-4FB9-B6ED-E747AEB04424}"/>
    <cellStyle name="Comma 2 2 5 2 2 4 3 2" xfId="9448" xr:uid="{6FD4A5AA-F013-4DCC-B5FA-28004502175A}"/>
    <cellStyle name="Comma 2 2 5 2 2 4 4" xfId="6838" xr:uid="{4CB8AB7D-B449-4AEE-A8E7-64A7062BD318}"/>
    <cellStyle name="Comma 2 2 5 2 2 5" xfId="3038" xr:uid="{92DFA0E5-1825-43A5-A948-9F453C8EE8B4}"/>
    <cellStyle name="Comma 2 2 5 2 2 5 2" xfId="7241" xr:uid="{6C09F30B-8A48-4D79-8836-26CFCCD44441}"/>
    <cellStyle name="Comma 2 2 5 2 2 6" xfId="4353" xr:uid="{B5099762-2214-438D-B1B3-9E4887316468}"/>
    <cellStyle name="Comma 2 2 5 2 2 6 2" xfId="8538" xr:uid="{7ADEB071-2FB0-4378-BAFB-FB8FA486E7BE}"/>
    <cellStyle name="Comma 2 2 5 2 2 7" xfId="5922" xr:uid="{628C50CD-44D8-47E1-A15D-2C098208C041}"/>
    <cellStyle name="Comma 2 2 5 2 3" xfId="759" xr:uid="{0089285E-6CD3-4BAB-AA84-B55898702D83}"/>
    <cellStyle name="Comma 2 2 5 2 3 2" xfId="683" xr:uid="{634A3A5F-05D9-4BAD-AEEF-DA375AA1D30A}"/>
    <cellStyle name="Comma 2 2 5 2 3 2 2" xfId="2983" xr:uid="{C4399788-FF2B-43C9-9D58-C3909F8D23B6}"/>
    <cellStyle name="Comma 2 2 5 2 3 2 2 2" xfId="7186" xr:uid="{C3A3BA0B-B78D-41D2-93D8-9B7FA3707044}"/>
    <cellStyle name="Comma 2 2 5 2 3 2 3" xfId="4296" xr:uid="{0530FBF4-0CBE-42EF-A8C1-4BCA40A3AACD}"/>
    <cellStyle name="Comma 2 2 5 2 3 2 3 2" xfId="8481" xr:uid="{9950087B-F760-41B5-AF8E-96D7C4859C63}"/>
    <cellStyle name="Comma 2 2 5 2 3 2 4" xfId="5865" xr:uid="{414F1E7D-69CF-46E9-A8B6-C39CD9E864FF}"/>
    <cellStyle name="Comma 2 2 5 2 3 3" xfId="3036" xr:uid="{F7E7D960-0CA2-4AE0-899A-BE06C519EB37}"/>
    <cellStyle name="Comma 2 2 5 2 3 3 2" xfId="7239" xr:uid="{AF1888D5-008B-4B95-988C-8C431F16DF01}"/>
    <cellStyle name="Comma 2 2 5 2 3 4" xfId="4351" xr:uid="{3C67178D-F285-4638-A58E-08D8F2A7EC5D}"/>
    <cellStyle name="Comma 2 2 5 2 3 4 2" xfId="8536" xr:uid="{BCE262CF-8775-427D-B251-A01DC13CC526}"/>
    <cellStyle name="Comma 2 2 5 2 3 5" xfId="5920" xr:uid="{D7A0EAC5-0C34-41E7-B35E-6A37B96EC7B5}"/>
    <cellStyle name="Comma 2 2 5 2 4" xfId="688" xr:uid="{8C100A7D-998A-4869-8723-3C653DB61BE6}"/>
    <cellStyle name="Comma 2 2 5 2 4 2" xfId="2987" xr:uid="{B0C9AECA-43B5-4785-8EFB-F10C99B74AF1}"/>
    <cellStyle name="Comma 2 2 5 2 4 2 2" xfId="7190" xr:uid="{A7825164-B53F-42E4-899F-223BC349185B}"/>
    <cellStyle name="Comma 2 2 5 2 4 3" xfId="4300" xr:uid="{3CFDF805-534C-405F-A895-23B8021D206C}"/>
    <cellStyle name="Comma 2 2 5 2 4 3 2" xfId="8485" xr:uid="{0EB6E118-7A94-47D6-BAA0-254C1F51E75A}"/>
    <cellStyle name="Comma 2 2 5 2 4 4" xfId="5869" xr:uid="{28A92710-1F5B-42E4-9194-2E25D1FBC039}"/>
    <cellStyle name="Comma 2 2 5 2 5" xfId="1067" xr:uid="{F19D5595-38DA-47A0-A52D-343D122A8BAE}"/>
    <cellStyle name="Comma 2 2 5 2 5 2" xfId="4585" xr:uid="{EA43CBF4-63F3-4A1C-B0DF-0F49F3A9BA49}"/>
    <cellStyle name="Comma 2 2 5 2 5 2 2" xfId="8765" xr:uid="{BB562B94-C938-495D-9BA9-DBDCC0E53EF6}"/>
    <cellStyle name="Comma 2 2 5 2 5 3" xfId="6150" xr:uid="{7CCA3143-0CDA-442C-A4C5-38843E99950C}"/>
    <cellStyle name="Comma 2 2 5 2 6" xfId="2362" xr:uid="{E0C42A11-252D-4380-83C6-402E22C83604}"/>
    <cellStyle name="Comma 2 2 5 2 6 2" xfId="3716" xr:uid="{21CC31A2-271A-4450-9613-D0EFA53A051A}"/>
    <cellStyle name="Comma 2 2 5 2 6 2 2" xfId="7905" xr:uid="{905848B1-0325-4DB5-B1A1-F558CF978C3B}"/>
    <cellStyle name="Comma 2 2 5 2 6 3" xfId="5037" xr:uid="{6F18AA59-645B-43C6-B23C-FD34B6D3AC23}"/>
    <cellStyle name="Comma 2 2 5 2 6 3 2" xfId="9208" xr:uid="{3476D604-E4E1-408A-A2FE-13B4090B2216}"/>
    <cellStyle name="Comma 2 2 5 2 6 4" xfId="6598" xr:uid="{FD94ECE6-898F-4FEB-A6B5-5FACDEF69173}"/>
    <cellStyle name="Comma 2 2 5 2 7" xfId="2939" xr:uid="{FA0829EA-5643-4014-A377-046DC2159BB3}"/>
    <cellStyle name="Comma 2 2 5 2 7 2" xfId="7142" xr:uid="{3017A716-931B-42D6-A37D-0CDF3E9557AD}"/>
    <cellStyle name="Comma 2 2 5 2 8" xfId="4250" xr:uid="{AD6CF89E-F333-42D5-8A10-039A6204EDCB}"/>
    <cellStyle name="Comma 2 2 5 2 8 2" xfId="8435" xr:uid="{038E7159-0891-46CF-BFC1-DCF6D6AE6EB9}"/>
    <cellStyle name="Comma 2 2 5 2 9" xfId="5819" xr:uid="{E29624B7-65FF-4EF0-88F3-5B3CE11A74D9}"/>
    <cellStyle name="Comma 2 2 5 3" xfId="758" xr:uid="{DEE80AB9-5C51-4BF0-A2AA-9620C85E8E2D}"/>
    <cellStyle name="Comma 2 2 5 3 2" xfId="687" xr:uid="{A77B4E93-CCAB-4A32-AF39-1A4A12F19832}"/>
    <cellStyle name="Comma 2 2 5 3 2 2" xfId="665" xr:uid="{B5106CA3-5069-4959-9254-1CDC51491523}"/>
    <cellStyle name="Comma 2 2 5 3 2 2 2" xfId="757" xr:uid="{AB29885A-E3AB-4366-83A4-BA554508D60F}"/>
    <cellStyle name="Comma 2 2 5 3 2 2 2 2" xfId="3034" xr:uid="{BE3163BF-6BE5-405C-943F-1302ACE33FE3}"/>
    <cellStyle name="Comma 2 2 5 3 2 2 2 2 2" xfId="7237" xr:uid="{F13BDE96-5746-43C9-A9F1-A8EC5EDC98D1}"/>
    <cellStyle name="Comma 2 2 5 3 2 2 2 3" xfId="4349" xr:uid="{A73A374C-17DB-402E-804E-0E934A8EA156}"/>
    <cellStyle name="Comma 2 2 5 3 2 2 2 3 2" xfId="8534" xr:uid="{D51A698E-728A-4725-90B8-67D194F26FEF}"/>
    <cellStyle name="Comma 2 2 5 3 2 2 2 4" xfId="5918" xr:uid="{F9E03CCF-3089-4ED5-B20F-0FB7B6C6C5EF}"/>
    <cellStyle name="Comma 2 2 5 3 2 2 3" xfId="2975" xr:uid="{CCC4789B-9F95-4980-A0AA-A621DF29FD65}"/>
    <cellStyle name="Comma 2 2 5 3 2 2 3 2" xfId="7178" xr:uid="{58505509-6924-4476-864A-3C7E4DC0842F}"/>
    <cellStyle name="Comma 2 2 5 3 2 2 4" xfId="4288" xr:uid="{7A4728C2-87B6-462D-8C53-CD7128CC042B}"/>
    <cellStyle name="Comma 2 2 5 3 2 2 4 2" xfId="8473" xr:uid="{664B3705-598E-45EE-835B-EF3CD63AABB8}"/>
    <cellStyle name="Comma 2 2 5 3 2 2 5" xfId="5857" xr:uid="{CBABE55D-646C-4122-B6AC-0A8AF2844F19}"/>
    <cellStyle name="Comma 2 2 5 3 2 3" xfId="917" xr:uid="{6CE86D3E-BB97-4CE7-9EEA-23BCFFC87F67}"/>
    <cellStyle name="Comma 2 2 5 3 2 3 2" xfId="3143" xr:uid="{E982D7F4-BCF8-4CB1-A372-85885D68DD35}"/>
    <cellStyle name="Comma 2 2 5 3 2 3 2 2" xfId="7344" xr:uid="{4C99B892-9FA8-4EC8-A0EC-C505B2874D53}"/>
    <cellStyle name="Comma 2 2 5 3 2 3 3" xfId="4459" xr:uid="{5862B762-444D-47E6-A93F-51EBE062A247}"/>
    <cellStyle name="Comma 2 2 5 3 2 3 3 2" xfId="8642" xr:uid="{207F4C35-7FEB-45C7-90C0-8BD3F289E6FB}"/>
    <cellStyle name="Comma 2 2 5 3 2 3 4" xfId="6027" xr:uid="{8D87145D-2CF4-4380-A2B6-B54A3A50CF26}"/>
    <cellStyle name="Comma 2 2 5 3 2 4" xfId="2703" xr:uid="{A26BAB85-0253-4F28-9C4B-6F836742C7D2}"/>
    <cellStyle name="Comma 2 2 5 3 2 4 2" xfId="4051" xr:uid="{9BD80108-4AB6-43E0-864B-DA21C1FA25DF}"/>
    <cellStyle name="Comma 2 2 5 3 2 4 2 2" xfId="8240" xr:uid="{605BCE6E-36C8-4E13-BC16-588343AA120E}"/>
    <cellStyle name="Comma 2 2 5 3 2 4 3" xfId="5372" xr:uid="{2428EB77-0920-40B6-9FA2-CC38B85553A2}"/>
    <cellStyle name="Comma 2 2 5 3 2 4 3 2" xfId="9543" xr:uid="{AE56879C-CD98-4AB6-81EC-3CE6326F2DA0}"/>
    <cellStyle name="Comma 2 2 5 3 2 4 4" xfId="6933" xr:uid="{7CB499B4-B884-4FFA-9550-75A706C55726}"/>
    <cellStyle name="Comma 2 2 5 3 2 5" xfId="2986" xr:uid="{A4FFF285-EAA4-465B-9844-B45D621976D3}"/>
    <cellStyle name="Comma 2 2 5 3 2 5 2" xfId="7189" xr:uid="{9112DF03-07FA-4B64-85F6-D2DA213D8B09}"/>
    <cellStyle name="Comma 2 2 5 3 2 6" xfId="4299" xr:uid="{D03B5D0C-2DA0-45FF-8196-83B3F1AE48E4}"/>
    <cellStyle name="Comma 2 2 5 3 2 6 2" xfId="8484" xr:uid="{855F42C9-9BA8-48E5-9FFD-6C876CEF9F81}"/>
    <cellStyle name="Comma 2 2 5 3 2 7" xfId="5868" xr:uid="{601671AB-F923-4B79-B96D-ABE91ABDB260}"/>
    <cellStyle name="Comma 2 2 5 3 3" xfId="756" xr:uid="{ABD81F42-2178-49A1-80BE-687DB2F33D40}"/>
    <cellStyle name="Comma 2 2 5 3 3 2" xfId="755" xr:uid="{8B501A0A-2D1C-4EAD-B9ED-85E946D6B7A5}"/>
    <cellStyle name="Comma 2 2 5 3 3 2 2" xfId="3032" xr:uid="{44AD2532-9F44-4725-B9CB-A33C2F8F0B48}"/>
    <cellStyle name="Comma 2 2 5 3 3 2 2 2" xfId="7235" xr:uid="{594CAF18-072B-4599-B195-156C6A0E0CD8}"/>
    <cellStyle name="Comma 2 2 5 3 3 2 3" xfId="4347" xr:uid="{DDEC96A2-A37C-4C40-8D5B-7F11C0D2191A}"/>
    <cellStyle name="Comma 2 2 5 3 3 2 3 2" xfId="8532" xr:uid="{CB783E59-EFC8-48FB-AAF9-6588AAF73222}"/>
    <cellStyle name="Comma 2 2 5 3 3 2 4" xfId="5916" xr:uid="{A6B581BD-0701-4264-9334-5EE64BDAF184}"/>
    <cellStyle name="Comma 2 2 5 3 3 3" xfId="3033" xr:uid="{E2F2BD28-BC4C-4B01-AA9A-5A198CFBC367}"/>
    <cellStyle name="Comma 2 2 5 3 3 3 2" xfId="7236" xr:uid="{EFEDEA4D-5196-4B7C-A93B-845E8C10812D}"/>
    <cellStyle name="Comma 2 2 5 3 3 4" xfId="4348" xr:uid="{6F29F0C7-C6F6-47D5-A0EB-4B7453D008C9}"/>
    <cellStyle name="Comma 2 2 5 3 3 4 2" xfId="8533" xr:uid="{B3130B92-A333-4D76-BA2D-1052EDFBEC37}"/>
    <cellStyle name="Comma 2 2 5 3 3 5" xfId="5917" xr:uid="{57E92275-8700-4AC9-A3C4-A3354ECD5B85}"/>
    <cellStyle name="Comma 2 2 5 3 4" xfId="867" xr:uid="{2400EED0-697E-494C-9176-1A2384829A76}"/>
    <cellStyle name="Comma 2 2 5 3 4 2" xfId="3107" xr:uid="{3D60DD35-F673-40D5-B076-3F87B87B9DFD}"/>
    <cellStyle name="Comma 2 2 5 3 4 2 2" xfId="7308" xr:uid="{9674F74B-78A7-4123-99C1-C7AEE227370F}"/>
    <cellStyle name="Comma 2 2 5 3 4 3" xfId="4422" xr:uid="{BAF7F158-818F-4987-BABB-FB0F1F2A9C7F}"/>
    <cellStyle name="Comma 2 2 5 3 4 3 2" xfId="8605" xr:uid="{9FDA9271-D830-4FDC-AD6A-A78FEE6A86A1}"/>
    <cellStyle name="Comma 2 2 5 3 4 4" xfId="5989" xr:uid="{A3BB90D9-1E1A-4F05-966B-EC523B244679}"/>
    <cellStyle name="Comma 2 2 5 3 5" xfId="2463" xr:uid="{704F49DF-3604-42B2-A8ED-1EDF77DADB8F}"/>
    <cellStyle name="Comma 2 2 5 3 5 2" xfId="3811" xr:uid="{B3315F0C-F8E8-4079-9D38-FFCF344F1D79}"/>
    <cellStyle name="Comma 2 2 5 3 5 2 2" xfId="8000" xr:uid="{1C03C29A-146C-4337-9129-D5F00EF228A9}"/>
    <cellStyle name="Comma 2 2 5 3 5 3" xfId="5132" xr:uid="{1FF0F9C1-BE87-446A-9EC6-DD08DCF07385}"/>
    <cellStyle name="Comma 2 2 5 3 5 3 2" xfId="9303" xr:uid="{F742B133-B812-403E-B6B8-F29F4E64C256}"/>
    <cellStyle name="Comma 2 2 5 3 5 4" xfId="6693" xr:uid="{1337962B-79E2-4548-AA03-C27CE7160F7D}"/>
    <cellStyle name="Comma 2 2 5 3 6" xfId="3035" xr:uid="{0B9EBF3E-605C-48CB-B87A-CD2540823B16}"/>
    <cellStyle name="Comma 2 2 5 3 6 2" xfId="7238" xr:uid="{B3BBF5A0-A18D-4F5B-9D43-DB117F182E8E}"/>
    <cellStyle name="Comma 2 2 5 3 7" xfId="4350" xr:uid="{B9977B5F-9052-45CD-B1DA-C7981A4997E9}"/>
    <cellStyle name="Comma 2 2 5 3 7 2" xfId="8535" xr:uid="{07C47C9D-574C-4C86-BAF1-31EC4A2B3B3E}"/>
    <cellStyle name="Comma 2 2 5 3 8" xfId="5919" xr:uid="{4DED8F5B-35A7-406E-A676-82CB1825F3E8}"/>
    <cellStyle name="Comma 2 2 5 4" xfId="2544" xr:uid="{48962F0F-5B3A-4756-9602-75EC23861F3F}"/>
    <cellStyle name="Comma 2 2 5 4 2" xfId="3892" xr:uid="{041BCBF0-2BF9-4754-8E4A-776A27054BE1}"/>
    <cellStyle name="Comma 2 2 5 4 2 2" xfId="8081" xr:uid="{85CA69E0-A05E-46A7-9FA3-0EF1498A3FA0}"/>
    <cellStyle name="Comma 2 2 5 4 3" xfId="5213" xr:uid="{433D38C9-5E7A-4A72-8C01-3F1F3454D2D2}"/>
    <cellStyle name="Comma 2 2 5 4 3 2" xfId="9384" xr:uid="{29FBAA10-2A62-438B-AA7A-BE87F1FEB9CA}"/>
    <cellStyle name="Comma 2 2 5 4 4" xfId="6774" xr:uid="{EA7A54A2-5307-442B-92A7-987A21E7A62B}"/>
    <cellStyle name="Comma 2 2 5 5" xfId="2298" xr:uid="{9ACA7FA1-05FD-465A-B902-A0034B9DE457}"/>
    <cellStyle name="Comma 2 2 5 5 2" xfId="3652" xr:uid="{B3042F63-A6F2-4E26-9718-EF0D9244976A}"/>
    <cellStyle name="Comma 2 2 5 5 2 2" xfId="7841" xr:uid="{8A49C161-2466-40B6-953B-1FFD62B8E2A9}"/>
    <cellStyle name="Comma 2 2 5 5 3" xfId="4973" xr:uid="{7CAC217C-AA39-42C2-B0F2-AD594902E748}"/>
    <cellStyle name="Comma 2 2 5 5 3 2" xfId="9144" xr:uid="{067AADE7-B237-42B8-BF83-7E3B88777E7E}"/>
    <cellStyle name="Comma 2 2 5 5 4" xfId="6534" xr:uid="{242B2855-5D70-4C67-A452-C7C6B32CB09B}"/>
    <cellStyle name="Comma 2 2 5 6" xfId="2137" xr:uid="{5091BCC6-7ED5-4EC0-AFAE-8B9AA0CF6527}"/>
    <cellStyle name="Comma 2 2 5 6 2" xfId="3571" xr:uid="{AB13B1BC-4080-400B-B79E-309414F6C23E}"/>
    <cellStyle name="Comma 2 2 5 6 2 2" xfId="7760" xr:uid="{D26D5359-988E-403E-BFC9-736DB191278B}"/>
    <cellStyle name="Comma 2 2 5 6 3" xfId="4892" xr:uid="{BA044603-DF10-4276-ABC6-C02839CFA51F}"/>
    <cellStyle name="Comma 2 2 5 6 3 2" xfId="9063" xr:uid="{D4B787A2-AC1F-4A7B-82D0-1C0925D60C34}"/>
    <cellStyle name="Comma 2 2 5 6 4" xfId="6453" xr:uid="{175CF8C1-7C89-469F-9781-62D671FCE41D}"/>
    <cellStyle name="Comma 2 2 5 7" xfId="4157" xr:uid="{2B76DBCD-A173-4100-A41D-C18C067A47AA}"/>
    <cellStyle name="Comma 2 2 5 7 2" xfId="8346" xr:uid="{7F2BEFDC-C100-4A90-AF13-0190C80E758D}"/>
    <cellStyle name="Comma 2 2 5 8" xfId="5728" xr:uid="{B12F196E-1077-40A6-931D-8EC6D337BD71}"/>
    <cellStyle name="Comma 2 2 6" xfId="619" xr:uid="{809AF0F0-AB06-4C1C-ACBF-A0A1BB7B83D9}"/>
    <cellStyle name="Comma 2 2 6 2" xfId="657" xr:uid="{98F5DE73-6C4D-4475-99BA-33B27F4D2400}"/>
    <cellStyle name="Comma 2 2 6 2 2" xfId="754" xr:uid="{A22A2DAF-F709-4576-BC27-E4E8BB5F1485}"/>
    <cellStyle name="Comma 2 2 6 2 2 2" xfId="916" xr:uid="{E95612CF-B4F7-48D4-9B65-27939B7E0545}"/>
    <cellStyle name="Comma 2 2 6 2 2 2 2" xfId="3142" xr:uid="{F61A1685-21A2-4A3D-8543-AB8F0F8A4896}"/>
    <cellStyle name="Comma 2 2 6 2 2 2 2 2" xfId="7343" xr:uid="{CB951AFB-2260-4F97-AE22-057823E329CD}"/>
    <cellStyle name="Comma 2 2 6 2 2 2 3" xfId="4458" xr:uid="{0206C614-2915-4DA9-A5C7-B53088735ECA}"/>
    <cellStyle name="Comma 2 2 6 2 2 2 3 2" xfId="8641" xr:uid="{7B4D68AF-B6FC-4E2E-8D73-D8D3010F2501}"/>
    <cellStyle name="Comma 2 2 6 2 2 2 4" xfId="6026" xr:uid="{3F9F94D6-2C4E-40F7-B38A-FAE4843408ED}"/>
    <cellStyle name="Comma 2 2 6 2 2 3" xfId="2735" xr:uid="{0F38D17C-F316-4FFC-8E67-A72C538F5AEF}"/>
    <cellStyle name="Comma 2 2 6 2 2 3 2" xfId="4083" xr:uid="{9D45B485-109F-489D-B0B1-6DFDEBEF07DF}"/>
    <cellStyle name="Comma 2 2 6 2 2 3 2 2" xfId="8272" xr:uid="{8976005F-60B5-448F-81CA-A0C0F4AA0C29}"/>
    <cellStyle name="Comma 2 2 6 2 2 3 3" xfId="5404" xr:uid="{80529EEF-2383-4292-8EB4-ED0B25A6C453}"/>
    <cellStyle name="Comma 2 2 6 2 2 3 3 2" xfId="9575" xr:uid="{B863BC1F-9858-4534-B2AB-8B1F57C52F8E}"/>
    <cellStyle name="Comma 2 2 6 2 2 3 4" xfId="6965" xr:uid="{6CC69AFD-12B5-4B2A-9531-64B6F965129E}"/>
    <cellStyle name="Comma 2 2 6 2 2 4" xfId="3031" xr:uid="{60C09469-39B9-4324-83E6-AE6E57951D12}"/>
    <cellStyle name="Comma 2 2 6 2 2 4 2" xfId="7234" xr:uid="{16EFEED9-1E1E-46CC-8B61-377658C96F1D}"/>
    <cellStyle name="Comma 2 2 6 2 2 5" xfId="4346" xr:uid="{6D3A32EC-3614-4214-9B90-ECE504A31A13}"/>
    <cellStyle name="Comma 2 2 6 2 2 5 2" xfId="8531" xr:uid="{F8DC50AE-6CC0-41CB-BBBE-E1BCEDA36859}"/>
    <cellStyle name="Comma 2 2 6 2 2 6" xfId="5915" xr:uid="{B73ED6FD-0C25-490B-8D69-4A7EEAABAC5B}"/>
    <cellStyle name="Comma 2 2 6 2 3" xfId="915" xr:uid="{D6111DAF-680B-4853-AF0F-CBEF16789D95}"/>
    <cellStyle name="Comma 2 2 6 2 3 2" xfId="3141" xr:uid="{9E9AAA0F-B988-4AF0-A032-8942114F5388}"/>
    <cellStyle name="Comma 2 2 6 2 3 2 2" xfId="7342" xr:uid="{269CE84C-9A52-459C-9C51-EFF1DDD414AE}"/>
    <cellStyle name="Comma 2 2 6 2 3 3" xfId="4457" xr:uid="{85B97404-D110-44BE-A170-CC608ACF0B8A}"/>
    <cellStyle name="Comma 2 2 6 2 3 3 2" xfId="8640" xr:uid="{8BEFB959-9ABC-400B-86F5-54F57E1AEFF3}"/>
    <cellStyle name="Comma 2 2 6 2 3 4" xfId="6025" xr:uid="{5DA44357-C464-4693-B541-57204275CEA2}"/>
    <cellStyle name="Comma 2 2 6 2 4" xfId="938" xr:uid="{CA7E99B2-74B3-4371-8219-DCDAED309DD9}"/>
    <cellStyle name="Comma 2 2 6 2 4 2" xfId="3160" xr:uid="{04741942-5A06-4229-95E2-807A067C74C9}"/>
    <cellStyle name="Comma 2 2 6 2 4 2 2" xfId="7361" xr:uid="{8D428655-9E86-4A36-A883-97C54A199267}"/>
    <cellStyle name="Comma 2 2 6 2 4 3" xfId="4476" xr:uid="{BC9350AE-9872-4628-8AAB-3237CED391CE}"/>
    <cellStyle name="Comma 2 2 6 2 4 3 2" xfId="8659" xr:uid="{EA03D117-C59C-4A7A-8E0E-C24AE8300ED5}"/>
    <cellStyle name="Comma 2 2 6 2 4 4" xfId="6044" xr:uid="{9E70B16E-0422-4E1E-9C30-FFBC9881949C}"/>
    <cellStyle name="Comma 2 2 6 2 5" xfId="2495" xr:uid="{C98A2B3D-BC39-4C7A-9C8D-422746FD401B}"/>
    <cellStyle name="Comma 2 2 6 2 5 2" xfId="3843" xr:uid="{89C6D574-068C-4D47-B780-7E0A86F63C96}"/>
    <cellStyle name="Comma 2 2 6 2 5 2 2" xfId="8032" xr:uid="{A45E9E3C-BC0A-48EC-86E8-DBC401402FB1}"/>
    <cellStyle name="Comma 2 2 6 2 5 3" xfId="5164" xr:uid="{889637CF-169C-47C7-8A4B-2BE54A03D70C}"/>
    <cellStyle name="Comma 2 2 6 2 5 3 2" xfId="9335" xr:uid="{085399D6-96D1-4A2C-B96E-E8F4EB3177EA}"/>
    <cellStyle name="Comma 2 2 6 2 5 4" xfId="6725" xr:uid="{138A157E-A551-410D-B23C-06A727FEE39D}"/>
    <cellStyle name="Comma 2 2 6 2 6" xfId="4285" xr:uid="{201274F2-EFFE-4CC6-8A77-E08966DDCE99}"/>
    <cellStyle name="Comma 2 2 6 2 6 2" xfId="8470" xr:uid="{67D5F188-A09D-4ED8-8C2E-35AD0D794D6C}"/>
    <cellStyle name="Comma 2 2 6 2 7" xfId="5854" xr:uid="{79E9A1FB-8A7B-4262-981A-3B5972A7B7E2}"/>
    <cellStyle name="Comma 2 2 6 3" xfId="1077" xr:uid="{C0485B49-40D6-491E-A71C-A592505236BC}"/>
    <cellStyle name="Comma 2 2 6 3 2" xfId="913" xr:uid="{256A9A5C-7E44-4E54-A3F9-724AB4FB0661}"/>
    <cellStyle name="Comma 2 2 6 3 2 2" xfId="3139" xr:uid="{D88DBED2-A771-4375-853A-4ED70F443F76}"/>
    <cellStyle name="Comma 2 2 6 3 2 2 2" xfId="7340" xr:uid="{EEF83BEB-4242-4B36-8959-29D855935F72}"/>
    <cellStyle name="Comma 2 2 6 3 2 3" xfId="4455" xr:uid="{A49A179F-5CB9-47CA-BA50-EE0A727A94D9}"/>
    <cellStyle name="Comma 2 2 6 3 2 3 2" xfId="8638" xr:uid="{AB63F970-897C-408B-BC7B-69DF6E284872}"/>
    <cellStyle name="Comma 2 2 6 3 2 4" xfId="6023" xr:uid="{4B2BB711-FDF6-4036-8EDB-A8178A168843}"/>
    <cellStyle name="Comma 2 2 6 3 3" xfId="914" xr:uid="{CC504A0F-25F3-4C4E-9D6D-E942C57DEC3B}"/>
    <cellStyle name="Comma 2 2 6 3 3 2" xfId="3140" xr:uid="{B65CC334-3CFA-45DE-8D68-1B7AFC0EB012}"/>
    <cellStyle name="Comma 2 2 6 3 3 2 2" xfId="7341" xr:uid="{243001A1-C45F-4BFC-A9B6-F75285CB72F6}"/>
    <cellStyle name="Comma 2 2 6 3 3 3" xfId="4456" xr:uid="{7EBCF73C-168D-48D2-B840-89B2776A8122}"/>
    <cellStyle name="Comma 2 2 6 3 3 3 2" xfId="8639" xr:uid="{CCC0F086-26CC-4A10-9A61-ACEB98AC0C32}"/>
    <cellStyle name="Comma 2 2 6 3 3 4" xfId="6024" xr:uid="{EC9C1137-C740-42D4-9523-0F5C27E80DC9}"/>
    <cellStyle name="Comma 2 2 6 3 4" xfId="2576" xr:uid="{5EA95816-6D2F-4AC6-BF85-B88F21A02E4F}"/>
    <cellStyle name="Comma 2 2 6 3 4 2" xfId="3924" xr:uid="{9D89EDB5-F904-4201-8808-5EA35D91EB36}"/>
    <cellStyle name="Comma 2 2 6 3 4 2 2" xfId="8113" xr:uid="{2DFECC77-9609-4EF1-8744-C9A0F1E0394C}"/>
    <cellStyle name="Comma 2 2 6 3 4 3" xfId="5245" xr:uid="{96B71698-D9F6-4D53-98D2-AFF1FA92E7AA}"/>
    <cellStyle name="Comma 2 2 6 3 4 3 2" xfId="9416" xr:uid="{81E21B56-E11F-4648-BA57-A3057A076F9B}"/>
    <cellStyle name="Comma 2 2 6 3 4 4" xfId="6806" xr:uid="{3CBF40E4-2ADD-4A15-913D-47BCBF531054}"/>
    <cellStyle name="Comma 2 2 6 3 5" xfId="3277" xr:uid="{0668E786-D248-4E9E-B8E5-873BFA3391DB}"/>
    <cellStyle name="Comma 2 2 6 3 5 2" xfId="7474" xr:uid="{E6B42B15-9049-46AD-900F-D4083EA9F126}"/>
    <cellStyle name="Comma 2 2 6 3 6" xfId="4595" xr:uid="{B8EA85F8-E18D-4864-A862-5B06E53EA897}"/>
    <cellStyle name="Comma 2 2 6 3 6 2" xfId="8774" xr:uid="{5301021B-9F0E-43CF-9516-8FB4DBF114C7}"/>
    <cellStyle name="Comma 2 2 6 3 7" xfId="6159" xr:uid="{4D648C54-11BE-470F-A21A-F66FB6F00F04}"/>
    <cellStyle name="Comma 2 2 6 4" xfId="743" xr:uid="{9108A80A-3735-465C-A1EF-E2DE4E33A141}"/>
    <cellStyle name="Comma 2 2 6 4 2" xfId="2330" xr:uid="{62EC2065-52BB-40F5-BE23-020C08EE13EB}"/>
    <cellStyle name="Comma 2 2 6 4 2 2" xfId="3684" xr:uid="{1EE233AC-0CC6-42B8-9BCA-42C5590DC221}"/>
    <cellStyle name="Comma 2 2 6 4 2 2 2" xfId="7873" xr:uid="{00F1A852-9E24-4B16-A2DA-008A29B044B8}"/>
    <cellStyle name="Comma 2 2 6 4 2 3" xfId="5005" xr:uid="{4CAD2ED6-CBCD-4870-9372-67D77A7E62B9}"/>
    <cellStyle name="Comma 2 2 6 4 2 3 2" xfId="9176" xr:uid="{39F6175B-5A0E-48F7-B94A-1BEB8AFFED7B}"/>
    <cellStyle name="Comma 2 2 6 4 2 4" xfId="6566" xr:uid="{7577EEC2-9D26-4938-8FC8-2CD113CF66A9}"/>
    <cellStyle name="Comma 2 2 6 4 3" xfId="3020" xr:uid="{0DD7B83E-A128-42C8-82C3-6AC96FB5E10E}"/>
    <cellStyle name="Comma 2 2 6 4 3 2" xfId="7223" xr:uid="{FD251190-D393-4E7C-9B5A-D25C9A15BCA6}"/>
    <cellStyle name="Comma 2 2 6 4 4" xfId="4335" xr:uid="{A04907BD-2A0C-42FC-9EEE-A23E1FEA90E2}"/>
    <cellStyle name="Comma 2 2 6 4 4 2" xfId="8520" xr:uid="{0940BD25-1C0A-4617-A2CD-3B5606118530}"/>
    <cellStyle name="Comma 2 2 6 4 5" xfId="5904" xr:uid="{5CD54944-6A8F-4C72-B6E5-63C05E856295}"/>
    <cellStyle name="Comma 2 2 6 5" xfId="2217" xr:uid="{D3B1FFAE-2426-48D8-8444-EB2DA1F57691}"/>
    <cellStyle name="Comma 2 2 6 5 2" xfId="3603" xr:uid="{885EA37E-0233-4161-9AFA-54AF9225DE31}"/>
    <cellStyle name="Comma 2 2 6 5 2 2" xfId="7792" xr:uid="{B9BB560B-5ECC-41C4-8DA8-C08F980CD9AB}"/>
    <cellStyle name="Comma 2 2 6 5 3" xfId="4924" xr:uid="{6BCF5A8D-394F-4DAF-9C2C-C222D070B6AA}"/>
    <cellStyle name="Comma 2 2 6 5 3 2" xfId="9095" xr:uid="{9F084639-0CCA-46B9-AF01-E6EEFA584A99}"/>
    <cellStyle name="Comma 2 2 6 5 4" xfId="6485" xr:uid="{60E80338-16AC-4D04-B031-D52E8B805CC3}"/>
    <cellStyle name="Comma 2 2 6 6" xfId="2940" xr:uid="{EAD5F5AA-3629-463E-AA5A-C598A680814A}"/>
    <cellStyle name="Comma 2 2 6 6 2" xfId="7143" xr:uid="{0D6DE517-062D-4C51-9A43-2C9ACBDD7462}"/>
    <cellStyle name="Comma 2 2 6 7" xfId="4251" xr:uid="{40FA41FD-2180-4077-844A-E378778ED35A}"/>
    <cellStyle name="Comma 2 2 6 7 2" xfId="8436" xr:uid="{C7983986-2A29-471B-924F-3D4D7FF05CF7}"/>
    <cellStyle name="Comma 2 2 6 8" xfId="5820" xr:uid="{BADE066A-942E-4893-9B40-AF6C62E51BAB}"/>
    <cellStyle name="Comma 2 2 7" xfId="613" xr:uid="{CE44DD75-CB74-4939-B5E4-F58CF50787F0}"/>
    <cellStyle name="Comma 2 2 7 2" xfId="752" xr:uid="{2ED178B5-CB87-471F-B86F-6933A89A491F}"/>
    <cellStyle name="Comma 2 2 7 2 2" xfId="912" xr:uid="{4421F13B-EFB1-4211-BADB-B27C8BE86CB0}"/>
    <cellStyle name="Comma 2 2 7 2 2 2" xfId="3138" xr:uid="{E4647F0D-01F6-461D-9B35-096CE6875106}"/>
    <cellStyle name="Comma 2 2 7 2 2 2 2" xfId="7339" xr:uid="{21868E62-589A-426E-B053-5155A7731C1C}"/>
    <cellStyle name="Comma 2 2 7 2 2 3" xfId="4454" xr:uid="{1422B222-D905-455F-B61D-D615BC24FED9}"/>
    <cellStyle name="Comma 2 2 7 2 2 3 2" xfId="8637" xr:uid="{A0D1EB27-FB3F-4484-B1CE-D1121036A19E}"/>
    <cellStyle name="Comma 2 2 7 2 2 4" xfId="6022" xr:uid="{0BEFA290-04E0-4D8C-AA53-39FEE13D1025}"/>
    <cellStyle name="Comma 2 2 7 2 3" xfId="2642" xr:uid="{9A4C00B1-F76E-4741-92C2-F1CEC906EB14}"/>
    <cellStyle name="Comma 2 2 7 2 3 2" xfId="3990" xr:uid="{7D096592-A1CF-4204-B8A8-3E031D8267E8}"/>
    <cellStyle name="Comma 2 2 7 2 3 2 2" xfId="8179" xr:uid="{334CA9AC-4E41-424A-989E-E68AE590881B}"/>
    <cellStyle name="Comma 2 2 7 2 3 3" xfId="5311" xr:uid="{B0BC5285-6DC7-40DF-9A5B-500EC93089AD}"/>
    <cellStyle name="Comma 2 2 7 2 3 3 2" xfId="9482" xr:uid="{460E3246-DCC8-4FAD-B7F3-6BE7717FBDAD}"/>
    <cellStyle name="Comma 2 2 7 2 3 4" xfId="6872" xr:uid="{5FC575CF-7C32-4F0A-AAB2-CB8D4033EAB5}"/>
    <cellStyle name="Comma 2 2 7 2 4" xfId="3029" xr:uid="{D2CEC33E-3EDD-4B6B-B8A0-A753D4B42E74}"/>
    <cellStyle name="Comma 2 2 7 2 4 2" xfId="7232" xr:uid="{25834DEF-43E4-4EDC-B961-97378970BEAF}"/>
    <cellStyle name="Comma 2 2 7 2 5" xfId="4344" xr:uid="{E5AB29C5-E56F-4132-8E0B-005EA4D4F081}"/>
    <cellStyle name="Comma 2 2 7 2 5 2" xfId="8529" xr:uid="{5519DCAA-5DB3-4A3C-9DBD-7A423B0F62B5}"/>
    <cellStyle name="Comma 2 2 7 2 6" xfId="5913" xr:uid="{6AD06502-82CA-4441-84FB-B61D1825D858}"/>
    <cellStyle name="Comma 2 2 7 3" xfId="911" xr:uid="{D71D6CCC-6C2C-4631-8AEE-A4E5D740D203}"/>
    <cellStyle name="Comma 2 2 7 3 2" xfId="3137" xr:uid="{75D42ED3-52FE-4EAE-80AF-20644A9083EE}"/>
    <cellStyle name="Comma 2 2 7 3 2 2" xfId="7338" xr:uid="{06A64F98-ED7B-4B7C-ADB3-F85FC777BB88}"/>
    <cellStyle name="Comma 2 2 7 3 3" xfId="4453" xr:uid="{97A48208-BE23-4D45-8706-FC1456A61159}"/>
    <cellStyle name="Comma 2 2 7 3 3 2" xfId="8636" xr:uid="{D52B4D6B-49E6-434A-AD33-9A009FCA6940}"/>
    <cellStyle name="Comma 2 2 7 3 4" xfId="6021" xr:uid="{4E19A1D3-23CD-458C-BC9C-CA19076F4D93}"/>
    <cellStyle name="Comma 2 2 7 4" xfId="753" xr:uid="{FE15BE90-BD58-4DA3-B7E9-B44718CA01D8}"/>
    <cellStyle name="Comma 2 2 7 4 2" xfId="3030" xr:uid="{F291AB8D-7C42-417F-A296-9D595E883310}"/>
    <cellStyle name="Comma 2 2 7 4 2 2" xfId="7233" xr:uid="{512DC3CB-1FDB-4ECF-A5BF-CFA608AA5783}"/>
    <cellStyle name="Comma 2 2 7 4 3" xfId="4345" xr:uid="{CA4F2B86-D937-4538-A437-DE66AB2298EE}"/>
    <cellStyle name="Comma 2 2 7 4 3 2" xfId="8530" xr:uid="{561FCE3A-2C13-477E-BF36-950F3CE4FD8F}"/>
    <cellStyle name="Comma 2 2 7 4 4" xfId="5914" xr:uid="{2C12546F-4C31-4040-A66D-FA4C7E158E91}"/>
    <cellStyle name="Comma 2 2 7 5" xfId="2402" xr:uid="{9329D9B1-AEF2-48EA-99A0-0B5F6CC84006}"/>
    <cellStyle name="Comma 2 2 7 5 2" xfId="3750" xr:uid="{5B441AD4-40A4-4CE1-8EB3-1897961A0A43}"/>
    <cellStyle name="Comma 2 2 7 5 2 2" xfId="7939" xr:uid="{AE5B9620-F2D0-428F-94F7-F673561B12BC}"/>
    <cellStyle name="Comma 2 2 7 5 3" xfId="5071" xr:uid="{5926F519-30DB-4683-A5DF-81FB4A5DB156}"/>
    <cellStyle name="Comma 2 2 7 5 3 2" xfId="9242" xr:uid="{F629CF6E-E790-4613-966C-388062F37FA1}"/>
    <cellStyle name="Comma 2 2 7 5 4" xfId="6632" xr:uid="{5470AE03-B22B-4593-9C25-034F84AC42F5}"/>
    <cellStyle name="Comma 2 2 7 6" xfId="2934" xr:uid="{AFBA8618-E26F-49F0-AC6E-64734402A5E7}"/>
    <cellStyle name="Comma 2 2 7 6 2" xfId="7137" xr:uid="{9516E224-E139-4AA1-9DD5-C1572B658014}"/>
    <cellStyle name="Comma 2 2 7 7" xfId="4245" xr:uid="{865B3D8C-AE58-4F22-8F48-0BF4D6F67835}"/>
    <cellStyle name="Comma 2 2 7 7 2" xfId="8430" xr:uid="{E8F83751-3CBC-4082-A173-E23DB4B5C723}"/>
    <cellStyle name="Comma 2 2 7 8" xfId="5814" xr:uid="{39A4F720-1D29-45A3-9A19-CDB44675DCBE}"/>
    <cellStyle name="Comma 2 2 8" xfId="910" xr:uid="{EF92FE6A-EFF4-4C5E-857D-F8CCE842E19A}"/>
    <cellStyle name="Comma 2 2 8 2" xfId="751" xr:uid="{1C0E22B3-74FF-4FDF-B226-7B7CBF5DF3A1}"/>
    <cellStyle name="Comma 2 2 8 2 2" xfId="750" xr:uid="{E52FE0EE-9DEB-4946-8B5D-F434BEDFD889}"/>
    <cellStyle name="Comma 2 2 8 2 2 2" xfId="3027" xr:uid="{20D308AD-9680-4C55-A545-FFEC011AB86A}"/>
    <cellStyle name="Comma 2 2 8 2 2 2 2" xfId="7230" xr:uid="{FCCA59A0-D21C-4C7C-8B63-08556EDBD5EF}"/>
    <cellStyle name="Comma 2 2 8 2 2 3" xfId="4342" xr:uid="{76F34D47-8674-4745-A9A5-44862638E100}"/>
    <cellStyle name="Comma 2 2 8 2 2 3 2" xfId="8527" xr:uid="{2F4E14EF-14ED-44FA-B1BD-7BB5918F16C3}"/>
    <cellStyle name="Comma 2 2 8 2 2 4" xfId="5911" xr:uid="{79B822F1-A13C-4AA2-80D3-403E07F9A4AD}"/>
    <cellStyle name="Comma 2 2 8 2 3" xfId="2671" xr:uid="{C0324007-DBC7-40A8-B0CE-A65BBEAEAF41}"/>
    <cellStyle name="Comma 2 2 8 2 3 2" xfId="4019" xr:uid="{9C391FF9-BEBA-4D36-BD40-E6968BC9AF5D}"/>
    <cellStyle name="Comma 2 2 8 2 3 2 2" xfId="8208" xr:uid="{FBC1F5C9-22CC-41CA-BCE3-B72F8536E7EC}"/>
    <cellStyle name="Comma 2 2 8 2 3 3" xfId="5340" xr:uid="{35202E28-65BD-454A-B71B-ACAE9D41E0AF}"/>
    <cellStyle name="Comma 2 2 8 2 3 3 2" xfId="9511" xr:uid="{DE036FCE-72FB-4D17-9FF6-2FEE60EBB0E9}"/>
    <cellStyle name="Comma 2 2 8 2 3 4" xfId="6901" xr:uid="{71C305F4-9914-4F19-9A81-FD393936EC48}"/>
    <cellStyle name="Comma 2 2 8 2 4" xfId="3028" xr:uid="{EF7D87EF-ADE9-4148-85EE-F7920AA16E5F}"/>
    <cellStyle name="Comma 2 2 8 2 4 2" xfId="7231" xr:uid="{70BA6A02-3107-4BAE-A8E1-4D4EE596B988}"/>
    <cellStyle name="Comma 2 2 8 2 5" xfId="4343" xr:uid="{5D7EC503-A479-4E53-8DF2-C1509AE72463}"/>
    <cellStyle name="Comma 2 2 8 2 5 2" xfId="8528" xr:uid="{248E2497-5BFA-4502-83BD-75B5131E564C}"/>
    <cellStyle name="Comma 2 2 8 2 6" xfId="5912" xr:uid="{7B069C56-CD76-4879-81EF-AF02019F1840}"/>
    <cellStyle name="Comma 2 2 8 3" xfId="1301" xr:uid="{CEB2EBF9-B854-4F31-8C14-778725EFBD5B}"/>
    <cellStyle name="Comma 2 2 8 3 2" xfId="3482" xr:uid="{2D73044F-D0AF-4F7C-9FCB-3A9A63F092C0}"/>
    <cellStyle name="Comma 2 2 8 3 2 2" xfId="7679" xr:uid="{6D900B75-7D75-44E2-9CDD-C7C8F9B6EFF5}"/>
    <cellStyle name="Comma 2 2 8 3 3" xfId="4801" xr:uid="{2A241685-C2D7-467F-BFE4-4089D57E1F1E}"/>
    <cellStyle name="Comma 2 2 8 3 3 2" xfId="8980" xr:uid="{02246CDD-B1CC-44B8-994D-9F510B28F753}"/>
    <cellStyle name="Comma 2 2 8 3 4" xfId="6365" xr:uid="{2CFC82C6-021C-43D6-A76D-1A68D4BC900A}"/>
    <cellStyle name="Comma 2 2 8 4" xfId="2431" xr:uid="{C94E377B-601C-45E6-A063-5E5E185F59ED}"/>
    <cellStyle name="Comma 2 2 8 4 2" xfId="3779" xr:uid="{CEE14A1F-C7F6-4198-A7F9-26185F9C1980}"/>
    <cellStyle name="Comma 2 2 8 4 2 2" xfId="7968" xr:uid="{77EECA54-D129-4B9F-A099-05FDFBCD1A3F}"/>
    <cellStyle name="Comma 2 2 8 4 3" xfId="5100" xr:uid="{0F95ED0B-4BB8-42D9-8A67-D513B7EBAD8E}"/>
    <cellStyle name="Comma 2 2 8 4 3 2" xfId="9271" xr:uid="{F77439C8-FA1F-472E-83B8-64581070954C}"/>
    <cellStyle name="Comma 2 2 8 4 4" xfId="6661" xr:uid="{DFAF47FF-06E6-4A00-9DEA-D3FB13D83B6E}"/>
    <cellStyle name="Comma 2 2 8 5" xfId="3136" xr:uid="{002E3595-A1E1-4DAA-A84A-6A395208F5A0}"/>
    <cellStyle name="Comma 2 2 8 5 2" xfId="7337" xr:uid="{B1E4E5E2-024D-42E9-9E51-A894AAA0FA1C}"/>
    <cellStyle name="Comma 2 2 8 6" xfId="4452" xr:uid="{47CFC285-A670-4365-8C27-14C4E3F7D3F6}"/>
    <cellStyle name="Comma 2 2 8 6 2" xfId="8635" xr:uid="{E6CD4398-9572-4003-A303-9ED8677ECB60}"/>
    <cellStyle name="Comma 2 2 8 7" xfId="6020" xr:uid="{1CACCE34-034D-4429-9951-1AB4FD1FAFBD}"/>
    <cellStyle name="Comma 2 2 9" xfId="749" xr:uid="{CA049B8A-9A3A-4439-93C3-7F389467BA47}"/>
    <cellStyle name="Comma 2 2 9 2" xfId="2512" xr:uid="{236E46A4-FAC9-486E-9233-A6FF4F4B62BC}"/>
    <cellStyle name="Comma 2 2 9 2 2" xfId="3860" xr:uid="{D132E6E4-ED3E-4E45-8E24-0D6F5620B9A6}"/>
    <cellStyle name="Comma 2 2 9 2 2 2" xfId="8049" xr:uid="{A5E43517-92E8-499F-9C1C-B4AEA7662872}"/>
    <cellStyle name="Comma 2 2 9 2 3" xfId="5181" xr:uid="{6EA94EC5-0DF3-4DCC-8064-DCD7003E39CC}"/>
    <cellStyle name="Comma 2 2 9 2 3 2" xfId="9352" xr:uid="{D562521E-9313-476E-AD83-AF9E24DF7D49}"/>
    <cellStyle name="Comma 2 2 9 2 4" xfId="6742" xr:uid="{49FFBBA2-5C54-4BEF-9817-C78344C59161}"/>
    <cellStyle name="Comma 2 2 9 3" xfId="3026" xr:uid="{35FA41E2-7EEE-4BAA-87F8-4017EE1F5F06}"/>
    <cellStyle name="Comma 2 2 9 3 2" xfId="7229" xr:uid="{F3D22091-1F0B-4FBD-8009-671CA1330481}"/>
    <cellStyle name="Comma 2 2 9 4" xfId="4341" xr:uid="{B7435222-7FE3-43CC-BD94-1DD7C3DCC956}"/>
    <cellStyle name="Comma 2 2 9 4 2" xfId="8526" xr:uid="{099974A2-7726-406B-80DD-134E63F12F4D}"/>
    <cellStyle name="Comma 2 2 9 5" xfId="5910" xr:uid="{F45E5768-FFEE-44E3-8E3E-49FEFABCDCD4}"/>
    <cellStyle name="Comma 2 3" xfId="171" xr:uid="{E060BFE6-9040-4869-8CA2-F952CBF8DCA5}"/>
    <cellStyle name="Comma 2 3 10" xfId="2100" xr:uid="{494684DC-EB97-481F-8303-60B16BAB9548}"/>
    <cellStyle name="Comma 2 3 10 2" xfId="3541" xr:uid="{F25EC12E-DEBC-4021-AEBC-D80D39C311CE}"/>
    <cellStyle name="Comma 2 3 10 2 2" xfId="7730" xr:uid="{6BD21DCA-7232-4323-BB3D-61FED924457B}"/>
    <cellStyle name="Comma 2 3 10 3" xfId="4862" xr:uid="{4AAABE0A-D942-44C7-91C4-6E03E46CE94F}"/>
    <cellStyle name="Comma 2 3 10 3 2" xfId="9033" xr:uid="{D4A226D1-D597-427B-8FE0-4CF789F21FEC}"/>
    <cellStyle name="Comma 2 3 10 4" xfId="6423" xr:uid="{435131A0-C317-4374-81AC-1CAF51E09654}"/>
    <cellStyle name="Comma 2 3 11" xfId="2790" xr:uid="{A31D4C2B-497D-41A3-9621-3303858F5987}"/>
    <cellStyle name="Comma 2 3 11 2" xfId="7002" xr:uid="{BE422A70-311A-4F84-94EF-1D76BDB083BD}"/>
    <cellStyle name="Comma 2 3 12" xfId="4158" xr:uid="{64B0DF10-C91E-4C11-A67D-B044B1CB709E}"/>
    <cellStyle name="Comma 2 3 12 2" xfId="8347" xr:uid="{26C7C731-B1E0-4A4C-B54E-A729EB064FFC}"/>
    <cellStyle name="Comma 2 3 13" xfId="5729" xr:uid="{A53D17B1-1C27-44A2-B78A-FB1A2E359689}"/>
    <cellStyle name="Comma 2 3 2" xfId="620" xr:uid="{A580E997-99FA-45AD-8BE9-BD777B8F8A8A}"/>
    <cellStyle name="Comma 2 3 2 10" xfId="2941" xr:uid="{7B993591-0178-4FF1-9F09-DCCC734FA1EA}"/>
    <cellStyle name="Comma 2 3 2 10 2" xfId="7144" xr:uid="{B1675B9A-47FD-4062-A924-1C6CC1F770D3}"/>
    <cellStyle name="Comma 2 3 2 11" xfId="4252" xr:uid="{729CED68-837E-4717-AE4A-ACF8CD6A09BD}"/>
    <cellStyle name="Comma 2 3 2 11 2" xfId="8437" xr:uid="{5C23405E-6BFB-489C-974D-499B929E4981}"/>
    <cellStyle name="Comma 2 3 2 12" xfId="5821" xr:uid="{2D3B7073-7E2F-49E6-BC0C-4C32EF1715EC}"/>
    <cellStyle name="Comma 2 3 2 2" xfId="1078" xr:uid="{834D8B0E-DDFB-4B95-8D3C-78AFD71815D7}"/>
    <cellStyle name="Comma 2 3 2 2 10" xfId="6160" xr:uid="{DDCE8DB8-E799-41CB-B6E4-B55ABF8A893A}"/>
    <cellStyle name="Comma 2 3 2 2 2" xfId="2163" xr:uid="{6C99C015-4018-41E0-8B43-1F06D1966530}"/>
    <cellStyle name="Comma 2 3 2 2 2 2" xfId="2388" xr:uid="{C3D09213-849F-4EE5-B105-D558803E29E2}"/>
    <cellStyle name="Comma 2 3 2 2 2 2 2" xfId="2634" xr:uid="{6333A5C1-0925-42B6-BFF6-E8E61F1A70F6}"/>
    <cellStyle name="Comma 2 3 2 2 2 2 2 2" xfId="3982" xr:uid="{5ED6B34B-7773-480E-B047-2B8E8357EC5F}"/>
    <cellStyle name="Comma 2 3 2 2 2 2 2 2 2" xfId="8171" xr:uid="{1C55E293-9452-466B-B67F-265E8F5C6C68}"/>
    <cellStyle name="Comma 2 3 2 2 2 2 2 3" xfId="5303" xr:uid="{2D1A8AC2-0A10-447A-8108-0540D8055E71}"/>
    <cellStyle name="Comma 2 3 2 2 2 2 2 3 2" xfId="9474" xr:uid="{2659BAF0-CD0F-4795-830D-590791E617F3}"/>
    <cellStyle name="Comma 2 3 2 2 2 2 2 4" xfId="6864" xr:uid="{255E9328-82CE-4F04-BFF5-BD54B51DEF8C}"/>
    <cellStyle name="Comma 2 3 2 2 2 2 3" xfId="3742" xr:uid="{62314C9F-9AF1-4BB5-9483-C7FDEAA32D81}"/>
    <cellStyle name="Comma 2 3 2 2 2 2 3 2" xfId="7931" xr:uid="{6B4F35B1-6424-4481-81FB-6E223592CED8}"/>
    <cellStyle name="Comma 2 3 2 2 2 2 4" xfId="5063" xr:uid="{706666A4-6D64-464C-9DFC-B1BEF6B8B96E}"/>
    <cellStyle name="Comma 2 3 2 2 2 2 4 2" xfId="9234" xr:uid="{3104219F-2593-4895-9B04-A7B7798AFC81}"/>
    <cellStyle name="Comma 2 3 2 2 2 2 5" xfId="6624" xr:uid="{1E62C313-2144-4286-A053-99ED3E6E486A}"/>
    <cellStyle name="Comma 2 3 2 2 2 3" xfId="2489" xr:uid="{986EB49F-E259-4CCC-92D6-09A01A8645E0}"/>
    <cellStyle name="Comma 2 3 2 2 2 3 2" xfId="2729" xr:uid="{5E41979A-2E88-432C-B414-996D51889E82}"/>
    <cellStyle name="Comma 2 3 2 2 2 3 2 2" xfId="4077" xr:uid="{5EF9B402-3F13-45E5-A27C-55EF571EE1F2}"/>
    <cellStyle name="Comma 2 3 2 2 2 3 2 2 2" xfId="8266" xr:uid="{15C75FEB-423C-48D6-83D0-A47EA736E6AB}"/>
    <cellStyle name="Comma 2 3 2 2 2 3 2 3" xfId="5398" xr:uid="{FBE7453F-7242-450F-B7F0-522FDB28AAE9}"/>
    <cellStyle name="Comma 2 3 2 2 2 3 2 3 2" xfId="9569" xr:uid="{F855B17F-04A5-45E6-8AFE-AB27681DE789}"/>
    <cellStyle name="Comma 2 3 2 2 2 3 2 4" xfId="6959" xr:uid="{4AC4F9E6-7A7B-438C-82C0-721CD6E5F68F}"/>
    <cellStyle name="Comma 2 3 2 2 2 3 3" xfId="3837" xr:uid="{24FD7DC8-A46B-4874-8F48-FE4AEC008D98}"/>
    <cellStyle name="Comma 2 3 2 2 2 3 3 2" xfId="8026" xr:uid="{535BAD5E-654B-4733-AD51-51F06838192A}"/>
    <cellStyle name="Comma 2 3 2 2 2 3 4" xfId="5158" xr:uid="{25B9A90C-2FEA-4911-8192-A3D06E4055F7}"/>
    <cellStyle name="Comma 2 3 2 2 2 3 4 2" xfId="9329" xr:uid="{B8CC93FD-95EE-4928-A1F7-F251A39E8895}"/>
    <cellStyle name="Comma 2 3 2 2 2 3 5" xfId="6719" xr:uid="{E369186D-58DC-4766-BE9C-693C6980BCCC}"/>
    <cellStyle name="Comma 2 3 2 2 2 4" xfId="2570" xr:uid="{656CEC61-914B-4F22-8FF3-F82FA0541C31}"/>
    <cellStyle name="Comma 2 3 2 2 2 4 2" xfId="3918" xr:uid="{7D81F23C-0655-4E4A-8B1F-5AAEE1A506FB}"/>
    <cellStyle name="Comma 2 3 2 2 2 4 2 2" xfId="8107" xr:uid="{4C1DDE50-FD0E-4C3B-8E5A-4604FB018DDE}"/>
    <cellStyle name="Comma 2 3 2 2 2 4 3" xfId="5239" xr:uid="{A7ED547C-74C7-409B-B78D-883B0756BA2B}"/>
    <cellStyle name="Comma 2 3 2 2 2 4 3 2" xfId="9410" xr:uid="{76E6698E-3E94-46D3-AC16-152F793216C8}"/>
    <cellStyle name="Comma 2 3 2 2 2 4 4" xfId="6800" xr:uid="{43CD426F-E9F6-4D48-ACB3-CF3BC64989AD}"/>
    <cellStyle name="Comma 2 3 2 2 2 5" xfId="2324" xr:uid="{6E547FF1-3B4F-4EBC-A629-B77DC0C77638}"/>
    <cellStyle name="Comma 2 3 2 2 2 5 2" xfId="3678" xr:uid="{FE6D0E61-C8C2-4432-9838-36D58B2E63E7}"/>
    <cellStyle name="Comma 2 3 2 2 2 5 2 2" xfId="7867" xr:uid="{D74228C9-A909-4762-843E-8FA1DAC2809E}"/>
    <cellStyle name="Comma 2 3 2 2 2 5 3" xfId="4999" xr:uid="{0F0C4ED8-AE65-46AC-9C13-C80C589DF1D1}"/>
    <cellStyle name="Comma 2 3 2 2 2 5 3 2" xfId="9170" xr:uid="{FBA849B0-8B55-4141-962E-EC22EE6DAFA9}"/>
    <cellStyle name="Comma 2 3 2 2 2 5 4" xfId="6560" xr:uid="{812C2A3D-C815-4ECB-92EE-47700799C4E9}"/>
    <cellStyle name="Comma 2 3 2 2 2 6" xfId="3597" xr:uid="{656025DC-CD32-4614-97CF-218F8D0C1F1B}"/>
    <cellStyle name="Comma 2 3 2 2 2 6 2" xfId="7786" xr:uid="{83AC2A84-2245-46FC-8901-A1691B8733B9}"/>
    <cellStyle name="Comma 2 3 2 2 2 7" xfId="4918" xr:uid="{35BD653A-9E7D-41D3-95C3-627824D04CAB}"/>
    <cellStyle name="Comma 2 3 2 2 2 7 2" xfId="9089" xr:uid="{B39F2EC7-F4CE-41D7-89DC-55396FFF7519}"/>
    <cellStyle name="Comma 2 3 2 2 2 8" xfId="6479" xr:uid="{EDB698BF-24F8-41ED-92E9-F57EB303284C}"/>
    <cellStyle name="Comma 2 3 2 2 3" xfId="2356" xr:uid="{FA6147FB-9A9B-4DDA-8B96-98BC45A9EDC7}"/>
    <cellStyle name="Comma 2 3 2 2 3 2" xfId="2602" xr:uid="{7ACEE2F8-85CB-49B7-9A86-F9D99D4312A5}"/>
    <cellStyle name="Comma 2 3 2 2 3 2 2" xfId="3950" xr:uid="{CE060C13-31C3-418A-B294-69E8698D353C}"/>
    <cellStyle name="Comma 2 3 2 2 3 2 2 2" xfId="8139" xr:uid="{073DAE4E-BCE9-42C8-A027-5FA2325A03FD}"/>
    <cellStyle name="Comma 2 3 2 2 3 2 3" xfId="5271" xr:uid="{1326A238-B5C3-4CC2-86FB-2EAF04CDB6BC}"/>
    <cellStyle name="Comma 2 3 2 2 3 2 3 2" xfId="9442" xr:uid="{8E53699F-9BD2-41E6-8963-5C04CC5ECB21}"/>
    <cellStyle name="Comma 2 3 2 2 3 2 4" xfId="6832" xr:uid="{CA8FD706-B48F-404B-BDF9-994C7EA77DF2}"/>
    <cellStyle name="Comma 2 3 2 2 3 3" xfId="3710" xr:uid="{7978FD01-4F86-4FA1-A4B7-0F35C1349231}"/>
    <cellStyle name="Comma 2 3 2 2 3 3 2" xfId="7899" xr:uid="{7660741B-6E6E-400C-AF1E-BDA69CB2FD68}"/>
    <cellStyle name="Comma 2 3 2 2 3 4" xfId="5031" xr:uid="{DC62F0C5-A19A-4A2A-8347-856262D3E021}"/>
    <cellStyle name="Comma 2 3 2 2 3 4 2" xfId="9202" xr:uid="{AFEDEB23-55A2-4F69-9D7E-257E1C54DE5B}"/>
    <cellStyle name="Comma 2 3 2 2 3 5" xfId="6592" xr:uid="{468A844B-1B91-4D77-8E10-BA6D5B31C871}"/>
    <cellStyle name="Comma 2 3 2 2 4" xfId="2457" xr:uid="{43D565BB-EDA3-435A-B8E3-8089AF7B6E86}"/>
    <cellStyle name="Comma 2 3 2 2 4 2" xfId="2697" xr:uid="{87B03624-24DE-44F0-91A4-FB5B3AC07086}"/>
    <cellStyle name="Comma 2 3 2 2 4 2 2" xfId="4045" xr:uid="{240E7117-8F7A-4E4F-A249-82F5602CFCF0}"/>
    <cellStyle name="Comma 2 3 2 2 4 2 2 2" xfId="8234" xr:uid="{F930EF18-A140-4945-94AE-D831B32D7EF2}"/>
    <cellStyle name="Comma 2 3 2 2 4 2 3" xfId="5366" xr:uid="{3017FE97-2FF5-4282-9A8C-F2BDB5021D15}"/>
    <cellStyle name="Comma 2 3 2 2 4 2 3 2" xfId="9537" xr:uid="{763DE646-C466-43C1-9329-B2663C7D7049}"/>
    <cellStyle name="Comma 2 3 2 2 4 2 4" xfId="6927" xr:uid="{4E28786C-F484-40B9-85AA-24B7DD0FCF28}"/>
    <cellStyle name="Comma 2 3 2 2 4 3" xfId="3805" xr:uid="{2D274575-5532-46FA-9F97-D5DDF33ADE84}"/>
    <cellStyle name="Comma 2 3 2 2 4 3 2" xfId="7994" xr:uid="{2F31EE33-C009-458C-95DF-22B57D847592}"/>
    <cellStyle name="Comma 2 3 2 2 4 4" xfId="5126" xr:uid="{E26559FD-3B94-45D6-B790-5BCB36FD1FBE}"/>
    <cellStyle name="Comma 2 3 2 2 4 4 2" xfId="9297" xr:uid="{5D924B5E-8831-426B-8B5C-7426574CD457}"/>
    <cellStyle name="Comma 2 3 2 2 4 5" xfId="6687" xr:uid="{0D5678A5-960D-422E-A596-A5A889394B2C}"/>
    <cellStyle name="Comma 2 3 2 2 5" xfId="2538" xr:uid="{3394A30F-2B3B-4702-BAF1-B4447FEA2C1B}"/>
    <cellStyle name="Comma 2 3 2 2 5 2" xfId="3886" xr:uid="{6F02B95D-AF76-41E7-8EC5-F988026A71D8}"/>
    <cellStyle name="Comma 2 3 2 2 5 2 2" xfId="8075" xr:uid="{C0524017-6B91-4A23-A7BF-7F917D32217E}"/>
    <cellStyle name="Comma 2 3 2 2 5 3" xfId="5207" xr:uid="{CDE3CD49-9317-41D5-8FA5-EA085B9510BD}"/>
    <cellStyle name="Comma 2 3 2 2 5 3 2" xfId="9378" xr:uid="{71DF0152-0704-4189-BA15-70EB12177620}"/>
    <cellStyle name="Comma 2 3 2 2 5 4" xfId="6768" xr:uid="{04AD0535-C9B6-4E8F-B9A4-DFA0231245E1}"/>
    <cellStyle name="Comma 2 3 2 2 6" xfId="2292" xr:uid="{E86C0547-1F76-4E58-B975-95B543034DF2}"/>
    <cellStyle name="Comma 2 3 2 2 6 2" xfId="3646" xr:uid="{EA9C5990-F1F4-497F-B96F-B4B0580F249B}"/>
    <cellStyle name="Comma 2 3 2 2 6 2 2" xfId="7835" xr:uid="{FD1C633C-7DE6-4405-BB0E-893FF8E44CCD}"/>
    <cellStyle name="Comma 2 3 2 2 6 3" xfId="4967" xr:uid="{CEF0FA28-C8A9-4666-829D-F33E26C88517}"/>
    <cellStyle name="Comma 2 3 2 2 6 3 2" xfId="9138" xr:uid="{D4730F57-B8B5-494D-AD71-8F1A32C46E2C}"/>
    <cellStyle name="Comma 2 3 2 2 6 4" xfId="6528" xr:uid="{EFE43E59-6450-4036-89C4-747E6DC95C78}"/>
    <cellStyle name="Comma 2 3 2 2 7" xfId="2128" xr:uid="{4A286E7A-083F-4CB2-8CD2-358CEE997F18}"/>
    <cellStyle name="Comma 2 3 2 2 7 2" xfId="3565" xr:uid="{AD736E89-C049-4DC9-A1BC-FC43F5D61500}"/>
    <cellStyle name="Comma 2 3 2 2 7 2 2" xfId="7754" xr:uid="{ADD476A8-9D31-4B97-92C2-384E05087753}"/>
    <cellStyle name="Comma 2 3 2 2 7 3" xfId="4886" xr:uid="{5AA12FDE-9132-4A1F-A32E-CEBEA776E9AC}"/>
    <cellStyle name="Comma 2 3 2 2 7 3 2" xfId="9057" xr:uid="{910A40A5-1E5E-46B7-822F-30A8A5761EE0}"/>
    <cellStyle name="Comma 2 3 2 2 7 4" xfId="6447" xr:uid="{1480A705-CC62-46C9-BE02-D1691A2812DB}"/>
    <cellStyle name="Comma 2 3 2 2 8" xfId="3278" xr:uid="{B14E731A-D8B6-47CD-A694-27B3C55FC379}"/>
    <cellStyle name="Comma 2 3 2 2 8 2" xfId="7475" xr:uid="{56E4D51D-BDE7-4C29-B7D7-F92FE3483FFB}"/>
    <cellStyle name="Comma 2 3 2 2 9" xfId="4596" xr:uid="{E4F44ACA-859A-422B-893F-4E4B8951F7E2}"/>
    <cellStyle name="Comma 2 3 2 2 9 2" xfId="8775" xr:uid="{BEDF2389-480A-4DA5-92CF-51DD2A7802F6}"/>
    <cellStyle name="Comma 2 3 2 3" xfId="890" xr:uid="{00D42E0E-CC4B-4190-9846-A3080EC43E09}"/>
    <cellStyle name="Comma 2 3 2 3 2" xfId="2372" xr:uid="{772346FB-CEC9-45A0-B479-2672CF667444}"/>
    <cellStyle name="Comma 2 3 2 3 2 2" xfId="2618" xr:uid="{FF4BAC48-5276-4896-B7AD-D8E87B9300E4}"/>
    <cellStyle name="Comma 2 3 2 3 2 2 2" xfId="3966" xr:uid="{4D64844B-206D-4900-9B82-8C325F9DFC09}"/>
    <cellStyle name="Comma 2 3 2 3 2 2 2 2" xfId="8155" xr:uid="{248119F8-2AEC-41E3-A6AB-A16B39A3DB6A}"/>
    <cellStyle name="Comma 2 3 2 3 2 2 3" xfId="5287" xr:uid="{4BF330ED-C0EA-468A-8717-BF46ED1E15CE}"/>
    <cellStyle name="Comma 2 3 2 3 2 2 3 2" xfId="9458" xr:uid="{AAC1356A-3E13-4708-B8D7-C5D79A88857E}"/>
    <cellStyle name="Comma 2 3 2 3 2 2 4" xfId="6848" xr:uid="{93915B2D-018A-45E6-BB96-15B264FFCD5F}"/>
    <cellStyle name="Comma 2 3 2 3 2 3" xfId="3726" xr:uid="{50EEC38D-FAF0-47C1-ACD9-0AA42810CDCF}"/>
    <cellStyle name="Comma 2 3 2 3 2 3 2" xfId="7915" xr:uid="{ED3D66C4-F9A4-48A6-8163-9B63DCD21137}"/>
    <cellStyle name="Comma 2 3 2 3 2 4" xfId="5047" xr:uid="{7FC9476A-D57C-47AE-9471-100946407163}"/>
    <cellStyle name="Comma 2 3 2 3 2 4 2" xfId="9218" xr:uid="{B48AE960-6CA6-4296-8105-0DAE223F614E}"/>
    <cellStyle name="Comma 2 3 2 3 2 5" xfId="6608" xr:uid="{2D903910-D860-460C-90BE-537212667CCE}"/>
    <cellStyle name="Comma 2 3 2 3 3" xfId="2473" xr:uid="{40302344-1F26-4F54-B478-2B4CE422C16A}"/>
    <cellStyle name="Comma 2 3 2 3 3 2" xfId="2713" xr:uid="{FCF7B225-1106-4946-9BF3-779DDAE4B387}"/>
    <cellStyle name="Comma 2 3 2 3 3 2 2" xfId="4061" xr:uid="{3B743438-72B0-4F83-9817-0A060F2FB632}"/>
    <cellStyle name="Comma 2 3 2 3 3 2 2 2" xfId="8250" xr:uid="{40C7C91E-ABA2-4702-BDDC-087D18A4EB4E}"/>
    <cellStyle name="Comma 2 3 2 3 3 2 3" xfId="5382" xr:uid="{2B6CC9F8-58CA-4848-8913-41F1696419FF}"/>
    <cellStyle name="Comma 2 3 2 3 3 2 3 2" xfId="9553" xr:uid="{D2010656-0100-42CF-98E2-C912F3E37A1B}"/>
    <cellStyle name="Comma 2 3 2 3 3 2 4" xfId="6943" xr:uid="{7289EBB6-F0C2-4A6B-AAA8-1E5692F22ED0}"/>
    <cellStyle name="Comma 2 3 2 3 3 3" xfId="3821" xr:uid="{7051341A-0602-4802-A3EE-1D3F4BFB2AFA}"/>
    <cellStyle name="Comma 2 3 2 3 3 3 2" xfId="8010" xr:uid="{77C7BE75-13C7-4738-8191-B5BB69A0BBB3}"/>
    <cellStyle name="Comma 2 3 2 3 3 4" xfId="5142" xr:uid="{CA1274A6-7735-442F-A89C-45356F1782F0}"/>
    <cellStyle name="Comma 2 3 2 3 3 4 2" xfId="9313" xr:uid="{758AC06C-766A-44BF-A31D-C410280B7118}"/>
    <cellStyle name="Comma 2 3 2 3 3 5" xfId="6703" xr:uid="{C73ED27D-2A29-44F0-BBC4-F8EC34A933D3}"/>
    <cellStyle name="Comma 2 3 2 3 4" xfId="2554" xr:uid="{7D732F93-CE39-4C7B-BA34-E4B22644588D}"/>
    <cellStyle name="Comma 2 3 2 3 4 2" xfId="3902" xr:uid="{F1E366D3-A350-469D-8C10-1AB0567661EC}"/>
    <cellStyle name="Comma 2 3 2 3 4 2 2" xfId="8091" xr:uid="{5535DA62-3128-4E22-BFD0-E563055BA13E}"/>
    <cellStyle name="Comma 2 3 2 3 4 3" xfId="5223" xr:uid="{9081D305-413A-4D81-B5B3-4254CD1477D0}"/>
    <cellStyle name="Comma 2 3 2 3 4 3 2" xfId="9394" xr:uid="{B36AEBD3-2980-4914-9545-18EA06E435E5}"/>
    <cellStyle name="Comma 2 3 2 3 4 4" xfId="6784" xr:uid="{FCBB25BF-A1B4-4822-ACB3-0A993D224773}"/>
    <cellStyle name="Comma 2 3 2 3 5" xfId="2308" xr:uid="{89A36B87-E6F1-426A-A1C0-B492B656C2D2}"/>
    <cellStyle name="Comma 2 3 2 3 5 2" xfId="3662" xr:uid="{01C02AAF-FF97-4914-99D5-B6DCD2DE2D99}"/>
    <cellStyle name="Comma 2 3 2 3 5 2 2" xfId="7851" xr:uid="{3DF6DEDE-675F-4B27-8D6D-73D0FABF0B08}"/>
    <cellStyle name="Comma 2 3 2 3 5 3" xfId="4983" xr:uid="{F5B7B8E0-042C-490A-999B-2FA0606F0FB6}"/>
    <cellStyle name="Comma 2 3 2 3 5 3 2" xfId="9154" xr:uid="{01B2D9BF-8DEE-4DC2-832B-49DE2132F870}"/>
    <cellStyle name="Comma 2 3 2 3 5 4" xfId="6544" xr:uid="{2977EFEC-301D-4B89-A8F0-5E310AF4308E}"/>
    <cellStyle name="Comma 2 3 2 3 6" xfId="2147" xr:uid="{DC7CBF3A-9418-4857-9C52-32B87E068C75}"/>
    <cellStyle name="Comma 2 3 2 3 6 2" xfId="3581" xr:uid="{213C1B95-B2B7-4484-B073-C072F514FE1E}"/>
    <cellStyle name="Comma 2 3 2 3 6 2 2" xfId="7770" xr:uid="{196B3FCB-842F-433B-A488-9EA0EC983414}"/>
    <cellStyle name="Comma 2 3 2 3 6 3" xfId="4902" xr:uid="{B4827CF8-E131-4C7F-A799-E916BF6206FC}"/>
    <cellStyle name="Comma 2 3 2 3 6 3 2" xfId="9073" xr:uid="{2169A0C7-1049-4ED7-AF21-2575F8A795C2}"/>
    <cellStyle name="Comma 2 3 2 3 6 4" xfId="6463" xr:uid="{C50E605B-4B86-4212-9570-B90316C9923C}"/>
    <cellStyle name="Comma 2 3 2 3 7" xfId="4437" xr:uid="{301B2F9A-15FB-42E2-B691-A2971B1246D0}"/>
    <cellStyle name="Comma 2 3 2 3 7 2" xfId="8620" xr:uid="{821A32C9-093F-41D9-A6CB-0056DE140AB9}"/>
    <cellStyle name="Comma 2 3 2 3 8" xfId="6004" xr:uid="{471D8409-729B-44F6-B9B2-A68B13192B89}"/>
    <cellStyle name="Comma 2 3 2 4" xfId="2227" xr:uid="{1BFCCAB5-2727-4D13-AFD2-613DEA1AEFEE}"/>
    <cellStyle name="Comma 2 3 2 4 2" xfId="2505" xr:uid="{975AD9E8-8E82-4CE1-BA87-FFB2B55164C8}"/>
    <cellStyle name="Comma 2 3 2 4 2 2" xfId="2745" xr:uid="{D8A8733C-2FB0-45A6-8135-BA6BE420B990}"/>
    <cellStyle name="Comma 2 3 2 4 2 2 2" xfId="4093" xr:uid="{5C69E1B2-1206-45F7-9EE2-76560A7CF072}"/>
    <cellStyle name="Comma 2 3 2 4 2 2 2 2" xfId="8282" xr:uid="{8B4253F9-1AFE-4054-9D05-D8EE7519F019}"/>
    <cellStyle name="Comma 2 3 2 4 2 2 3" xfId="5414" xr:uid="{A3E94D6E-28F0-443C-8C41-ED984F255E06}"/>
    <cellStyle name="Comma 2 3 2 4 2 2 3 2" xfId="9585" xr:uid="{CC3D9980-2B64-4193-90CC-29EE9DB5AF5E}"/>
    <cellStyle name="Comma 2 3 2 4 2 2 4" xfId="6975" xr:uid="{EC559696-D51E-43B2-9208-36D260B7C367}"/>
    <cellStyle name="Comma 2 3 2 4 2 3" xfId="3853" xr:uid="{AC6C498F-C045-441B-A952-1C8C29B1A3BD}"/>
    <cellStyle name="Comma 2 3 2 4 2 3 2" xfId="8042" xr:uid="{F741309E-6CA1-4082-8834-3CEA6C38FBCF}"/>
    <cellStyle name="Comma 2 3 2 4 2 4" xfId="5174" xr:uid="{41EF5DDC-56E6-48D9-BD7B-596388C849CB}"/>
    <cellStyle name="Comma 2 3 2 4 2 4 2" xfId="9345" xr:uid="{B88126AC-5F71-4914-9B07-8CD376A45E52}"/>
    <cellStyle name="Comma 2 3 2 4 2 5" xfId="6735" xr:uid="{46410AB6-FFC7-4C4B-8B63-B4C83A371266}"/>
    <cellStyle name="Comma 2 3 2 4 3" xfId="2586" xr:uid="{E4234EFE-E135-4EB8-A60B-67E91F671610}"/>
    <cellStyle name="Comma 2 3 2 4 3 2" xfId="3934" xr:uid="{5B0AD5D4-C10B-406D-BB10-875760501772}"/>
    <cellStyle name="Comma 2 3 2 4 3 2 2" xfId="8123" xr:uid="{6C4BF8B1-9E23-4031-B83E-689B67888002}"/>
    <cellStyle name="Comma 2 3 2 4 3 3" xfId="5255" xr:uid="{0641363F-C792-4959-858E-4B0EB114D9B1}"/>
    <cellStyle name="Comma 2 3 2 4 3 3 2" xfId="9426" xr:uid="{868C3ADB-278C-4404-ACB7-A5A6B200ED01}"/>
    <cellStyle name="Comma 2 3 2 4 3 4" xfId="6816" xr:uid="{E06397EF-7238-4742-9C99-27C047FD1D72}"/>
    <cellStyle name="Comma 2 3 2 4 4" xfId="2340" xr:uid="{A492AF76-255B-4682-B37D-128002F90C66}"/>
    <cellStyle name="Comma 2 3 2 4 4 2" xfId="3694" xr:uid="{63A10181-A156-41D0-A281-7F7BDCDC6BDC}"/>
    <cellStyle name="Comma 2 3 2 4 4 2 2" xfId="7883" xr:uid="{FA6CAAC8-300E-4096-AA7B-FAD4D49EEAB5}"/>
    <cellStyle name="Comma 2 3 2 4 4 3" xfId="5015" xr:uid="{98FD6607-5DD8-4476-9965-5E4651D19EDD}"/>
    <cellStyle name="Comma 2 3 2 4 4 3 2" xfId="9186" xr:uid="{16CF93BC-11BB-41F8-AFAD-3EF46E4E75B7}"/>
    <cellStyle name="Comma 2 3 2 4 4 4" xfId="6576" xr:uid="{80903EA2-05C8-4909-B32D-6EC0423971EA}"/>
    <cellStyle name="Comma 2 3 2 4 5" xfId="3613" xr:uid="{CE572256-A6A5-4901-823D-9E724C5D4BA2}"/>
    <cellStyle name="Comma 2 3 2 4 5 2" xfId="7802" xr:uid="{CA9ACCF4-7037-4C44-BE21-D5067EDAC05C}"/>
    <cellStyle name="Comma 2 3 2 4 6" xfId="4934" xr:uid="{F660337D-EC41-4F84-9CFE-570A1B39F7F6}"/>
    <cellStyle name="Comma 2 3 2 4 6 2" xfId="9105" xr:uid="{650CF8CA-64F0-4ABA-8531-7FBF534488C0}"/>
    <cellStyle name="Comma 2 3 2 4 7" xfId="6495" xr:uid="{31312B2C-BE2D-4DA0-9FB0-DFAB654072C6}"/>
    <cellStyle name="Comma 2 3 2 5" xfId="2414" xr:uid="{95DA9944-A732-4AB5-A8C0-A00DEE18EED3}"/>
    <cellStyle name="Comma 2 3 2 5 2" xfId="2654" xr:uid="{0FF9FC8E-ADB2-47DA-A561-2179A8734AF5}"/>
    <cellStyle name="Comma 2 3 2 5 2 2" xfId="4002" xr:uid="{FE381BC4-2B1B-4351-BD5D-6855108EB27B}"/>
    <cellStyle name="Comma 2 3 2 5 2 2 2" xfId="8191" xr:uid="{4A685627-566F-4924-91BE-F00FD0779956}"/>
    <cellStyle name="Comma 2 3 2 5 2 3" xfId="5323" xr:uid="{D7573074-F35B-483B-AC70-15AC02BBB028}"/>
    <cellStyle name="Comma 2 3 2 5 2 3 2" xfId="9494" xr:uid="{6DC51343-F2DF-42F8-8958-75D3841F1F02}"/>
    <cellStyle name="Comma 2 3 2 5 2 4" xfId="6884" xr:uid="{6687D300-4FD0-4584-9C21-04E166930E38}"/>
    <cellStyle name="Comma 2 3 2 5 3" xfId="3762" xr:uid="{69F1819F-B855-4110-927E-CBBE15AEEA90}"/>
    <cellStyle name="Comma 2 3 2 5 3 2" xfId="7951" xr:uid="{A1E35325-5D5C-45D5-84F3-F3FA60127231}"/>
    <cellStyle name="Comma 2 3 2 5 4" xfId="5083" xr:uid="{5A66F7E6-C934-4482-AEB0-F49C80D07C56}"/>
    <cellStyle name="Comma 2 3 2 5 4 2" xfId="9254" xr:uid="{677201F6-0F58-4F42-8047-EF75115A429B}"/>
    <cellStyle name="Comma 2 3 2 5 5" xfId="6644" xr:uid="{DE0C0E0C-65BA-4500-8BFF-8C19E5E796B4}"/>
    <cellStyle name="Comma 2 3 2 6" xfId="2441" xr:uid="{8B5966C5-969A-4FAB-B119-A9EF333CB5C1}"/>
    <cellStyle name="Comma 2 3 2 6 2" xfId="2681" xr:uid="{DC48D1FE-7250-4C97-9EE6-A5B463058628}"/>
    <cellStyle name="Comma 2 3 2 6 2 2" xfId="4029" xr:uid="{EAF52C3A-6CDD-4569-A3B1-268F25932A5A}"/>
    <cellStyle name="Comma 2 3 2 6 2 2 2" xfId="8218" xr:uid="{1B19D1EF-918E-4E86-BDC1-176DAAD7E293}"/>
    <cellStyle name="Comma 2 3 2 6 2 3" xfId="5350" xr:uid="{5C2D5250-0DD8-4659-8CD6-F059518D0CB2}"/>
    <cellStyle name="Comma 2 3 2 6 2 3 2" xfId="9521" xr:uid="{5CC465EF-CFC7-476C-ABEB-4832EB81542E}"/>
    <cellStyle name="Comma 2 3 2 6 2 4" xfId="6911" xr:uid="{BF75FF01-0A9B-4AF6-A069-FF9128374DC6}"/>
    <cellStyle name="Comma 2 3 2 6 3" xfId="3789" xr:uid="{9551B7FA-8B8C-47FE-ACD3-19E1F6D0B894}"/>
    <cellStyle name="Comma 2 3 2 6 3 2" xfId="7978" xr:uid="{9817B914-CE72-45CF-B7B2-08D1A3CDDA7A}"/>
    <cellStyle name="Comma 2 3 2 6 4" xfId="5110" xr:uid="{B78923FB-8CD1-4017-96EA-3A133D9A5BC4}"/>
    <cellStyle name="Comma 2 3 2 6 4 2" xfId="9281" xr:uid="{428F445C-EB2A-4A27-9004-544F8CCE3F4B}"/>
    <cellStyle name="Comma 2 3 2 6 5" xfId="6671" xr:uid="{F4D22684-03CA-461F-BC34-AF7464CAC4A5}"/>
    <cellStyle name="Comma 2 3 2 7" xfId="2522" xr:uid="{E18F63F7-9C71-4DA1-89FC-32B5C84F52ED}"/>
    <cellStyle name="Comma 2 3 2 7 2" xfId="3870" xr:uid="{DE99A350-54C5-4692-9A1E-74096C0196C3}"/>
    <cellStyle name="Comma 2 3 2 7 2 2" xfId="8059" xr:uid="{81A6A043-445D-4475-AE3F-DF16E51449B0}"/>
    <cellStyle name="Comma 2 3 2 7 3" xfId="5191" xr:uid="{4CC70214-213D-4DE1-A301-E523EBB6B322}"/>
    <cellStyle name="Comma 2 3 2 7 3 2" xfId="9362" xr:uid="{7B67E48F-EF67-4693-AB8B-3ECB1582F01C}"/>
    <cellStyle name="Comma 2 3 2 7 4" xfId="6752" xr:uid="{51A9434B-4DA2-4640-8474-DD5C168F861D}"/>
    <cellStyle name="Comma 2 3 2 8" xfId="2276" xr:uid="{E04E1FEF-3B14-4340-825D-BD248A83ED08}"/>
    <cellStyle name="Comma 2 3 2 8 2" xfId="3630" xr:uid="{89E4FB35-F501-4148-A667-CEF899CC24A4}"/>
    <cellStyle name="Comma 2 3 2 8 2 2" xfId="7819" xr:uid="{ECC323AB-C825-4330-ADE0-CF064C0E6067}"/>
    <cellStyle name="Comma 2 3 2 8 3" xfId="4951" xr:uid="{BAE2DB33-AAF7-4A74-BB52-185E93D25BBA}"/>
    <cellStyle name="Comma 2 3 2 8 3 2" xfId="9122" xr:uid="{E051DC3D-894E-4C5A-96C9-0E54646E9434}"/>
    <cellStyle name="Comma 2 3 2 8 4" xfId="6512" xr:uid="{B963A3E5-C50F-41DC-B8F9-E37C06A9EB89}"/>
    <cellStyle name="Comma 2 3 2 9" xfId="2112" xr:uid="{EAE9943A-4057-4CAA-B035-9635F0C9C510}"/>
    <cellStyle name="Comma 2 3 2 9 2" xfId="3549" xr:uid="{73175566-9359-475B-8A07-C611368AF7B5}"/>
    <cellStyle name="Comma 2 3 2 9 2 2" xfId="7738" xr:uid="{34B9EB36-26DC-4E1D-BED7-61384F0F15A7}"/>
    <cellStyle name="Comma 2 3 2 9 3" xfId="4870" xr:uid="{0CF47F85-ABFC-4FC8-BD20-F9B2DC4F1E50}"/>
    <cellStyle name="Comma 2 3 2 9 3 2" xfId="9041" xr:uid="{334B26DA-214D-440B-BF72-6FFE9AE7E0BF}"/>
    <cellStyle name="Comma 2 3 2 9 4" xfId="6431" xr:uid="{CB0F848C-8632-40C9-8D14-96AEC3BE2DCD}"/>
    <cellStyle name="Comma 2 3 3" xfId="705" xr:uid="{130077D1-0118-4017-A293-ECA829748D43}"/>
    <cellStyle name="Comma 2 3 3 10" xfId="4316" xr:uid="{E8B41351-609A-43DF-81FA-5492D85F51E7}"/>
    <cellStyle name="Comma 2 3 3 10 2" xfId="8501" xr:uid="{2A842028-5E87-4D2A-9564-A1307A476078}"/>
    <cellStyle name="Comma 2 3 3 11" xfId="5885" xr:uid="{12B3242B-D2AA-4AAD-BA71-07FF355D8F9D}"/>
    <cellStyle name="Comma 2 3 3 2" xfId="2155" xr:uid="{25683607-50BF-463D-BF16-795E2C148DF0}"/>
    <cellStyle name="Comma 2 3 3 2 2" xfId="2380" xr:uid="{9C2649BF-A5B3-4E7E-8143-F6DD235063A6}"/>
    <cellStyle name="Comma 2 3 3 2 2 2" xfId="2626" xr:uid="{63EF843C-3375-4EE9-A535-804AAC2CC84B}"/>
    <cellStyle name="Comma 2 3 3 2 2 2 2" xfId="3974" xr:uid="{5E1181FD-4C25-4AAF-8431-15FD9CAB4667}"/>
    <cellStyle name="Comma 2 3 3 2 2 2 2 2" xfId="8163" xr:uid="{715DC0D5-EA30-4AD1-B4B1-93DD04E44D00}"/>
    <cellStyle name="Comma 2 3 3 2 2 2 3" xfId="5295" xr:uid="{537D2526-5AD1-4518-A617-3C4DDCD46338}"/>
    <cellStyle name="Comma 2 3 3 2 2 2 3 2" xfId="9466" xr:uid="{4F274C77-EDF7-4489-924A-C77D3A7BA706}"/>
    <cellStyle name="Comma 2 3 3 2 2 2 4" xfId="6856" xr:uid="{B2840EE4-343B-457A-8878-D47F2C69D7BF}"/>
    <cellStyle name="Comma 2 3 3 2 2 3" xfId="3734" xr:uid="{0C08A011-F9BB-4F97-ADE9-AAE7BF88E9D2}"/>
    <cellStyle name="Comma 2 3 3 2 2 3 2" xfId="7923" xr:uid="{832A4FCE-524E-44FD-BB4B-B77F998D45F5}"/>
    <cellStyle name="Comma 2 3 3 2 2 4" xfId="5055" xr:uid="{5D984B32-DA26-44A3-A6E3-940BAF903236}"/>
    <cellStyle name="Comma 2 3 3 2 2 4 2" xfId="9226" xr:uid="{B938DD74-44CD-4059-9310-FD5D261A3367}"/>
    <cellStyle name="Comma 2 3 3 2 2 5" xfId="6616" xr:uid="{114D1CEE-9EA6-4605-A5C4-84005BA8078B}"/>
    <cellStyle name="Comma 2 3 3 2 3" xfId="2481" xr:uid="{BD892FC9-8BFA-4DA1-B11B-844A5AB4C345}"/>
    <cellStyle name="Comma 2 3 3 2 3 2" xfId="2721" xr:uid="{C11DC5DD-98A3-43FE-A003-27A7192D755A}"/>
    <cellStyle name="Comma 2 3 3 2 3 2 2" xfId="4069" xr:uid="{C6F8FB8B-636E-43F5-96B8-21E717E1CD5D}"/>
    <cellStyle name="Comma 2 3 3 2 3 2 2 2" xfId="8258" xr:uid="{E7304042-D964-4968-BDEC-B44687E6AFB2}"/>
    <cellStyle name="Comma 2 3 3 2 3 2 3" xfId="5390" xr:uid="{C5E6A795-18B7-482A-884F-09EC11AA32F8}"/>
    <cellStyle name="Comma 2 3 3 2 3 2 3 2" xfId="9561" xr:uid="{C84013C5-44F4-4FB8-9119-E803DD92BC6F}"/>
    <cellStyle name="Comma 2 3 3 2 3 2 4" xfId="6951" xr:uid="{342DD9C0-6760-45EB-8A46-2F2A56066315}"/>
    <cellStyle name="Comma 2 3 3 2 3 3" xfId="3829" xr:uid="{533BFECF-F3FC-4CC4-B927-159D809BD8BE}"/>
    <cellStyle name="Comma 2 3 3 2 3 3 2" xfId="8018" xr:uid="{3B750103-E192-472F-AAA3-3EC43582AB77}"/>
    <cellStyle name="Comma 2 3 3 2 3 4" xfId="5150" xr:uid="{1B69BFCA-110B-49FF-BE51-F082BEAFDEEF}"/>
    <cellStyle name="Comma 2 3 3 2 3 4 2" xfId="9321" xr:uid="{016BDD2F-EABD-483C-9C89-7C8CB639F2A3}"/>
    <cellStyle name="Comma 2 3 3 2 3 5" xfId="6711" xr:uid="{0F1139E1-1740-402C-9CF1-3E16FC36A2DB}"/>
    <cellStyle name="Comma 2 3 3 2 4" xfId="2562" xr:uid="{1C4A5BA7-5802-4EEA-8938-61CD0EC62900}"/>
    <cellStyle name="Comma 2 3 3 2 4 2" xfId="3910" xr:uid="{EDB6B6BA-4126-4828-B984-0D882B735E42}"/>
    <cellStyle name="Comma 2 3 3 2 4 2 2" xfId="8099" xr:uid="{955EC3CD-2278-4C17-ADE2-877C5D1ECCFD}"/>
    <cellStyle name="Comma 2 3 3 2 4 3" xfId="5231" xr:uid="{F866EE2E-6A65-451B-A98A-9E3B9DE41AFB}"/>
    <cellStyle name="Comma 2 3 3 2 4 3 2" xfId="9402" xr:uid="{17B89CFA-146A-408C-B187-5F8211C6DB9F}"/>
    <cellStyle name="Comma 2 3 3 2 4 4" xfId="6792" xr:uid="{2AA16EC1-F4A3-470C-8585-28CCC310A1FD}"/>
    <cellStyle name="Comma 2 3 3 2 5" xfId="2316" xr:uid="{32056D85-588E-4E0F-81B5-1BA7545DD594}"/>
    <cellStyle name="Comma 2 3 3 2 5 2" xfId="3670" xr:uid="{1497CE1F-A314-48B3-A0E0-BDFCDAC11756}"/>
    <cellStyle name="Comma 2 3 3 2 5 2 2" xfId="7859" xr:uid="{1D4A1850-8D58-4603-BF16-48A86BE0D5C3}"/>
    <cellStyle name="Comma 2 3 3 2 5 3" xfId="4991" xr:uid="{A4751714-2835-4CE3-81A1-7DA6ED983028}"/>
    <cellStyle name="Comma 2 3 3 2 5 3 2" xfId="9162" xr:uid="{182B8585-0275-475C-8BB3-A05AB3C9FE00}"/>
    <cellStyle name="Comma 2 3 3 2 5 4" xfId="6552" xr:uid="{573E8525-5998-4BF6-BB64-177B3F2D7101}"/>
    <cellStyle name="Comma 2 3 3 2 6" xfId="3589" xr:uid="{DE1C1573-38AF-44FB-919B-308D6E24FB85}"/>
    <cellStyle name="Comma 2 3 3 2 6 2" xfId="7778" xr:uid="{9475AE41-294D-4CF7-A6DF-A1D56FEDE0F5}"/>
    <cellStyle name="Comma 2 3 3 2 7" xfId="4910" xr:uid="{2FA751A0-D836-4EBB-A055-D2D125889F1B}"/>
    <cellStyle name="Comma 2 3 3 2 7 2" xfId="9081" xr:uid="{D028842C-D1A1-43BF-B5EC-73D61E0C7BB0}"/>
    <cellStyle name="Comma 2 3 3 2 8" xfId="6471" xr:uid="{5782C8E2-DA62-4473-AE08-BA9A870A4842}"/>
    <cellStyle name="Comma 2 3 3 3" xfId="2348" xr:uid="{AC9477B6-C3F7-4827-9434-428DD818904A}"/>
    <cellStyle name="Comma 2 3 3 3 2" xfId="2594" xr:uid="{2AE14F0B-DD2B-4304-90FB-94CF31CEB89C}"/>
    <cellStyle name="Comma 2 3 3 3 2 2" xfId="3942" xr:uid="{D8514BD0-01BF-4616-AA7F-4FB9CEBC0CE7}"/>
    <cellStyle name="Comma 2 3 3 3 2 2 2" xfId="8131" xr:uid="{21A8DD24-3EEF-4F1A-A1B6-987EE874D6BA}"/>
    <cellStyle name="Comma 2 3 3 3 2 3" xfId="5263" xr:uid="{94B38B63-5657-428E-A226-7F31EE41CA5F}"/>
    <cellStyle name="Comma 2 3 3 3 2 3 2" xfId="9434" xr:uid="{C819FBF5-809D-40FA-8BB4-F463762FCA8E}"/>
    <cellStyle name="Comma 2 3 3 3 2 4" xfId="6824" xr:uid="{46614EAC-92D9-4B35-9D7B-4923C68408C5}"/>
    <cellStyle name="Comma 2 3 3 3 3" xfId="3702" xr:uid="{0E5BA2B2-3168-429F-8439-DFBD37989069}"/>
    <cellStyle name="Comma 2 3 3 3 3 2" xfId="7891" xr:uid="{4CAF3625-0F44-4359-9425-259E5846266B}"/>
    <cellStyle name="Comma 2 3 3 3 4" xfId="5023" xr:uid="{DF6A0E44-309D-44B1-ADB4-6A30535CDFCF}"/>
    <cellStyle name="Comma 2 3 3 3 4 2" xfId="9194" xr:uid="{484665F3-9655-417F-B42D-FE6324E102CC}"/>
    <cellStyle name="Comma 2 3 3 3 5" xfId="6584" xr:uid="{DBEBD2C7-BD00-4D80-B068-68B5C06F0E5C}"/>
    <cellStyle name="Comma 2 3 3 4" xfId="2424" xr:uid="{85F8C3E7-CCEF-4D71-94DD-D0545C22595D}"/>
    <cellStyle name="Comma 2 3 3 4 2" xfId="2664" xr:uid="{4A66512F-B257-402D-8407-2D3EF02B2727}"/>
    <cellStyle name="Comma 2 3 3 4 2 2" xfId="4012" xr:uid="{987B8051-31A3-4CC9-B2E1-A7E2B1E3A182}"/>
    <cellStyle name="Comma 2 3 3 4 2 2 2" xfId="8201" xr:uid="{74843256-A599-430F-8770-C6FA455E4F76}"/>
    <cellStyle name="Comma 2 3 3 4 2 3" xfId="5333" xr:uid="{7D2709C8-B689-49C9-BA1F-C9B016038BA0}"/>
    <cellStyle name="Comma 2 3 3 4 2 3 2" xfId="9504" xr:uid="{6C192512-40E7-4FAC-9381-8A0CDFFE6811}"/>
    <cellStyle name="Comma 2 3 3 4 2 4" xfId="6894" xr:uid="{F366FF95-5464-46C5-9234-4216D65123F1}"/>
    <cellStyle name="Comma 2 3 3 4 3" xfId="3772" xr:uid="{1CB1AD51-BC2C-4414-A84C-409739C02744}"/>
    <cellStyle name="Comma 2 3 3 4 3 2" xfId="7961" xr:uid="{44B85CBE-71BA-481A-9EFB-229CF49739B8}"/>
    <cellStyle name="Comma 2 3 3 4 4" xfId="5093" xr:uid="{FEDE57F5-056C-454D-B8F6-01A56D64069A}"/>
    <cellStyle name="Comma 2 3 3 4 4 2" xfId="9264" xr:uid="{32944CFD-9EA3-430D-9A80-AE41B735CBC3}"/>
    <cellStyle name="Comma 2 3 3 4 5" xfId="6654" xr:uid="{B199A877-736F-4398-84F1-F78ABA619CF1}"/>
    <cellStyle name="Comma 2 3 3 5" xfId="2449" xr:uid="{984DD97C-1417-4E7E-A92E-AAF94620600A}"/>
    <cellStyle name="Comma 2 3 3 5 2" xfId="2689" xr:uid="{45A1351F-7A37-4A5E-9944-58A001A5A951}"/>
    <cellStyle name="Comma 2 3 3 5 2 2" xfId="4037" xr:uid="{8415CA01-237C-4668-A5DC-F57B0DFF0A62}"/>
    <cellStyle name="Comma 2 3 3 5 2 2 2" xfId="8226" xr:uid="{AC20B812-B593-4A94-99E2-D536438287B4}"/>
    <cellStyle name="Comma 2 3 3 5 2 3" xfId="5358" xr:uid="{C5317029-7165-415C-82B1-1F1C1BDBF8A7}"/>
    <cellStyle name="Comma 2 3 3 5 2 3 2" xfId="9529" xr:uid="{818FA133-4301-4BE6-8C9D-BDFA971BC27B}"/>
    <cellStyle name="Comma 2 3 3 5 2 4" xfId="6919" xr:uid="{B1807ED7-AA09-4C50-9D16-D278C4DFB8AD}"/>
    <cellStyle name="Comma 2 3 3 5 3" xfId="3797" xr:uid="{5EC9F44A-6033-43D3-B4ED-1A9D99E9694E}"/>
    <cellStyle name="Comma 2 3 3 5 3 2" xfId="7986" xr:uid="{15582009-79BF-41BC-834A-832C240A8A5C}"/>
    <cellStyle name="Comma 2 3 3 5 4" xfId="5118" xr:uid="{3582FD73-CB5D-45A3-9D66-2DFECB1EDFDE}"/>
    <cellStyle name="Comma 2 3 3 5 4 2" xfId="9289" xr:uid="{94B086D2-7EBF-4BDC-BC15-0A427D5FB577}"/>
    <cellStyle name="Comma 2 3 3 5 5" xfId="6679" xr:uid="{BAF2DBE7-68F9-4476-822B-7D10715C11DD}"/>
    <cellStyle name="Comma 2 3 3 6" xfId="2530" xr:uid="{BE486AE6-1D97-470C-8695-6FE485E0C75B}"/>
    <cellStyle name="Comma 2 3 3 6 2" xfId="3878" xr:uid="{2952A31A-B668-4242-AD78-196EB43A972F}"/>
    <cellStyle name="Comma 2 3 3 6 2 2" xfId="8067" xr:uid="{48434CDA-DB00-485E-8FF4-C78C75AB5CA5}"/>
    <cellStyle name="Comma 2 3 3 6 3" xfId="5199" xr:uid="{2575F9BB-77D5-41E9-A81F-86AF1B8F074A}"/>
    <cellStyle name="Comma 2 3 3 6 3 2" xfId="9370" xr:uid="{8206A335-D47A-4DC5-97AA-363EE74E6FBA}"/>
    <cellStyle name="Comma 2 3 3 6 4" xfId="6760" xr:uid="{2BD38C50-EF5B-4DD0-8A36-413A6C118C20}"/>
    <cellStyle name="Comma 2 3 3 7" xfId="2284" xr:uid="{3F01886A-8701-4EC7-A950-13C32B35EBDA}"/>
    <cellStyle name="Comma 2 3 3 7 2" xfId="3638" xr:uid="{D16D88D8-DC65-4B2F-A187-0A3558CA7EE2}"/>
    <cellStyle name="Comma 2 3 3 7 2 2" xfId="7827" xr:uid="{1183F951-E5C8-47B6-8F22-4C76D26B56CF}"/>
    <cellStyle name="Comma 2 3 3 7 3" xfId="4959" xr:uid="{B67FF0C1-1F2E-45BA-A2EF-86D148EF8ABC}"/>
    <cellStyle name="Comma 2 3 3 7 3 2" xfId="9130" xr:uid="{6CF1EB12-0DC6-444F-B51C-4FC6E9BE4C25}"/>
    <cellStyle name="Comma 2 3 3 7 4" xfId="6520" xr:uid="{D0F01302-0830-4C08-9A38-CAAD31F977B4}"/>
    <cellStyle name="Comma 2 3 3 8" xfId="2120" xr:uid="{7C4BBA03-774E-442D-A77C-14BA7E3DE620}"/>
    <cellStyle name="Comma 2 3 3 8 2" xfId="3557" xr:uid="{F1CD4149-2E3F-4C81-BB2E-275BB536B657}"/>
    <cellStyle name="Comma 2 3 3 8 2 2" xfId="7746" xr:uid="{730F60EA-95AC-46AA-BC40-3986A2748D37}"/>
    <cellStyle name="Comma 2 3 3 8 3" xfId="4878" xr:uid="{23BD2B99-F606-429E-B636-253DCE121E1D}"/>
    <cellStyle name="Comma 2 3 3 8 3 2" xfId="9049" xr:uid="{5EE349A6-F4A3-47EF-AF1D-EE114C377218}"/>
    <cellStyle name="Comma 2 3 3 8 4" xfId="6439" xr:uid="{94BF62A9-DB82-44EF-9BE0-894D10196F76}"/>
    <cellStyle name="Comma 2 3 3 9" xfId="3001" xr:uid="{21264545-2A6C-4DD4-9B01-4B87EA53B9E0}"/>
    <cellStyle name="Comma 2 3 3 9 2" xfId="7204" xr:uid="{05CDA7D3-7458-4317-BF78-ACD6E7AF012C}"/>
    <cellStyle name="Comma 2 3 4" xfId="2139" xr:uid="{EADF9E37-C4BD-4A60-B873-41F1079C8303}"/>
    <cellStyle name="Comma 2 3 4 2" xfId="2364" xr:uid="{0EED77BA-C690-44B6-8F31-33EEC2EA5F67}"/>
    <cellStyle name="Comma 2 3 4 2 2" xfId="2610" xr:uid="{E7CA4640-EC1C-4F47-8BAE-710DBE78AA04}"/>
    <cellStyle name="Comma 2 3 4 2 2 2" xfId="3958" xr:uid="{B2D06331-441D-4D0C-94FA-D9CF0DE369BA}"/>
    <cellStyle name="Comma 2 3 4 2 2 2 2" xfId="8147" xr:uid="{BF33ED89-B1BC-4AD6-B897-0C6E562A5E6E}"/>
    <cellStyle name="Comma 2 3 4 2 2 3" xfId="5279" xr:uid="{79282379-883E-4043-A56A-B0D35B00013C}"/>
    <cellStyle name="Comma 2 3 4 2 2 3 2" xfId="9450" xr:uid="{D611905C-8189-4B9C-86EA-328779E30ABA}"/>
    <cellStyle name="Comma 2 3 4 2 2 4" xfId="6840" xr:uid="{F525755F-DB83-4204-859E-A477FF293D26}"/>
    <cellStyle name="Comma 2 3 4 2 3" xfId="3718" xr:uid="{795A07B9-A995-4C00-9779-D602440DC922}"/>
    <cellStyle name="Comma 2 3 4 2 3 2" xfId="7907" xr:uid="{315AAB39-ED89-4052-B17E-6FE82D6970CF}"/>
    <cellStyle name="Comma 2 3 4 2 4" xfId="5039" xr:uid="{53B865D5-1D4F-4FC8-8E45-87D9712E5A4D}"/>
    <cellStyle name="Comma 2 3 4 2 4 2" xfId="9210" xr:uid="{27A75710-5ABE-4FD7-B2BE-BB3CBF8E2906}"/>
    <cellStyle name="Comma 2 3 4 2 5" xfId="6600" xr:uid="{572B65E2-1944-4F2B-AFF5-936116B3DACF}"/>
    <cellStyle name="Comma 2 3 4 3" xfId="2465" xr:uid="{C0DA32C8-89C2-47CB-93E2-D179CAC9C09C}"/>
    <cellStyle name="Comma 2 3 4 3 2" xfId="2705" xr:uid="{3CF4A2F3-6DD3-4316-8A66-CACB5C5340E9}"/>
    <cellStyle name="Comma 2 3 4 3 2 2" xfId="4053" xr:uid="{746279A7-C6E2-467F-BD18-C4A8204FFC1A}"/>
    <cellStyle name="Comma 2 3 4 3 2 2 2" xfId="8242" xr:uid="{81634CB2-CA8F-4072-A03F-545B2674FF97}"/>
    <cellStyle name="Comma 2 3 4 3 2 3" xfId="5374" xr:uid="{9375D9A9-E06E-4543-8224-3B482394C5F1}"/>
    <cellStyle name="Comma 2 3 4 3 2 3 2" xfId="9545" xr:uid="{D65572A4-E03B-4DF1-9FDF-2EEFB41E7E4E}"/>
    <cellStyle name="Comma 2 3 4 3 2 4" xfId="6935" xr:uid="{5F9298CE-E9A5-4BAA-B1B1-5591BDEBF7D8}"/>
    <cellStyle name="Comma 2 3 4 3 3" xfId="3813" xr:uid="{A8AD003A-8580-429D-985A-0B616E41F924}"/>
    <cellStyle name="Comma 2 3 4 3 3 2" xfId="8002" xr:uid="{F2A33F14-4FEE-4327-915E-2C096D36D72D}"/>
    <cellStyle name="Comma 2 3 4 3 4" xfId="5134" xr:uid="{D25B8D90-E142-4FE1-B3FB-854FBE9E71D5}"/>
    <cellStyle name="Comma 2 3 4 3 4 2" xfId="9305" xr:uid="{0654CB48-784A-43D7-AAEE-3EFCA1DDC411}"/>
    <cellStyle name="Comma 2 3 4 3 5" xfId="6695" xr:uid="{A9D146B3-F806-42E8-BF21-0053513BE55E}"/>
    <cellStyle name="Comma 2 3 4 4" xfId="2546" xr:uid="{F6D048BD-ACB4-4390-BA2D-836605336E57}"/>
    <cellStyle name="Comma 2 3 4 4 2" xfId="3894" xr:uid="{160D85F5-9270-4C99-9830-FAF0AFB26C43}"/>
    <cellStyle name="Comma 2 3 4 4 2 2" xfId="8083" xr:uid="{3E362B85-B0AA-406A-8228-0E139AC821F6}"/>
    <cellStyle name="Comma 2 3 4 4 3" xfId="5215" xr:uid="{F890439B-DD64-4966-8B9B-CE57639B5C58}"/>
    <cellStyle name="Comma 2 3 4 4 3 2" xfId="9386" xr:uid="{72D2C891-2EB6-4ACC-B442-B3435106BD2B}"/>
    <cellStyle name="Comma 2 3 4 4 4" xfId="6776" xr:uid="{4653E9F2-BD36-4D2E-AA7B-506B6162A290}"/>
    <cellStyle name="Comma 2 3 4 5" xfId="2300" xr:uid="{048150C5-434D-4336-A797-B16BB54FA7FF}"/>
    <cellStyle name="Comma 2 3 4 5 2" xfId="3654" xr:uid="{B57BEA52-EA26-40A4-B9C3-431BDF5A0520}"/>
    <cellStyle name="Comma 2 3 4 5 2 2" xfId="7843" xr:uid="{0D975EB6-945A-4609-B2DD-D92140E9CA1B}"/>
    <cellStyle name="Comma 2 3 4 5 3" xfId="4975" xr:uid="{D46F34E0-1D33-47A8-982E-07F034BE957C}"/>
    <cellStyle name="Comma 2 3 4 5 3 2" xfId="9146" xr:uid="{D9EA6608-A0BB-42EA-A20A-07528DEA8056}"/>
    <cellStyle name="Comma 2 3 4 5 4" xfId="6536" xr:uid="{1EB91D88-0305-448A-8DC1-D4C3931B45F4}"/>
    <cellStyle name="Comma 2 3 4 6" xfId="3573" xr:uid="{93CAEDD9-86A0-42C8-8047-8EB17D7F5F68}"/>
    <cellStyle name="Comma 2 3 4 6 2" xfId="7762" xr:uid="{5CB17741-891A-46A1-861E-91B0D89A7F38}"/>
    <cellStyle name="Comma 2 3 4 7" xfId="4894" xr:uid="{5A56879E-04D0-49C9-95FA-8AEB04E0A12D}"/>
    <cellStyle name="Comma 2 3 4 7 2" xfId="9065" xr:uid="{2AEEB826-EB26-4042-80A7-2E6A420029F4}"/>
    <cellStyle name="Comma 2 3 4 8" xfId="6455" xr:uid="{215458FA-767D-459D-97BC-4E02EEE58E58}"/>
    <cellStyle name="Comma 2 3 5" xfId="2219" xr:uid="{993653F0-1411-4298-93C5-F0412316557D}"/>
    <cellStyle name="Comma 2 3 5 2" xfId="2497" xr:uid="{FA5ECADC-FAC5-4A48-A4C3-1BF11EAFA3F7}"/>
    <cellStyle name="Comma 2 3 5 2 2" xfId="2737" xr:uid="{4469148F-80A4-4866-AE39-649A37287E8B}"/>
    <cellStyle name="Comma 2 3 5 2 2 2" xfId="4085" xr:uid="{3608F7E1-C923-4D85-AAF1-C8B29F36D6E2}"/>
    <cellStyle name="Comma 2 3 5 2 2 2 2" xfId="8274" xr:uid="{669683BE-06BE-40B3-A793-301F58A44C15}"/>
    <cellStyle name="Comma 2 3 5 2 2 3" xfId="5406" xr:uid="{C9503AE4-145C-4C62-AAB3-5F56349C2475}"/>
    <cellStyle name="Comma 2 3 5 2 2 3 2" xfId="9577" xr:uid="{ECBCDA3B-BC40-479D-A85B-E7A6B445B6C9}"/>
    <cellStyle name="Comma 2 3 5 2 2 4" xfId="6967" xr:uid="{C36FB522-A4D5-479D-A5F1-ADC99BB9A777}"/>
    <cellStyle name="Comma 2 3 5 2 3" xfId="3845" xr:uid="{64CD1C3F-E816-4B42-BC9C-8FE93645E9BF}"/>
    <cellStyle name="Comma 2 3 5 2 3 2" xfId="8034" xr:uid="{B66581FC-731B-41E1-BE20-1401AFD7D9FD}"/>
    <cellStyle name="Comma 2 3 5 2 4" xfId="5166" xr:uid="{3CA37B55-1B33-462B-AED7-44A45A627979}"/>
    <cellStyle name="Comma 2 3 5 2 4 2" xfId="9337" xr:uid="{D8B9ECA0-B94F-49DF-B09F-4D14BAEAA0AF}"/>
    <cellStyle name="Comma 2 3 5 2 5" xfId="6727" xr:uid="{AF1CDC50-35CE-42C8-897C-2D6CD8067227}"/>
    <cellStyle name="Comma 2 3 5 3" xfId="2578" xr:uid="{88110897-DADC-40EC-B131-8E17F9146296}"/>
    <cellStyle name="Comma 2 3 5 3 2" xfId="3926" xr:uid="{E146B9B2-E62E-4B15-9091-77E0E84C5B52}"/>
    <cellStyle name="Comma 2 3 5 3 2 2" xfId="8115" xr:uid="{76331D7C-3057-4FC6-8E03-98AA690F8E40}"/>
    <cellStyle name="Comma 2 3 5 3 3" xfId="5247" xr:uid="{A8A7CF6E-B4DB-407C-A813-A2E416315A95}"/>
    <cellStyle name="Comma 2 3 5 3 3 2" xfId="9418" xr:uid="{358B0320-E283-4BCC-8BAA-25A880DB7D2E}"/>
    <cellStyle name="Comma 2 3 5 3 4" xfId="6808" xr:uid="{97B27439-4607-4E0F-9EBB-9EDE7A809583}"/>
    <cellStyle name="Comma 2 3 5 4" xfId="2332" xr:uid="{BA1C4146-064A-418F-AB28-6DDD81D004A4}"/>
    <cellStyle name="Comma 2 3 5 4 2" xfId="3686" xr:uid="{2E55F10B-A6BF-41B6-BFE1-74761EFE2034}"/>
    <cellStyle name="Comma 2 3 5 4 2 2" xfId="7875" xr:uid="{5204C476-06E3-47D5-A23E-62D6BC24D823}"/>
    <cellStyle name="Comma 2 3 5 4 3" xfId="5007" xr:uid="{C6AB1F55-C75B-4EC4-894C-5D23B0E55D1B}"/>
    <cellStyle name="Comma 2 3 5 4 3 2" xfId="9178" xr:uid="{02D22EB5-1115-4E43-ABB6-F081393092AE}"/>
    <cellStyle name="Comma 2 3 5 4 4" xfId="6568" xr:uid="{4066D973-95AD-416D-BCD8-BFB382C1AF63}"/>
    <cellStyle name="Comma 2 3 5 5" xfId="3605" xr:uid="{D35B397B-017D-4200-8785-5C20AD56742D}"/>
    <cellStyle name="Comma 2 3 5 5 2" xfId="7794" xr:uid="{33F4C279-3663-4D82-83ED-CDA9F94D3E7F}"/>
    <cellStyle name="Comma 2 3 5 6" xfId="4926" xr:uid="{2F9D9CED-5AAC-4533-A2F3-BB962272C4C2}"/>
    <cellStyle name="Comma 2 3 5 6 2" xfId="9097" xr:uid="{62722172-8D65-4616-8803-97F14F08D347}"/>
    <cellStyle name="Comma 2 3 5 7" xfId="6487" xr:uid="{444A6E2E-C183-4C98-B490-FFDFD548A29E}"/>
    <cellStyle name="Comma 2 3 6" xfId="2404" xr:uid="{84F7F180-2C40-41F4-85F3-93AAE3F5904B}"/>
    <cellStyle name="Comma 2 3 6 2" xfId="2644" xr:uid="{021029B3-482F-4887-B3AA-70D49AC74A76}"/>
    <cellStyle name="Comma 2 3 6 2 2" xfId="3992" xr:uid="{356CDC35-559D-4059-A811-26489839EC06}"/>
    <cellStyle name="Comma 2 3 6 2 2 2" xfId="8181" xr:uid="{2F9E4BC8-F886-45DC-BEA3-50796D42F9C6}"/>
    <cellStyle name="Comma 2 3 6 2 3" xfId="5313" xr:uid="{DDF4A3F0-F919-4D1D-B9A5-47926670CF56}"/>
    <cellStyle name="Comma 2 3 6 2 3 2" xfId="9484" xr:uid="{3A64E2BE-C64D-474C-9E8C-128E2E0C52BB}"/>
    <cellStyle name="Comma 2 3 6 2 4" xfId="6874" xr:uid="{76E839D9-BF11-41D3-A6D7-8583561BFACA}"/>
    <cellStyle name="Comma 2 3 6 3" xfId="3752" xr:uid="{8853E162-F5AA-4627-999A-4C586684B479}"/>
    <cellStyle name="Comma 2 3 6 3 2" xfId="7941" xr:uid="{E0A6AF4B-DB90-412F-B5E2-5A668423ED45}"/>
    <cellStyle name="Comma 2 3 6 4" xfId="5073" xr:uid="{662EF011-F29B-46DB-8181-B39B6A771F58}"/>
    <cellStyle name="Comma 2 3 6 4 2" xfId="9244" xr:uid="{4FDAF058-05EF-4A90-BAAC-3E1568184DEF}"/>
    <cellStyle name="Comma 2 3 6 5" xfId="6634" xr:uid="{340BF1B3-3F2E-4D24-8045-947B623638F5}"/>
    <cellStyle name="Comma 2 3 7" xfId="2433" xr:uid="{979DED23-4ED6-42CF-A078-673D9699F8EE}"/>
    <cellStyle name="Comma 2 3 7 2" xfId="2673" xr:uid="{B66854A3-CCDE-4410-B646-9B6EDC177D50}"/>
    <cellStyle name="Comma 2 3 7 2 2" xfId="4021" xr:uid="{E327B0A6-9277-4C90-89D3-138AB7B81593}"/>
    <cellStyle name="Comma 2 3 7 2 2 2" xfId="8210" xr:uid="{38536B4E-EEFD-4FCF-8245-922962307017}"/>
    <cellStyle name="Comma 2 3 7 2 3" xfId="5342" xr:uid="{9187E460-C862-4BE1-8971-5D32ADEFE61E}"/>
    <cellStyle name="Comma 2 3 7 2 3 2" xfId="9513" xr:uid="{05F9512D-5E54-4D9A-8736-F117600AA3C2}"/>
    <cellStyle name="Comma 2 3 7 2 4" xfId="6903" xr:uid="{D78EE416-C9A3-496F-A164-D4FABBEE995B}"/>
    <cellStyle name="Comma 2 3 7 3" xfId="3781" xr:uid="{F4D6B9BB-0FC0-44EE-8517-E633BDBF7A59}"/>
    <cellStyle name="Comma 2 3 7 3 2" xfId="7970" xr:uid="{56E92510-012B-4A96-A652-AE7DCD22EA71}"/>
    <cellStyle name="Comma 2 3 7 4" xfId="5102" xr:uid="{46DA3FFE-BC70-4CDE-B8E9-FA3DA3FA41FF}"/>
    <cellStyle name="Comma 2 3 7 4 2" xfId="9273" xr:uid="{68963B9E-513D-4129-9364-4FA1D1DFBE8E}"/>
    <cellStyle name="Comma 2 3 7 5" xfId="6663" xr:uid="{0972C0C2-2233-4AC4-A8BA-926A920BCA77}"/>
    <cellStyle name="Comma 2 3 8" xfId="2514" xr:uid="{8FC84E83-9367-4CCE-A80F-AC4479079F86}"/>
    <cellStyle name="Comma 2 3 8 2" xfId="3862" xr:uid="{4796F580-2DFD-489E-824E-479F304AA694}"/>
    <cellStyle name="Comma 2 3 8 2 2" xfId="8051" xr:uid="{EAAD8CF1-2DE7-43FA-91DC-A1421B14F583}"/>
    <cellStyle name="Comma 2 3 8 3" xfId="5183" xr:uid="{A42F3C1F-088E-43EA-94E2-843E1A459AE1}"/>
    <cellStyle name="Comma 2 3 8 3 2" xfId="9354" xr:uid="{BED239E9-520A-4345-8A5D-17516F1EE56E}"/>
    <cellStyle name="Comma 2 3 8 4" xfId="6744" xr:uid="{88D29184-104B-4FF0-BE5D-FA71E02929A4}"/>
    <cellStyle name="Comma 2 3 9" xfId="2268" xr:uid="{361568FB-D646-427B-9B44-B7401FB19ACF}"/>
    <cellStyle name="Comma 2 3 9 2" xfId="3622" xr:uid="{02F6FAD2-E220-48FC-91C8-DA6D18EB7774}"/>
    <cellStyle name="Comma 2 3 9 2 2" xfId="7811" xr:uid="{14D5399C-D950-42B9-AF4A-38DE201FC2CE}"/>
    <cellStyle name="Comma 2 3 9 3" xfId="4943" xr:uid="{36293E79-395D-4210-AF0A-D2AFAABD3105}"/>
    <cellStyle name="Comma 2 3 9 3 2" xfId="9114" xr:uid="{61393736-5363-4B51-B4CD-77612BBAFCC9}"/>
    <cellStyle name="Comma 2 3 9 4" xfId="6504" xr:uid="{781358C9-90B8-431D-86C6-B6974A573FB7}"/>
    <cellStyle name="Comma 2 4" xfId="172" xr:uid="{FD803E1F-BB8A-4B3F-AD7B-C8DB426C088B}"/>
    <cellStyle name="Comma 2 4 10" xfId="2848" xr:uid="{C1E0D85E-9B93-45B7-8CE8-463ABFCC59F3}"/>
    <cellStyle name="Comma 2 4 10 2" xfId="7059" xr:uid="{2908FB61-E387-46EC-8784-22215E4B0ADD}"/>
    <cellStyle name="Comma 2 4 11" xfId="4159" xr:uid="{B8BEE68E-F783-4331-8CB4-EF6B3A0D4F0B}"/>
    <cellStyle name="Comma 2 4 11 2" xfId="8348" xr:uid="{D9C56C6C-788E-4777-895D-1C299CFEE722}"/>
    <cellStyle name="Comma 2 4 12" xfId="5730" xr:uid="{8E5DBFC8-5EB6-454F-917D-436F35BFF302}"/>
    <cellStyle name="Comma 2 4 2" xfId="621" xr:uid="{0EC58F43-8C93-41FB-904C-9C89CBBBCB58}"/>
    <cellStyle name="Comma 2 4 2 10" xfId="5822" xr:uid="{30936006-78DC-4C1B-872E-844074F58A47}"/>
    <cellStyle name="Comma 2 4 2 2" xfId="1310" xr:uid="{726FA176-4B5C-4265-BE62-7620320F3097}"/>
    <cellStyle name="Comma 2 4 2 2 2" xfId="909" xr:uid="{60045B8C-7E63-4C40-A714-9D71C9514432}"/>
    <cellStyle name="Comma 2 4 2 2 2 2" xfId="908" xr:uid="{C2608B97-8BE4-4DE7-97CC-F258E82B889C}"/>
    <cellStyle name="Comma 2 4 2 2 2 2 2" xfId="748" xr:uid="{A2219C0A-073F-42CC-A6A3-BE8EE56EC156}"/>
    <cellStyle name="Comma 2 4 2 2 2 2 2 2" xfId="3025" xr:uid="{08DF6147-7DE8-4B7D-9C7D-BB4DB5C362F8}"/>
    <cellStyle name="Comma 2 4 2 2 2 2 2 2 2" xfId="7228" xr:uid="{4728A585-AC8B-4B49-BC2F-598E972E3E02}"/>
    <cellStyle name="Comma 2 4 2 2 2 2 2 3" xfId="4340" xr:uid="{34887BB5-1DDA-43AF-AE8E-1181C90E6BFE}"/>
    <cellStyle name="Comma 2 4 2 2 2 2 2 3 2" xfId="8525" xr:uid="{8276351D-8809-4367-90D5-FA900EC5CB08}"/>
    <cellStyle name="Comma 2 4 2 2 2 2 2 4" xfId="5909" xr:uid="{2ACF5755-9E15-42A8-ABC6-4CA038626C97}"/>
    <cellStyle name="Comma 2 4 2 2 2 2 3" xfId="2630" xr:uid="{4E517A17-0029-4A20-8574-DB7350A1A98D}"/>
    <cellStyle name="Comma 2 4 2 2 2 2 3 2" xfId="3978" xr:uid="{74F03DA0-C08A-491C-AE2D-6CA85C7108DA}"/>
    <cellStyle name="Comma 2 4 2 2 2 2 3 2 2" xfId="8167" xr:uid="{9B8877BD-D57F-4339-8F93-944117640F71}"/>
    <cellStyle name="Comma 2 4 2 2 2 2 3 3" xfId="5299" xr:uid="{73D5FD4C-544A-430B-89AF-A4F54D7E8C89}"/>
    <cellStyle name="Comma 2 4 2 2 2 2 3 3 2" xfId="9470" xr:uid="{9F954D5F-48F7-476C-AC91-37B3595C7631}"/>
    <cellStyle name="Comma 2 4 2 2 2 2 3 4" xfId="6860" xr:uid="{62033464-CE11-4729-AFE3-1B20C95B8A08}"/>
    <cellStyle name="Comma 2 4 2 2 2 2 4" xfId="3134" xr:uid="{39CF5353-1EFD-4447-880C-22D55B0A1D32}"/>
    <cellStyle name="Comma 2 4 2 2 2 2 4 2" xfId="7335" xr:uid="{F28722D7-CD94-42C2-83F5-9ADEF060BBC7}"/>
    <cellStyle name="Comma 2 4 2 2 2 2 5" xfId="4450" xr:uid="{587F0D37-5045-44C0-9CDA-A698E4C18A42}"/>
    <cellStyle name="Comma 2 4 2 2 2 2 5 2" xfId="8633" xr:uid="{D966DA1A-392C-4622-B5DE-BFB45AAD4094}"/>
    <cellStyle name="Comma 2 4 2 2 2 2 6" xfId="6018" xr:uid="{F8526A0F-49EA-4B46-9631-CE78FE23E266}"/>
    <cellStyle name="Comma 2 4 2 2 2 3" xfId="907" xr:uid="{84E8C111-8F28-4777-8F9E-513393E2E823}"/>
    <cellStyle name="Comma 2 4 2 2 2 3 2" xfId="3133" xr:uid="{9773F4E3-06D3-4E7F-9E75-9E751DE0CB42}"/>
    <cellStyle name="Comma 2 4 2 2 2 3 2 2" xfId="7334" xr:uid="{0D3DCD6C-C112-489E-B225-2AA0EDD2A78E}"/>
    <cellStyle name="Comma 2 4 2 2 2 3 3" xfId="4449" xr:uid="{D2508130-8C98-4244-83CF-0F73A7E5F3C7}"/>
    <cellStyle name="Comma 2 4 2 2 2 3 3 2" xfId="8632" xr:uid="{058061A8-967D-4E5B-8537-C1849DB0064F}"/>
    <cellStyle name="Comma 2 4 2 2 2 3 4" xfId="6017" xr:uid="{F69F6D6B-E013-4EC4-9D9D-C697BF9750D9}"/>
    <cellStyle name="Comma 2 4 2 2 2 4" xfId="2384" xr:uid="{01439051-0660-4DA0-BFC4-7BAF2B20A756}"/>
    <cellStyle name="Comma 2 4 2 2 2 4 2" xfId="3738" xr:uid="{6546074F-4642-48AC-96E8-009083F16846}"/>
    <cellStyle name="Comma 2 4 2 2 2 4 2 2" xfId="7927" xr:uid="{FA4454A9-4C46-479A-A1B7-B82C54C996EF}"/>
    <cellStyle name="Comma 2 4 2 2 2 4 3" xfId="5059" xr:uid="{B2C9297C-42DF-4AB4-8C5F-26EC90C42E93}"/>
    <cellStyle name="Comma 2 4 2 2 2 4 3 2" xfId="9230" xr:uid="{A7682F6D-B960-4AB9-8E25-20BFBDE3C11D}"/>
    <cellStyle name="Comma 2 4 2 2 2 4 4" xfId="6620" xr:uid="{C7A877A9-EFD3-470E-84FE-C90F40BA2C00}"/>
    <cellStyle name="Comma 2 4 2 2 2 5" xfId="3135" xr:uid="{609452C4-C802-44BC-84FE-026A54637591}"/>
    <cellStyle name="Comma 2 4 2 2 2 5 2" xfId="7336" xr:uid="{F8F6A673-0761-47BF-A54B-D91D2FFB7846}"/>
    <cellStyle name="Comma 2 4 2 2 2 6" xfId="4451" xr:uid="{021C029C-FD48-450D-A0C5-CD7484D22FB0}"/>
    <cellStyle name="Comma 2 4 2 2 2 6 2" xfId="8634" xr:uid="{50F08815-6464-42B3-83C2-8EDA8689D872}"/>
    <cellStyle name="Comma 2 4 2 2 2 7" xfId="6019" xr:uid="{EA4381DF-7823-4A12-845D-58A5B895750F}"/>
    <cellStyle name="Comma 2 4 2 2 3" xfId="906" xr:uid="{B32CA949-DB39-4B4B-A091-3C986639759C}"/>
    <cellStyle name="Comma 2 4 2 2 3 2" xfId="852" xr:uid="{763AF71E-226A-4828-B946-DD05C37A6FE0}"/>
    <cellStyle name="Comma 2 4 2 2 3 2 2" xfId="2725" xr:uid="{CA4017A6-C043-43B4-B9BC-D69F71F31809}"/>
    <cellStyle name="Comma 2 4 2 2 3 2 2 2" xfId="4073" xr:uid="{94C7D70D-FD2A-47EC-BF4A-06AF765E0379}"/>
    <cellStyle name="Comma 2 4 2 2 3 2 2 2 2" xfId="8262" xr:uid="{4622C493-01CD-4738-9197-CD73D3D1428B}"/>
    <cellStyle name="Comma 2 4 2 2 3 2 2 3" xfId="5394" xr:uid="{A968D85F-EA23-42AB-B73E-001B62D902CF}"/>
    <cellStyle name="Comma 2 4 2 2 3 2 2 3 2" xfId="9565" xr:uid="{3A167786-C587-46C3-B553-E34AEEB5C912}"/>
    <cellStyle name="Comma 2 4 2 2 3 2 2 4" xfId="6955" xr:uid="{4BE1FB80-B8D6-4E52-9BC0-9B73412F7FF9}"/>
    <cellStyle name="Comma 2 4 2 2 3 2 3" xfId="3095" xr:uid="{1ED470BC-E4A9-4AFD-98CF-0D50F930B051}"/>
    <cellStyle name="Comma 2 4 2 2 3 2 3 2" xfId="7296" xr:uid="{28E3AEB4-58A9-48E3-8AA5-07DA86DAEAC3}"/>
    <cellStyle name="Comma 2 4 2 2 3 2 4" xfId="4410" xr:uid="{1D762EF6-24F9-4182-A8CE-74E214F2F8A9}"/>
    <cellStyle name="Comma 2 4 2 2 3 2 4 2" xfId="8593" xr:uid="{8D7A7887-3AD4-4658-A8DE-A6DAEF338E70}"/>
    <cellStyle name="Comma 2 4 2 2 3 2 5" xfId="5977" xr:uid="{F53DDF2F-FA8D-4EB1-9F93-6223ED3B7E08}"/>
    <cellStyle name="Comma 2 4 2 2 3 3" xfId="2485" xr:uid="{BD2DEDF3-8517-44CB-B52A-72108CA2B3BA}"/>
    <cellStyle name="Comma 2 4 2 2 3 3 2" xfId="3833" xr:uid="{6AFA4FFF-E25E-4BCA-AC1E-F87C2D75EFF2}"/>
    <cellStyle name="Comma 2 4 2 2 3 3 2 2" xfId="8022" xr:uid="{490AB091-C967-4980-BFE5-F52C76E20E80}"/>
    <cellStyle name="Comma 2 4 2 2 3 3 3" xfId="5154" xr:uid="{6057B8FE-A1E4-4BC6-9144-B28AEABCEC7C}"/>
    <cellStyle name="Comma 2 4 2 2 3 3 3 2" xfId="9325" xr:uid="{252FEE93-99FF-4A8D-8F12-B5EF149E5CBC}"/>
    <cellStyle name="Comma 2 4 2 2 3 3 4" xfId="6715" xr:uid="{B763C998-2601-4AE2-8444-DB68F532F610}"/>
    <cellStyle name="Comma 2 4 2 2 3 4" xfId="3132" xr:uid="{E11FFF33-5AD8-4E6C-A2CA-E97E3A00072C}"/>
    <cellStyle name="Comma 2 4 2 2 3 4 2" xfId="7333" xr:uid="{2DAFB690-85DA-457F-8264-AE4E14AD9155}"/>
    <cellStyle name="Comma 2 4 2 2 3 5" xfId="4448" xr:uid="{D2A2E9A1-CCBA-4319-AAFF-CF52334DA0AC}"/>
    <cellStyle name="Comma 2 4 2 2 3 5 2" xfId="8631" xr:uid="{2411805E-BBB4-4C43-8EDD-328900CA8F19}"/>
    <cellStyle name="Comma 2 4 2 2 3 6" xfId="6016" xr:uid="{93BBA9B6-65A5-4933-BDE6-28808E02C0CB}"/>
    <cellStyle name="Comma 2 4 2 2 4" xfId="905" xr:uid="{13D41285-9C0C-4491-944C-2EBA4597C88D}"/>
    <cellStyle name="Comma 2 4 2 2 4 2" xfId="2566" xr:uid="{296CEF59-82B6-41CA-BB23-17D1174727C4}"/>
    <cellStyle name="Comma 2 4 2 2 4 2 2" xfId="3914" xr:uid="{BC0BCC25-07C3-4588-8CD3-FAC0580AD9E5}"/>
    <cellStyle name="Comma 2 4 2 2 4 2 2 2" xfId="8103" xr:uid="{62C219C5-56FE-4AC9-A213-297C81745284}"/>
    <cellStyle name="Comma 2 4 2 2 4 2 3" xfId="5235" xr:uid="{0993920F-2C71-49BF-A2F7-48A7C41D3554}"/>
    <cellStyle name="Comma 2 4 2 2 4 2 3 2" xfId="9406" xr:uid="{2A221614-FE7D-41C5-A96F-5177E3CB4D99}"/>
    <cellStyle name="Comma 2 4 2 2 4 2 4" xfId="6796" xr:uid="{0112C8B8-5FBB-4AF7-87E1-643015B6C5B3}"/>
    <cellStyle name="Comma 2 4 2 2 4 3" xfId="3131" xr:uid="{CC5ACE80-B2FB-4319-900D-E962C4180CDB}"/>
    <cellStyle name="Comma 2 4 2 2 4 3 2" xfId="7332" xr:uid="{A2E47544-D6C8-4602-9A99-23BC6154ADBE}"/>
    <cellStyle name="Comma 2 4 2 2 4 4" xfId="4447" xr:uid="{E34C38D0-DF8B-432D-B859-0B4C3AAF2E0B}"/>
    <cellStyle name="Comma 2 4 2 2 4 4 2" xfId="8630" xr:uid="{8C138729-99EF-4973-A8DD-8FBE536339B1}"/>
    <cellStyle name="Comma 2 4 2 2 4 5" xfId="6015" xr:uid="{27B46C30-E12B-463F-81B6-BA4631B85404}"/>
    <cellStyle name="Comma 2 4 2 2 5" xfId="2320" xr:uid="{75422D05-E18A-49D0-8B80-A5BE78FA315B}"/>
    <cellStyle name="Comma 2 4 2 2 5 2" xfId="3674" xr:uid="{187F2474-9185-4574-82D4-FE9FEF78C736}"/>
    <cellStyle name="Comma 2 4 2 2 5 2 2" xfId="7863" xr:uid="{463A6930-5CC4-4724-8EFA-A72D481017FF}"/>
    <cellStyle name="Comma 2 4 2 2 5 3" xfId="4995" xr:uid="{5EEE6727-2270-48E3-8DAD-24684423708D}"/>
    <cellStyle name="Comma 2 4 2 2 5 3 2" xfId="9166" xr:uid="{B1975D18-01BD-48BA-94EF-5B938E5374F3}"/>
    <cellStyle name="Comma 2 4 2 2 5 4" xfId="6556" xr:uid="{D444D3B4-4020-4DED-A34C-297077C9B4E7}"/>
    <cellStyle name="Comma 2 4 2 2 6" xfId="2159" xr:uid="{A8F57656-0307-412E-A924-A1F39C09B2A3}"/>
    <cellStyle name="Comma 2 4 2 2 6 2" xfId="3593" xr:uid="{DD47AE41-C316-469B-B9A1-B67858E94A96}"/>
    <cellStyle name="Comma 2 4 2 2 6 2 2" xfId="7782" xr:uid="{2B7554FF-A854-409E-9BA4-734AABF574EE}"/>
    <cellStyle name="Comma 2 4 2 2 6 3" xfId="4914" xr:uid="{652E20E4-FD94-4D13-83DB-7630CE6C3613}"/>
    <cellStyle name="Comma 2 4 2 2 6 3 2" xfId="9085" xr:uid="{F045A156-A7EA-4B05-B6B3-04F14A53EB76}"/>
    <cellStyle name="Comma 2 4 2 2 6 4" xfId="6475" xr:uid="{80739380-300C-47B6-8AC9-3C0631416971}"/>
    <cellStyle name="Comma 2 4 2 2 7" xfId="3486" xr:uid="{1BBC960F-739B-4792-B37E-9ABC0DC92A68}"/>
    <cellStyle name="Comma 2 4 2 2 7 2" xfId="7683" xr:uid="{9ACB97B8-0051-4543-8594-A9093479DF29}"/>
    <cellStyle name="Comma 2 4 2 2 8" xfId="4805" xr:uid="{E7B5164D-172D-4A89-AAB0-865D86181CF8}"/>
    <cellStyle name="Comma 2 4 2 2 8 2" xfId="8984" xr:uid="{C25DF9E1-808C-4693-85BC-83F4C35FBB85}"/>
    <cellStyle name="Comma 2 4 2 2 9" xfId="6369" xr:uid="{99710377-595A-4D9D-A3D2-11F7F87BB275}"/>
    <cellStyle name="Comma 2 4 2 3" xfId="862" xr:uid="{71EFACE8-2276-48C0-9FED-28F5337AD478}"/>
    <cellStyle name="Comma 2 4 2 3 2" xfId="974" xr:uid="{19C79466-88AA-4136-B6B5-64E757A8AF72}"/>
    <cellStyle name="Comma 2 4 2 3 2 2" xfId="904" xr:uid="{EF2DE28C-7B2B-41BB-A791-AC3E10BB8029}"/>
    <cellStyle name="Comma 2 4 2 3 2 2 2" xfId="3130" xr:uid="{E86151AF-2CE2-4995-B272-1ABE30847206}"/>
    <cellStyle name="Comma 2 4 2 3 2 2 2 2" xfId="7331" xr:uid="{E6B1714D-4DC6-4A4F-A569-81756DD73B57}"/>
    <cellStyle name="Comma 2 4 2 3 2 2 3" xfId="4446" xr:uid="{96E12407-27B9-4217-9824-273C33A6D425}"/>
    <cellStyle name="Comma 2 4 2 3 2 2 3 2" xfId="8629" xr:uid="{D4CC615F-155F-44A4-8189-D88C2702CDF7}"/>
    <cellStyle name="Comma 2 4 2 3 2 2 4" xfId="6014" xr:uid="{A6DFD445-5552-4413-87A2-325A655CFB32}"/>
    <cellStyle name="Comma 2 4 2 3 2 3" xfId="2598" xr:uid="{004F8491-3EC2-48C9-996C-6268AEEB923A}"/>
    <cellStyle name="Comma 2 4 2 3 2 3 2" xfId="3946" xr:uid="{AC14389C-7241-4493-9A53-1C235D7E6B83}"/>
    <cellStyle name="Comma 2 4 2 3 2 3 2 2" xfId="8135" xr:uid="{8778AFD0-46F2-4E10-942D-E55B01A776EA}"/>
    <cellStyle name="Comma 2 4 2 3 2 3 3" xfId="5267" xr:uid="{A293F787-B486-4FD1-BFB7-8614FEC79FA6}"/>
    <cellStyle name="Comma 2 4 2 3 2 3 3 2" xfId="9438" xr:uid="{F7627933-10C1-4B64-B987-0F8E438AB4FB}"/>
    <cellStyle name="Comma 2 4 2 3 2 3 4" xfId="6828" xr:uid="{18173492-360B-448C-9648-4AD8C52452C5}"/>
    <cellStyle name="Comma 2 4 2 3 2 4" xfId="3183" xr:uid="{0B8A6004-7B63-406D-BB23-B26B238E6C90}"/>
    <cellStyle name="Comma 2 4 2 3 2 4 2" xfId="7384" xr:uid="{4DFF3BA6-B187-4002-88A7-A859DA88C848}"/>
    <cellStyle name="Comma 2 4 2 3 2 5" xfId="4500" xr:uid="{46F293FC-45FD-43D6-BE43-0C1E0DEEA9E0}"/>
    <cellStyle name="Comma 2 4 2 3 2 5 2" xfId="8683" xr:uid="{C12C81F2-1A61-42C3-A1DB-C235B1B9EE30}"/>
    <cellStyle name="Comma 2 4 2 3 2 6" xfId="6068" xr:uid="{EBB7A6B1-35D6-4E6F-B009-0B7942810C14}"/>
    <cellStyle name="Comma 2 4 2 3 3" xfId="875" xr:uid="{DEF4F1F8-F282-4572-AF37-188DF880133F}"/>
    <cellStyle name="Comma 2 4 2 3 3 2" xfId="3110" xr:uid="{B8B51C55-DC5B-470E-9D2C-1D7C3943F785}"/>
    <cellStyle name="Comma 2 4 2 3 3 2 2" xfId="7311" xr:uid="{E9C22266-0714-4ABC-866E-B9FA3BA1BB92}"/>
    <cellStyle name="Comma 2 4 2 3 3 3" xfId="4425" xr:uid="{D8C86530-F60F-4F44-B6AF-1C275115F9B7}"/>
    <cellStyle name="Comma 2 4 2 3 3 3 2" xfId="8608" xr:uid="{2B7BA82E-365B-4574-8C5D-0787F56D09C1}"/>
    <cellStyle name="Comma 2 4 2 3 3 4" xfId="5992" xr:uid="{DDBCFAAB-766A-492F-80ED-39EC0D440765}"/>
    <cellStyle name="Comma 2 4 2 3 4" xfId="2352" xr:uid="{36272729-D109-488C-B457-690A357764E8}"/>
    <cellStyle name="Comma 2 4 2 3 4 2" xfId="3706" xr:uid="{3F8D9132-A617-4FCB-AA53-EFCFF2D352D3}"/>
    <cellStyle name="Comma 2 4 2 3 4 2 2" xfId="7895" xr:uid="{7CC53C9E-3A77-4E09-9050-30BCBD80BD9F}"/>
    <cellStyle name="Comma 2 4 2 3 4 3" xfId="5027" xr:uid="{639CAF24-2B13-4320-B0B8-2E150C39BFEC}"/>
    <cellStyle name="Comma 2 4 2 3 4 3 2" xfId="9198" xr:uid="{86C93386-5735-435F-A34D-0186D70D0EEF}"/>
    <cellStyle name="Comma 2 4 2 3 4 4" xfId="6588" xr:uid="{41EF911F-6E6B-4729-8DD2-4C0B74BF4566}"/>
    <cellStyle name="Comma 2 4 2 3 5" xfId="3104" xr:uid="{97B90ACA-2276-437E-AF13-96425051B274}"/>
    <cellStyle name="Comma 2 4 2 3 5 2" xfId="7305" xr:uid="{163EEFF1-FC51-471B-BB35-6F96A3494B7E}"/>
    <cellStyle name="Comma 2 4 2 3 6" xfId="4419" xr:uid="{C6252E0E-09F7-4CBB-9E6D-5785C7A768BF}"/>
    <cellStyle name="Comma 2 4 2 3 6 2" xfId="8602" xr:uid="{FD3D513B-CC75-4675-9206-9365C8A969DB}"/>
    <cellStyle name="Comma 2 4 2 3 7" xfId="5986" xr:uid="{FCB43793-EF17-48CC-964A-4901981772D7}"/>
    <cellStyle name="Comma 2 4 2 4" xfId="903" xr:uid="{E10317D3-61D1-4C24-A0E1-82EB996420E6}"/>
    <cellStyle name="Comma 2 4 2 4 2" xfId="1343" xr:uid="{49A23DB9-3885-4638-BB4C-B766AE48C748}"/>
    <cellStyle name="Comma 2 4 2 4 2 2" xfId="2693" xr:uid="{6F83AB0F-6B37-4A66-8D5B-44FBAA97E58D}"/>
    <cellStyle name="Comma 2 4 2 4 2 2 2" xfId="4041" xr:uid="{86A7FB5F-121D-416E-B498-5147F7459E38}"/>
    <cellStyle name="Comma 2 4 2 4 2 2 2 2" xfId="8230" xr:uid="{E1FBC702-2375-4696-BC5B-3A311A7DAA8A}"/>
    <cellStyle name="Comma 2 4 2 4 2 2 3" xfId="5362" xr:uid="{0146BB4E-E3AD-44CC-9EAB-BBA8A57E7BBB}"/>
    <cellStyle name="Comma 2 4 2 4 2 2 3 2" xfId="9533" xr:uid="{3A1FA7EE-1B52-4570-BDC0-90F8D0390F3B}"/>
    <cellStyle name="Comma 2 4 2 4 2 2 4" xfId="6923" xr:uid="{9942E456-350A-4BCC-84B4-FC8074A4CD2A}"/>
    <cellStyle name="Comma 2 4 2 4 2 3" xfId="3509" xr:uid="{6C3515B3-FADE-4080-B4D5-FEBB3E94996B}"/>
    <cellStyle name="Comma 2 4 2 4 2 3 2" xfId="7706" xr:uid="{767AD775-7125-4EB7-91F2-F1AFF3B65F6B}"/>
    <cellStyle name="Comma 2 4 2 4 2 4" xfId="4829" xr:uid="{78246D4C-F034-466E-8561-99E3BA2C5F11}"/>
    <cellStyle name="Comma 2 4 2 4 2 4 2" xfId="9008" xr:uid="{EA0A35E4-AA3A-4E35-86E7-3F6DF7DFDEB7}"/>
    <cellStyle name="Comma 2 4 2 4 2 5" xfId="6393" xr:uid="{B27FB1FA-CA55-4776-ACE1-D284F597916A}"/>
    <cellStyle name="Comma 2 4 2 4 3" xfId="2453" xr:uid="{79B05918-05CE-40D9-94E6-CABDC49A6F3E}"/>
    <cellStyle name="Comma 2 4 2 4 3 2" xfId="3801" xr:uid="{87C21A1F-A558-440B-A7DB-0CC257924173}"/>
    <cellStyle name="Comma 2 4 2 4 3 2 2" xfId="7990" xr:uid="{75585ED2-2041-4238-9E84-01C96017BFB9}"/>
    <cellStyle name="Comma 2 4 2 4 3 3" xfId="5122" xr:uid="{60915085-83C4-4FAC-830C-BD40F9E117D0}"/>
    <cellStyle name="Comma 2 4 2 4 3 3 2" xfId="9293" xr:uid="{8F05C0A8-720B-410E-8814-3762D76D96F1}"/>
    <cellStyle name="Comma 2 4 2 4 3 4" xfId="6683" xr:uid="{0E6AD5A5-4C86-4B70-B9EE-D131BA5F35BD}"/>
    <cellStyle name="Comma 2 4 2 4 4" xfId="3129" xr:uid="{AFA34850-2046-4319-B235-45D7404413E0}"/>
    <cellStyle name="Comma 2 4 2 4 4 2" xfId="7330" xr:uid="{5C978FDD-B714-4BF7-A931-38CED464F852}"/>
    <cellStyle name="Comma 2 4 2 4 5" xfId="4445" xr:uid="{7974AAC6-77CD-41E0-92B2-8160EAB90FF2}"/>
    <cellStyle name="Comma 2 4 2 4 5 2" xfId="8628" xr:uid="{FCD447A6-F33F-4BB8-9213-B241464C3465}"/>
    <cellStyle name="Comma 2 4 2 4 6" xfId="6013" xr:uid="{4E6F519A-3C21-418D-AA9A-564EB5F26393}"/>
    <cellStyle name="Comma 2 4 2 5" xfId="747" xr:uid="{F5F8A322-9F05-457D-A898-D22F69FA145B}"/>
    <cellStyle name="Comma 2 4 2 5 2" xfId="2534" xr:uid="{DD545851-D299-4564-8812-2CDC8EA6D2F5}"/>
    <cellStyle name="Comma 2 4 2 5 2 2" xfId="3882" xr:uid="{D80A17FA-B4F3-455F-822E-FAEE10BB2E72}"/>
    <cellStyle name="Comma 2 4 2 5 2 2 2" xfId="8071" xr:uid="{1B28472D-9940-4AE9-A298-D97BAA178B55}"/>
    <cellStyle name="Comma 2 4 2 5 2 3" xfId="5203" xr:uid="{478125E0-1AA1-4776-9E25-67B9991B6BDF}"/>
    <cellStyle name="Comma 2 4 2 5 2 3 2" xfId="9374" xr:uid="{2B11B17F-29F7-4D1B-952F-444C2E86750D}"/>
    <cellStyle name="Comma 2 4 2 5 2 4" xfId="6764" xr:uid="{621BD7E9-5F22-41D2-8088-3BFD52C5B00B}"/>
    <cellStyle name="Comma 2 4 2 5 3" xfId="3024" xr:uid="{BB68E8DD-C1AC-44A2-BB0B-306C2BFF9F90}"/>
    <cellStyle name="Comma 2 4 2 5 3 2" xfId="7227" xr:uid="{3B4AA2ED-F557-422A-8A17-63B01E122C32}"/>
    <cellStyle name="Comma 2 4 2 5 4" xfId="4339" xr:uid="{302F9A13-34DF-4C83-B1B5-3855C93C76D9}"/>
    <cellStyle name="Comma 2 4 2 5 4 2" xfId="8524" xr:uid="{AD53A668-009B-4AB0-97A0-A560272FF07B}"/>
    <cellStyle name="Comma 2 4 2 5 5" xfId="5908" xr:uid="{AF4349EA-A78C-4C11-9772-7D9F49A2876E}"/>
    <cellStyle name="Comma 2 4 2 6" xfId="1031" xr:uid="{B3873A08-22D4-4CF9-92C0-BC9C6D683065}"/>
    <cellStyle name="Comma 2 4 2 6 2" xfId="2288" xr:uid="{61EFDBAE-85D6-42D9-8C91-1C40EAC5A4DD}"/>
    <cellStyle name="Comma 2 4 2 6 2 2" xfId="3642" xr:uid="{AE4EBC16-86BF-4BDC-A706-570752F38D58}"/>
    <cellStyle name="Comma 2 4 2 6 2 2 2" xfId="7831" xr:uid="{4F40C496-27B2-4D39-9818-91925A0CA74C}"/>
    <cellStyle name="Comma 2 4 2 6 2 3" xfId="4963" xr:uid="{EBB1684F-D6D9-4924-8A53-A1657A2566BB}"/>
    <cellStyle name="Comma 2 4 2 6 2 3 2" xfId="9134" xr:uid="{71E22C7D-7307-4B69-ADCA-E92FA6B9C67F}"/>
    <cellStyle name="Comma 2 4 2 6 2 4" xfId="6524" xr:uid="{F8FDBD02-87E5-43B0-84BD-55834BF3D164}"/>
    <cellStyle name="Comma 2 4 2 6 3" xfId="3239" xr:uid="{2E5BA0D8-7228-4489-AFBF-3BA35414B62F}"/>
    <cellStyle name="Comma 2 4 2 6 3 2" xfId="7440" xr:uid="{FFA4454A-D167-41BA-B7ED-501651F6D2CA}"/>
    <cellStyle name="Comma 2 4 2 6 4" xfId="4556" xr:uid="{B674AEC1-9C9C-4959-80D9-DC32E079FEAA}"/>
    <cellStyle name="Comma 2 4 2 6 4 2" xfId="8739" xr:uid="{D5D944F0-243C-4610-A656-EE8DE40DA39C}"/>
    <cellStyle name="Comma 2 4 2 6 5" xfId="6124" xr:uid="{A1B0EDE4-67CD-4EB1-BAB9-45529A7128AD}"/>
    <cellStyle name="Comma 2 4 2 7" xfId="2124" xr:uid="{2AF62410-9158-4BF3-BACA-818265D31290}"/>
    <cellStyle name="Comma 2 4 2 7 2" xfId="3561" xr:uid="{8290909C-0F45-458F-B932-821A44F8E2EE}"/>
    <cellStyle name="Comma 2 4 2 7 2 2" xfId="7750" xr:uid="{D1D36821-8A2B-4225-A83A-422DA2DD437E}"/>
    <cellStyle name="Comma 2 4 2 7 3" xfId="4882" xr:uid="{31579C7A-A0C8-44B4-B4C1-D24001D79806}"/>
    <cellStyle name="Comma 2 4 2 7 3 2" xfId="9053" xr:uid="{FA84F70D-BB1C-4004-963F-F0CE21223BAF}"/>
    <cellStyle name="Comma 2 4 2 7 4" xfId="6443" xr:uid="{11EE71BA-4327-45F4-BA4E-58BE7429D348}"/>
    <cellStyle name="Comma 2 4 2 8" xfId="2942" xr:uid="{5D6DF771-F15A-4451-A015-A6E0D1A4C077}"/>
    <cellStyle name="Comma 2 4 2 8 2" xfId="7145" xr:uid="{4D6E7641-0044-4F90-B6FF-67FFB4BDCB80}"/>
    <cellStyle name="Comma 2 4 2 9" xfId="4253" xr:uid="{211D7D22-64D2-4E5B-A8D1-803E192C275D}"/>
    <cellStyle name="Comma 2 4 2 9 2" xfId="8438" xr:uid="{EACD2DEF-3332-4607-BE5A-AB13DB5A9F73}"/>
    <cellStyle name="Comma 2 4 3" xfId="902" xr:uid="{4DAAA4A7-8DD8-4419-93CC-E998B3CAA717}"/>
    <cellStyle name="Comma 2 4 3 2" xfId="1058" xr:uid="{28E4E34E-897A-423E-B1FE-80FA3F945355}"/>
    <cellStyle name="Comma 2 4 3 2 2" xfId="1322" xr:uid="{E246290D-58B8-4587-8045-36B7B2F1775D}"/>
    <cellStyle name="Comma 2 4 3 2 2 2" xfId="901" xr:uid="{57152ECA-6394-4A33-9C46-B4AF40C51DBC}"/>
    <cellStyle name="Comma 2 4 3 2 2 2 2" xfId="3127" xr:uid="{8123CB81-FC0D-4DD7-AFE3-3F3D7C89F585}"/>
    <cellStyle name="Comma 2 4 3 2 2 2 2 2" xfId="7328" xr:uid="{B08FEEDA-1318-4AD4-BE03-ACDBE1A77EC9}"/>
    <cellStyle name="Comma 2 4 3 2 2 2 3" xfId="4443" xr:uid="{44C0BA14-35DD-4E12-A8DE-445215543F47}"/>
    <cellStyle name="Comma 2 4 3 2 2 2 3 2" xfId="8626" xr:uid="{6DFC8E68-0F87-4811-955E-571FC98FFFC9}"/>
    <cellStyle name="Comma 2 4 3 2 2 2 4" xfId="6011" xr:uid="{759EAC94-A09A-4C31-8071-4C5EC52B0202}"/>
    <cellStyle name="Comma 2 4 3 2 2 3" xfId="2614" xr:uid="{C5F25426-AB8A-452D-B207-C86C9BDB08EC}"/>
    <cellStyle name="Comma 2 4 3 2 2 3 2" xfId="3962" xr:uid="{040BA5C4-B6E5-4B64-927E-D7D7C34A3040}"/>
    <cellStyle name="Comma 2 4 3 2 2 3 2 2" xfId="8151" xr:uid="{F3FF91F8-0021-4C9D-8BAE-8F74B1B56400}"/>
    <cellStyle name="Comma 2 4 3 2 2 3 3" xfId="5283" xr:uid="{54C52B86-0479-4814-84A5-FA5DAD99C660}"/>
    <cellStyle name="Comma 2 4 3 2 2 3 3 2" xfId="9454" xr:uid="{98F3A33D-FCFF-49A3-B294-74D4408D7D8C}"/>
    <cellStyle name="Comma 2 4 3 2 2 3 4" xfId="6844" xr:uid="{92294CEC-64A8-4B4E-93F9-B92867A80BC8}"/>
    <cellStyle name="Comma 2 4 3 2 2 4" xfId="3498" xr:uid="{0C01FFF0-40BB-4942-A3BB-BE3D3C8A9587}"/>
    <cellStyle name="Comma 2 4 3 2 2 4 2" xfId="7695" xr:uid="{F38B8AA5-6FBE-422C-9A5D-CD199AC455D5}"/>
    <cellStyle name="Comma 2 4 3 2 2 5" xfId="4817" xr:uid="{CD3026B6-F76B-453E-800B-5663A1FDE516}"/>
    <cellStyle name="Comma 2 4 3 2 2 5 2" xfId="8996" xr:uid="{60414D7B-61E8-4711-9E23-8029B307CD11}"/>
    <cellStyle name="Comma 2 4 3 2 2 6" xfId="6381" xr:uid="{EA75CBA9-4334-4B7B-95F0-02BABD248870}"/>
    <cellStyle name="Comma 2 4 3 2 3" xfId="1357" xr:uid="{68F42474-BFE4-413F-BEAE-F6F8C72D0D29}"/>
    <cellStyle name="Comma 2 4 3 2 3 2" xfId="3514" xr:uid="{7E7602A1-2A48-4246-8F34-40761FDFC9A5}"/>
    <cellStyle name="Comma 2 4 3 2 3 2 2" xfId="7711" xr:uid="{164F6671-F693-4E9D-B150-8CF64A52005A}"/>
    <cellStyle name="Comma 2 4 3 2 3 3" xfId="4834" xr:uid="{526DF971-1D53-4C30-98AE-1E91D5C6F754}"/>
    <cellStyle name="Comma 2 4 3 2 3 3 2" xfId="9013" xr:uid="{DD138D16-8920-4DEA-96BE-05A3D5DF51BE}"/>
    <cellStyle name="Comma 2 4 3 2 3 4" xfId="6398" xr:uid="{CEC34F54-B54B-4315-A301-0B807F1FB46A}"/>
    <cellStyle name="Comma 2 4 3 2 4" xfId="2368" xr:uid="{6A8A3C12-EDD1-4BD7-BDBA-A8EBFD6A2C1E}"/>
    <cellStyle name="Comma 2 4 3 2 4 2" xfId="3722" xr:uid="{51312CC2-87D3-4B07-B52D-A8016941C3F8}"/>
    <cellStyle name="Comma 2 4 3 2 4 2 2" xfId="7911" xr:uid="{6AE6A2CB-DF57-42E1-B91A-A5B6E62D87CF}"/>
    <cellStyle name="Comma 2 4 3 2 4 3" xfId="5043" xr:uid="{B127C1CB-AA53-4ED5-B2BF-932B65599645}"/>
    <cellStyle name="Comma 2 4 3 2 4 3 2" xfId="9214" xr:uid="{D6A3B89B-466C-4431-96F4-3250759DAEEF}"/>
    <cellStyle name="Comma 2 4 3 2 4 4" xfId="6604" xr:uid="{410423B2-0E58-4986-B330-8AEC47AE4E7F}"/>
    <cellStyle name="Comma 2 4 3 2 5" xfId="3260" xr:uid="{4B9B40FD-727C-47E7-9ED4-DB1D96046428}"/>
    <cellStyle name="Comma 2 4 3 2 5 2" xfId="7458" xr:uid="{3C519288-93B5-4D9D-ADBD-849F7A045ADB}"/>
    <cellStyle name="Comma 2 4 3 2 6" xfId="4577" xr:uid="{535C8032-D479-4D0A-A9F5-0A447D5628F0}"/>
    <cellStyle name="Comma 2 4 3 2 6 2" xfId="8757" xr:uid="{5768966D-318F-409A-9C5C-FBE0B5C709D9}"/>
    <cellStyle name="Comma 2 4 3 2 7" xfId="6142" xr:uid="{62F80020-0126-485F-B635-774969622FF0}"/>
    <cellStyle name="Comma 2 4 3 3" xfId="900" xr:uid="{01225E05-3D7D-47F6-9CA9-564FF21784E3}"/>
    <cellStyle name="Comma 2 4 3 3 2" xfId="746" xr:uid="{5321B1F0-1D9A-4626-B386-079654F6F0EA}"/>
    <cellStyle name="Comma 2 4 3 3 2 2" xfId="2709" xr:uid="{882291C5-0C42-4DA2-9250-9EC6DF64B359}"/>
    <cellStyle name="Comma 2 4 3 3 2 2 2" xfId="4057" xr:uid="{C748C937-3787-45E1-8017-3E015350C609}"/>
    <cellStyle name="Comma 2 4 3 3 2 2 2 2" xfId="8246" xr:uid="{612B2409-4859-4AB1-B02C-A93B3A46A0D4}"/>
    <cellStyle name="Comma 2 4 3 3 2 2 3" xfId="5378" xr:uid="{44FFF90B-1205-41D3-ADC7-638564A88AF1}"/>
    <cellStyle name="Comma 2 4 3 3 2 2 3 2" xfId="9549" xr:uid="{800FF2F9-71B2-4219-BFD0-CF59C78401E6}"/>
    <cellStyle name="Comma 2 4 3 3 2 2 4" xfId="6939" xr:uid="{6E15E711-4887-4454-AFAA-8C95F1E0E008}"/>
    <cellStyle name="Comma 2 4 3 3 2 3" xfId="3023" xr:uid="{48F2004A-2A6E-400A-86EB-02516DC1BB23}"/>
    <cellStyle name="Comma 2 4 3 3 2 3 2" xfId="7226" xr:uid="{7D5D5100-F67E-4B35-8413-0382B6489E3C}"/>
    <cellStyle name="Comma 2 4 3 3 2 4" xfId="4338" xr:uid="{B351E717-D6C5-40EF-8287-B8BA96914EB2}"/>
    <cellStyle name="Comma 2 4 3 3 2 4 2" xfId="8523" xr:uid="{7B94D05F-A277-408A-BB6D-0909CC3A3AFA}"/>
    <cellStyle name="Comma 2 4 3 3 2 5" xfId="5907" xr:uid="{EC8B2704-B55B-41FE-A7F9-00D251F0AB0D}"/>
    <cellStyle name="Comma 2 4 3 3 3" xfId="2469" xr:uid="{85A59E3D-2E0C-446E-9D01-15D67BBEDDF5}"/>
    <cellStyle name="Comma 2 4 3 3 3 2" xfId="3817" xr:uid="{A8F36ABE-1B47-49A2-B779-0A058851F3ED}"/>
    <cellStyle name="Comma 2 4 3 3 3 2 2" xfId="8006" xr:uid="{266811CF-8914-4D67-8074-FFDD63C6D3F8}"/>
    <cellStyle name="Comma 2 4 3 3 3 3" xfId="5138" xr:uid="{A114DB4A-1F0E-44F6-94FE-D121A23F81A8}"/>
    <cellStyle name="Comma 2 4 3 3 3 3 2" xfId="9309" xr:uid="{182774AF-C9DC-4987-B70A-3F58D7770421}"/>
    <cellStyle name="Comma 2 4 3 3 3 4" xfId="6699" xr:uid="{17C1EC1F-31FF-4B7B-A975-5C2BC5937C02}"/>
    <cellStyle name="Comma 2 4 3 3 4" xfId="3126" xr:uid="{362EBCB1-10CC-4F28-9A4E-E53EEC7780E0}"/>
    <cellStyle name="Comma 2 4 3 3 4 2" xfId="7327" xr:uid="{8D3E4167-A4F9-4BDB-9FEB-F4987A58FD4D}"/>
    <cellStyle name="Comma 2 4 3 3 5" xfId="4442" xr:uid="{358E8405-5354-4B95-ABA9-31568A8FF801}"/>
    <cellStyle name="Comma 2 4 3 3 5 2" xfId="8625" xr:uid="{89808CA4-180D-4EEF-9EF9-D1B7A1E41FD2}"/>
    <cellStyle name="Comma 2 4 3 3 6" xfId="6010" xr:uid="{C565BC0B-ED2F-4D2F-91A0-39AFAD37AC98}"/>
    <cellStyle name="Comma 2 4 3 4" xfId="1334" xr:uid="{3E97637D-6EA5-4886-809D-430D56E829CA}"/>
    <cellStyle name="Comma 2 4 3 4 2" xfId="2550" xr:uid="{0EB36BAD-F691-4EA9-98A3-21ADC8719B47}"/>
    <cellStyle name="Comma 2 4 3 4 2 2" xfId="3898" xr:uid="{7D992D21-106B-44F7-96C7-A30C914F306D}"/>
    <cellStyle name="Comma 2 4 3 4 2 2 2" xfId="8087" xr:uid="{A6862950-E45D-473E-80D8-884FD00E90AA}"/>
    <cellStyle name="Comma 2 4 3 4 2 3" xfId="5219" xr:uid="{7980C9A9-5D43-4AA4-88F6-44581A2869CB}"/>
    <cellStyle name="Comma 2 4 3 4 2 3 2" xfId="9390" xr:uid="{6BBC78EB-18E9-41D3-8F40-8B11DF5C6470}"/>
    <cellStyle name="Comma 2 4 3 4 2 4" xfId="6780" xr:uid="{C088B29A-C2A1-4434-8E00-9DE2C2DC3325}"/>
    <cellStyle name="Comma 2 4 3 4 3" xfId="3507" xr:uid="{B923CB7F-B64F-4273-BF71-F3DE0386D8B9}"/>
    <cellStyle name="Comma 2 4 3 4 3 2" xfId="7704" xr:uid="{CF852641-7B0E-46C3-A74B-AADF0D310B87}"/>
    <cellStyle name="Comma 2 4 3 4 4" xfId="4826" xr:uid="{A6B7EA78-7292-4C21-A498-3CC1B7D3D807}"/>
    <cellStyle name="Comma 2 4 3 4 4 2" xfId="9005" xr:uid="{55A5F117-E19B-4D12-B275-45129FD287A9}"/>
    <cellStyle name="Comma 2 4 3 4 5" xfId="6390" xr:uid="{F51A71F1-6BED-495C-8DD5-7A69A7F45493}"/>
    <cellStyle name="Comma 2 4 3 5" xfId="2304" xr:uid="{276EDFF8-3805-4737-90DA-A674073B513B}"/>
    <cellStyle name="Comma 2 4 3 5 2" xfId="3658" xr:uid="{0F76B694-B376-4B8D-A9E5-1774F7F2C949}"/>
    <cellStyle name="Comma 2 4 3 5 2 2" xfId="7847" xr:uid="{592378FB-2DCF-4269-BACE-0DAF79AE3D20}"/>
    <cellStyle name="Comma 2 4 3 5 3" xfId="4979" xr:uid="{27A8A3D3-4D86-4EB4-8EFF-F7B317A5329F}"/>
    <cellStyle name="Comma 2 4 3 5 3 2" xfId="9150" xr:uid="{FA6C42A5-2A90-467E-B55D-222CFFFCF553}"/>
    <cellStyle name="Comma 2 4 3 5 4" xfId="6540" xr:uid="{F46B1602-79F5-4E84-96C1-B8BF7F33BD31}"/>
    <cellStyle name="Comma 2 4 3 6" xfId="2143" xr:uid="{6859E312-6842-4407-B596-0D152AAC187D}"/>
    <cellStyle name="Comma 2 4 3 6 2" xfId="3577" xr:uid="{474AA2E8-ECF8-424E-A879-90A4EDABCF7B}"/>
    <cellStyle name="Comma 2 4 3 6 2 2" xfId="7766" xr:uid="{EE821E43-C2CF-484D-83A1-B24A93BC5707}"/>
    <cellStyle name="Comma 2 4 3 6 3" xfId="4898" xr:uid="{D498B016-727E-46CF-8763-E47B71F41692}"/>
    <cellStyle name="Comma 2 4 3 6 3 2" xfId="9069" xr:uid="{B62F4723-2C3E-4C56-8D24-1F6D5BE67245}"/>
    <cellStyle name="Comma 2 4 3 6 4" xfId="6459" xr:uid="{DAD2F3CF-BE94-435E-AACE-48DC21EAFE50}"/>
    <cellStyle name="Comma 2 4 3 7" xfId="3128" xr:uid="{27145E82-9DB9-4B1B-A5B2-788B5AF023D7}"/>
    <cellStyle name="Comma 2 4 3 7 2" xfId="7329" xr:uid="{7BED3E61-BBB0-4761-8A5F-365056464B8E}"/>
    <cellStyle name="Comma 2 4 3 8" xfId="4444" xr:uid="{74573F85-4DB1-40A9-8052-D8C5432034A1}"/>
    <cellStyle name="Comma 2 4 3 8 2" xfId="8627" xr:uid="{DA45F6E3-30E9-42BA-9916-EEE929024625}"/>
    <cellStyle name="Comma 2 4 3 9" xfId="6012" xr:uid="{C38D0A01-C55F-4530-951F-5ABC8B649905}"/>
    <cellStyle name="Comma 2 4 4" xfId="745" xr:uid="{104C6E7F-4A02-46E6-9398-33CABCA0F860}"/>
    <cellStyle name="Comma 2 4 4 2" xfId="728" xr:uid="{6D07B368-769B-45F9-976F-73929AE8FFF0}"/>
    <cellStyle name="Comma 2 4 4 2 2" xfId="744" xr:uid="{8AF10AD1-ACC6-4146-8912-380E2988E8A0}"/>
    <cellStyle name="Comma 2 4 4 2 2 2" xfId="2741" xr:uid="{B7EB7F96-C2CD-4910-B944-9E4F45A61564}"/>
    <cellStyle name="Comma 2 4 4 2 2 2 2" xfId="4089" xr:uid="{56771996-F84B-44FA-B709-27542B8C6724}"/>
    <cellStyle name="Comma 2 4 4 2 2 2 2 2" xfId="8278" xr:uid="{90EE4E8B-87A1-47CD-B6E7-E2BF70D46CCC}"/>
    <cellStyle name="Comma 2 4 4 2 2 2 3" xfId="5410" xr:uid="{D27125CF-721C-44A6-B7F8-7559A09D4607}"/>
    <cellStyle name="Comma 2 4 4 2 2 2 3 2" xfId="9581" xr:uid="{BD762D8C-7AB5-43BB-A2A4-BA552B225741}"/>
    <cellStyle name="Comma 2 4 4 2 2 2 4" xfId="6971" xr:uid="{A1198D07-4F6F-4CA8-A29A-0B448FDFD301}"/>
    <cellStyle name="Comma 2 4 4 2 2 3" xfId="3021" xr:uid="{26441B7B-BE36-4932-9258-4576E82919C0}"/>
    <cellStyle name="Comma 2 4 4 2 2 3 2" xfId="7224" xr:uid="{4FA83E2C-D2D5-4C2F-BD80-75726E1AB2D0}"/>
    <cellStyle name="Comma 2 4 4 2 2 4" xfId="4336" xr:uid="{FBF4CD18-E62C-4BD1-BDD8-E40BA739DF30}"/>
    <cellStyle name="Comma 2 4 4 2 2 4 2" xfId="8521" xr:uid="{13B6F3EF-B61D-41EB-9DD1-252EAE9C0F67}"/>
    <cellStyle name="Comma 2 4 4 2 2 5" xfId="5905" xr:uid="{CC49415C-E3D2-4A6E-8C34-453D55839818}"/>
    <cellStyle name="Comma 2 4 4 2 3" xfId="2501" xr:uid="{A87BDE28-B948-4021-BBE4-321B6B9B8610}"/>
    <cellStyle name="Comma 2 4 4 2 3 2" xfId="3849" xr:uid="{045F41BE-E654-4948-BC16-9CB966387AC3}"/>
    <cellStyle name="Comma 2 4 4 2 3 2 2" xfId="8038" xr:uid="{A7799C9B-F197-42A5-BC39-C63D263818E1}"/>
    <cellStyle name="Comma 2 4 4 2 3 3" xfId="5170" xr:uid="{28B17251-D607-4663-9559-82F62ABCB85C}"/>
    <cellStyle name="Comma 2 4 4 2 3 3 2" xfId="9341" xr:uid="{68881F8E-438B-47C5-9DA9-FE71D96BC0B2}"/>
    <cellStyle name="Comma 2 4 4 2 3 4" xfId="6731" xr:uid="{5DC61ADC-6765-4180-B002-60B5E2BB863C}"/>
    <cellStyle name="Comma 2 4 4 2 4" xfId="3012" xr:uid="{F61CA9E5-7DC1-4DBC-9E9B-9C9E84204787}"/>
    <cellStyle name="Comma 2 4 4 2 4 2" xfId="7215" xr:uid="{45039579-2985-4A33-AD15-9A8C93B83A0F}"/>
    <cellStyle name="Comma 2 4 4 2 5" xfId="4327" xr:uid="{04CA6697-BAC4-4406-A54A-2844A356C57D}"/>
    <cellStyle name="Comma 2 4 4 2 5 2" xfId="8512" xr:uid="{F5A38B01-4106-45A6-B217-FDED2187F6ED}"/>
    <cellStyle name="Comma 2 4 4 2 6" xfId="5896" xr:uid="{77374CDD-D120-4D56-9CA8-836C04815ADF}"/>
    <cellStyle name="Comma 2 4 4 3" xfId="978" xr:uid="{387A6986-25F5-4B72-828C-E54412CFF0FC}"/>
    <cellStyle name="Comma 2 4 4 3 2" xfId="2582" xr:uid="{789D72D3-B39E-4CDF-95DA-BD7FF295B13F}"/>
    <cellStyle name="Comma 2 4 4 3 2 2" xfId="3930" xr:uid="{FC0921FF-D53D-4353-B66A-3952D3AC168D}"/>
    <cellStyle name="Comma 2 4 4 3 2 2 2" xfId="8119" xr:uid="{361B0424-4234-4683-A487-22AA50147A5E}"/>
    <cellStyle name="Comma 2 4 4 3 2 3" xfId="5251" xr:uid="{C4F50095-C4E3-4983-A1C6-6122095ADBAA}"/>
    <cellStyle name="Comma 2 4 4 3 2 3 2" xfId="9422" xr:uid="{82976E22-9A9F-45F9-88CC-BABE5C000D70}"/>
    <cellStyle name="Comma 2 4 4 3 2 4" xfId="6812" xr:uid="{8068523B-EF7D-49A4-BB94-FA26F4E1791F}"/>
    <cellStyle name="Comma 2 4 4 3 3" xfId="3186" xr:uid="{C79472FF-AF13-4539-BE09-268363005B29}"/>
    <cellStyle name="Comma 2 4 4 3 3 2" xfId="7387" xr:uid="{5210EB30-32B9-4C5C-AC1B-945B931DF2BB}"/>
    <cellStyle name="Comma 2 4 4 3 4" xfId="4503" xr:uid="{626E0940-9447-4182-B2EC-5663F32D21B5}"/>
    <cellStyle name="Comma 2 4 4 3 4 2" xfId="8686" xr:uid="{1D9977EE-F1B9-4DD0-9A25-764B3884D14A}"/>
    <cellStyle name="Comma 2 4 4 3 5" xfId="6071" xr:uid="{35D1B3B3-F32F-4C0D-9D4A-F33CA6AE4F18}"/>
    <cellStyle name="Comma 2 4 4 4" xfId="2336" xr:uid="{9B9BA92A-EF2B-47BC-9395-D4314D30FBB5}"/>
    <cellStyle name="Comma 2 4 4 4 2" xfId="3690" xr:uid="{C69DCEC8-7BA9-4054-8B14-4708FA7CBA52}"/>
    <cellStyle name="Comma 2 4 4 4 2 2" xfId="7879" xr:uid="{7BC98DE3-AF51-492B-8852-A2381A28F6D4}"/>
    <cellStyle name="Comma 2 4 4 4 3" xfId="5011" xr:uid="{CF128D4B-6671-4E1D-B32D-ECDFFC738F16}"/>
    <cellStyle name="Comma 2 4 4 4 3 2" xfId="9182" xr:uid="{578F4C32-BB0A-4488-B357-48F4D8A2415A}"/>
    <cellStyle name="Comma 2 4 4 4 4" xfId="6572" xr:uid="{7B206994-7F43-42B9-9989-335542B20CB9}"/>
    <cellStyle name="Comma 2 4 4 5" xfId="2223" xr:uid="{34B5F5BB-E9E5-48DF-BCEE-4F3313B96479}"/>
    <cellStyle name="Comma 2 4 4 5 2" xfId="3609" xr:uid="{BCBF8484-9B78-4872-BBCC-C099B3620AC8}"/>
    <cellStyle name="Comma 2 4 4 5 2 2" xfId="7798" xr:uid="{9A34AAD9-9AE4-4C54-BBF7-E93B239EBA08}"/>
    <cellStyle name="Comma 2 4 4 5 3" xfId="4930" xr:uid="{7068B4F4-8C4F-45B7-90C1-2841112F7930}"/>
    <cellStyle name="Comma 2 4 4 5 3 2" xfId="9101" xr:uid="{4F292AD0-0716-4920-A86B-0956DF09AA1F}"/>
    <cellStyle name="Comma 2 4 4 5 4" xfId="6491" xr:uid="{9236AEA0-8499-4794-998C-5032FB911DFA}"/>
    <cellStyle name="Comma 2 4 4 6" xfId="3022" xr:uid="{0A368BAA-06C0-423E-84FA-F0FA06686A7F}"/>
    <cellStyle name="Comma 2 4 4 6 2" xfId="7225" xr:uid="{10E01FD4-3C6E-4E8C-ADF8-CFDF10A44B2C}"/>
    <cellStyle name="Comma 2 4 4 7" xfId="4337" xr:uid="{D1447069-BA0F-4187-8856-1CDDBE262630}"/>
    <cellStyle name="Comma 2 4 4 7 2" xfId="8522" xr:uid="{9051FFAB-4382-4652-8648-5F53D653E238}"/>
    <cellStyle name="Comma 2 4 4 8" xfId="5906" xr:uid="{585499E9-2C48-4B02-9870-19762B31B026}"/>
    <cellStyle name="Comma 2 4 5" xfId="851" xr:uid="{27B76C4D-E4E2-4131-9B86-3858D29AAAA1}"/>
    <cellStyle name="Comma 2 4 5 2" xfId="891" xr:uid="{50903563-8A43-42D0-B552-8E34A588EA37}"/>
    <cellStyle name="Comma 2 4 5 2 2" xfId="722" xr:uid="{A4196BA2-DF76-4B0A-9433-EDCB731D7DEF}"/>
    <cellStyle name="Comma 2 4 5 2 2 2" xfId="3008" xr:uid="{AF888BFB-A863-42AC-AC23-70A985891F05}"/>
    <cellStyle name="Comma 2 4 5 2 2 2 2" xfId="7211" xr:uid="{A83C4D23-825C-49C4-A83E-EF7DF13B5C50}"/>
    <cellStyle name="Comma 2 4 5 2 2 3" xfId="4323" xr:uid="{5CE1E308-BA01-4BAA-9B40-29512410D6B9}"/>
    <cellStyle name="Comma 2 4 5 2 2 3 2" xfId="8508" xr:uid="{CDB2955E-842D-4F29-BFE2-C21AD1C9E379}"/>
    <cellStyle name="Comma 2 4 5 2 2 4" xfId="5892" xr:uid="{9C9B7595-B91A-464D-9F94-FB375282C210}"/>
    <cellStyle name="Comma 2 4 5 2 3" xfId="2650" xr:uid="{23DBE1A0-A2C5-4432-820D-AE70C3327744}"/>
    <cellStyle name="Comma 2 4 5 2 3 2" xfId="3998" xr:uid="{857F1531-1619-4273-8BBC-9602614AA2BF}"/>
    <cellStyle name="Comma 2 4 5 2 3 2 2" xfId="8187" xr:uid="{6E7233D4-D464-4ADD-92E0-641BBBCC1326}"/>
    <cellStyle name="Comma 2 4 5 2 3 3" xfId="5319" xr:uid="{0A637C55-A604-4170-A7AB-B4C6E9876D72}"/>
    <cellStyle name="Comma 2 4 5 2 3 3 2" xfId="9490" xr:uid="{96E68642-C339-4DAF-A770-717A9CA3B76E}"/>
    <cellStyle name="Comma 2 4 5 2 3 4" xfId="6880" xr:uid="{BCC177AF-8C88-455B-B411-5EA0357936ED}"/>
    <cellStyle name="Comma 2 4 5 2 4" xfId="3122" xr:uid="{B4756247-C801-480C-8773-75F1576E7401}"/>
    <cellStyle name="Comma 2 4 5 2 4 2" xfId="7323" xr:uid="{54897A0E-C535-4D84-82D6-832B9D420944}"/>
    <cellStyle name="Comma 2 4 5 2 5" xfId="4438" xr:uid="{8D18A92A-250B-4E6D-96EC-7DDF283CD868}"/>
    <cellStyle name="Comma 2 4 5 2 5 2" xfId="8621" xr:uid="{200CE735-AF03-4427-A86F-89DB684E1D63}"/>
    <cellStyle name="Comma 2 4 5 2 6" xfId="6005" xr:uid="{9B7877A1-750C-4586-B808-7AB8EE583F71}"/>
    <cellStyle name="Comma 2 4 5 3" xfId="850" xr:uid="{61923467-E003-4A00-91C9-0DB770F25918}"/>
    <cellStyle name="Comma 2 4 5 3 2" xfId="3093" xr:uid="{F8DD9A24-79FA-4AF3-9A3D-A0F52E3F9FD6}"/>
    <cellStyle name="Comma 2 4 5 3 2 2" xfId="7294" xr:uid="{18642D53-ED61-46D7-8A21-00EADEB1C94B}"/>
    <cellStyle name="Comma 2 4 5 3 3" xfId="4408" xr:uid="{FAE20E20-ACDA-4186-AC6F-912A50FFFE93}"/>
    <cellStyle name="Comma 2 4 5 3 3 2" xfId="8591" xr:uid="{FA04B5A3-A4D4-44AC-9E72-0822C970B678}"/>
    <cellStyle name="Comma 2 4 5 3 4" xfId="5975" xr:uid="{8A1D8DE8-06D2-4754-9452-1EDA5CE48385}"/>
    <cellStyle name="Comma 2 4 5 4" xfId="2410" xr:uid="{72BE9465-6F97-43CA-A014-AFB2F6C31B38}"/>
    <cellStyle name="Comma 2 4 5 4 2" xfId="3758" xr:uid="{BDDCC760-DAF2-4275-A174-5E1C1119FC6F}"/>
    <cellStyle name="Comma 2 4 5 4 2 2" xfId="7947" xr:uid="{3011DEE3-E393-427A-87AC-621A9AE47BE0}"/>
    <cellStyle name="Comma 2 4 5 4 3" xfId="5079" xr:uid="{F439638F-2020-4E5F-A40A-276A51E7D01F}"/>
    <cellStyle name="Comma 2 4 5 4 3 2" xfId="9250" xr:uid="{EEE6CAEF-AAAC-4B6F-AF0B-6297E788588B}"/>
    <cellStyle name="Comma 2 4 5 4 4" xfId="6640" xr:uid="{463888F3-70BD-4032-8852-40E72DE91D22}"/>
    <cellStyle name="Comma 2 4 5 5" xfId="3094" xr:uid="{C81B74C1-AB33-4143-B5DB-EA063A764D04}"/>
    <cellStyle name="Comma 2 4 5 5 2" xfId="7295" xr:uid="{24EEDF5E-44AE-4156-A781-7999DA0C334D}"/>
    <cellStyle name="Comma 2 4 5 6" xfId="4409" xr:uid="{F6175846-959E-47D1-A26D-84F6D1F1D531}"/>
    <cellStyle name="Comma 2 4 5 6 2" xfId="8592" xr:uid="{9DA78914-7D6E-4D2A-9C93-6308E8EFE624}"/>
    <cellStyle name="Comma 2 4 5 7" xfId="5976" xr:uid="{EB87D63C-A736-4A15-BF60-5CF3DAF8CF83}"/>
    <cellStyle name="Comma 2 4 6" xfId="1833" xr:uid="{884129AC-E172-4099-92E9-760F0CD59AD1}"/>
    <cellStyle name="Comma 2 4 6 2" xfId="2677" xr:uid="{2EED81DE-E854-476D-B208-C90605D84C0D}"/>
    <cellStyle name="Comma 2 4 6 2 2" xfId="4025" xr:uid="{03518F38-34A0-46AB-A7E8-552272CC27FC}"/>
    <cellStyle name="Comma 2 4 6 2 2 2" xfId="8214" xr:uid="{27D39D3C-7ECB-49CE-9AD8-5BFD82026BD9}"/>
    <cellStyle name="Comma 2 4 6 2 3" xfId="5346" xr:uid="{8A9E6C16-21BD-4A24-A986-1B62E311E0DE}"/>
    <cellStyle name="Comma 2 4 6 2 3 2" xfId="9517" xr:uid="{CC420AEB-FF69-4421-B93F-6A4321D40B63}"/>
    <cellStyle name="Comma 2 4 6 2 4" xfId="6907" xr:uid="{0F9489C6-0DB7-47DE-A13F-779117831CE0}"/>
    <cellStyle name="Comma 2 4 6 3" xfId="2437" xr:uid="{314A4313-32D4-4AFB-A245-234E0355FA35}"/>
    <cellStyle name="Comma 2 4 6 3 2" xfId="3785" xr:uid="{3EAA026C-6F32-4675-A5B5-3EC98E2E50BC}"/>
    <cellStyle name="Comma 2 4 6 3 2 2" xfId="7974" xr:uid="{12B4F3A1-F422-4171-A055-7E1B5ADED738}"/>
    <cellStyle name="Comma 2 4 6 3 3" xfId="5106" xr:uid="{87D6A22A-31F1-40BE-BEF8-6D9F024EF2DF}"/>
    <cellStyle name="Comma 2 4 6 3 3 2" xfId="9277" xr:uid="{3BB94417-DF21-4B19-9EA3-796E4FFE5AE9}"/>
    <cellStyle name="Comma 2 4 6 3 4" xfId="6667" xr:uid="{3B0212CC-2E76-4484-AEB5-10099A539A29}"/>
    <cellStyle name="Comma 2 4 6 4" xfId="3531" xr:uid="{9A223A93-5C5B-4989-8CE5-2423162ECF5E}"/>
    <cellStyle name="Comma 2 4 6 4 2" xfId="7720" xr:uid="{CD8F4857-B78B-481A-AD56-0E7E05E02CA5}"/>
    <cellStyle name="Comma 2 4 6 5" xfId="4851" xr:uid="{0C10DE20-2DE1-4074-8CA9-DFC4AD7D4EF2}"/>
    <cellStyle name="Comma 2 4 6 5 2" xfId="9022" xr:uid="{D9DBE7CF-88DA-4215-AD0C-305BA2260A44}"/>
    <cellStyle name="Comma 2 4 6 6" xfId="6408" xr:uid="{61A9F6E1-1E59-4B8C-BF10-57687DD9B1FB}"/>
    <cellStyle name="Comma 2 4 7" xfId="2518" xr:uid="{969F7B5B-853D-47DB-A0BB-29502E92FB10}"/>
    <cellStyle name="Comma 2 4 7 2" xfId="3866" xr:uid="{A28F7255-6C29-43FE-9DC4-E25D4DE56948}"/>
    <cellStyle name="Comma 2 4 7 2 2" xfId="8055" xr:uid="{08866718-4BCC-40C9-A852-85A2C93676A9}"/>
    <cellStyle name="Comma 2 4 7 3" xfId="5187" xr:uid="{3280D63D-CFE9-4CB9-AA17-8D2BFCCAADD9}"/>
    <cellStyle name="Comma 2 4 7 3 2" xfId="9358" xr:uid="{4062EBEC-C5CC-45B9-94D1-78C81C835A50}"/>
    <cellStyle name="Comma 2 4 7 4" xfId="6748" xr:uid="{B088B774-EB4B-4ADB-88B0-FFB5DA370821}"/>
    <cellStyle name="Comma 2 4 8" xfId="2272" xr:uid="{979BD073-5F79-401F-A886-1240047CFC30}"/>
    <cellStyle name="Comma 2 4 8 2" xfId="3626" xr:uid="{3E60A513-EAC7-4205-A9CD-168EBCE48466}"/>
    <cellStyle name="Comma 2 4 8 2 2" xfId="7815" xr:uid="{6D2E3E27-6227-4861-916C-3F6D989F15EA}"/>
    <cellStyle name="Comma 2 4 8 3" xfId="4947" xr:uid="{77E5D0A0-0C33-4416-B299-F5BED8F43641}"/>
    <cellStyle name="Comma 2 4 8 3 2" xfId="9118" xr:uid="{F4879D5C-57E8-45EE-8233-41C131806A6E}"/>
    <cellStyle name="Comma 2 4 8 4" xfId="6508" xr:uid="{8C8BCA5E-B181-4120-9C58-72BC86E6F774}"/>
    <cellStyle name="Comma 2 4 9" xfId="2108" xr:uid="{B4785C07-CE8D-4348-8464-095BA704E297}"/>
    <cellStyle name="Comma 2 4 9 2" xfId="3545" xr:uid="{4720300D-B816-496D-873C-21C4D1B0C5E8}"/>
    <cellStyle name="Comma 2 4 9 2 2" xfId="7734" xr:uid="{B97399AB-FCDD-4F14-8688-DBC0879D8F00}"/>
    <cellStyle name="Comma 2 4 9 3" xfId="4866" xr:uid="{7204028B-5B5C-423E-B9AD-3CE684BFDB02}"/>
    <cellStyle name="Comma 2 4 9 3 2" xfId="9037" xr:uid="{016D2CC5-9633-4459-9E9A-481FD2723D88}"/>
    <cellStyle name="Comma 2 4 9 4" xfId="6427" xr:uid="{FF277A99-797F-4D76-9346-F5964960E380}"/>
    <cellStyle name="Comma 2 5" xfId="173" xr:uid="{6FE37CE8-30C8-43A6-80AA-6E614A623249}"/>
    <cellStyle name="Comma 2 5 10" xfId="4160" xr:uid="{ECE7074A-EB3F-4DA9-BE38-F1A641B53203}"/>
    <cellStyle name="Comma 2 5 10 2" xfId="8349" xr:uid="{6D6C048D-8209-4399-8C93-41FD95BA089F}"/>
    <cellStyle name="Comma 2 5 11" xfId="5731" xr:uid="{B4B8CDB1-60CC-4F31-931C-4D87AC7957A0}"/>
    <cellStyle name="Comma 2 5 2" xfId="622" xr:uid="{5EE7F20E-07C9-4628-B31E-DD2907882FB8}"/>
    <cellStyle name="Comma 2 5 2 10" xfId="5823" xr:uid="{B74BA454-2F0C-4ED3-93FF-164AB1B5E9CD}"/>
    <cellStyle name="Comma 2 5 2 2" xfId="707" xr:uid="{BF410797-50E5-4DF5-B0A7-1987867BAE6B}"/>
    <cellStyle name="Comma 2 5 2 2 2" xfId="1079" xr:uid="{B278E087-BD5D-4987-93A9-263F8C8B61BD}"/>
    <cellStyle name="Comma 2 5 2 2 2 2" xfId="1323" xr:uid="{56C88AA3-D970-46E5-8536-3E68F20D253A}"/>
    <cellStyle name="Comma 2 5 2 2 2 2 2" xfId="1347" xr:uid="{54B81F97-082C-4F4E-A200-35E756E3C843}"/>
    <cellStyle name="Comma 2 5 2 2 2 2 2 2" xfId="3512" xr:uid="{9E727F2E-735F-4E79-827E-946F65A4675D}"/>
    <cellStyle name="Comma 2 5 2 2 2 2 2 2 2" xfId="7709" xr:uid="{57D7337E-CBAC-4C14-A3B1-1DC30972CFB0}"/>
    <cellStyle name="Comma 2 5 2 2 2 2 2 3" xfId="4832" xr:uid="{DF5F5514-5056-4DD2-AAE2-8B048EC3A491}"/>
    <cellStyle name="Comma 2 5 2 2 2 2 2 3 2" xfId="9011" xr:uid="{DDAD1564-0E75-4D65-8600-600C5AE2E5DF}"/>
    <cellStyle name="Comma 2 5 2 2 2 2 2 4" xfId="6396" xr:uid="{AAE554AD-7107-4D53-8232-09FC09B23BFB}"/>
    <cellStyle name="Comma 2 5 2 2 2 2 3" xfId="3499" xr:uid="{49079E97-E17F-4D3C-84F2-41668CE4FFE2}"/>
    <cellStyle name="Comma 2 5 2 2 2 2 3 2" xfId="7696" xr:uid="{B7312699-21F9-4C11-B1BF-5DDB0770FEF3}"/>
    <cellStyle name="Comma 2 5 2 2 2 2 4" xfId="4818" xr:uid="{E24F52C9-80EB-42A7-AD80-1C16268CC89E}"/>
    <cellStyle name="Comma 2 5 2 2 2 2 4 2" xfId="8997" xr:uid="{2681E37B-E7CD-455C-BD01-5E154AA8629C}"/>
    <cellStyle name="Comma 2 5 2 2 2 2 5" xfId="6382" xr:uid="{E1195ACC-68EB-4953-9E50-E14185977E0C}"/>
    <cellStyle name="Comma 2 5 2 2 2 3" xfId="706" xr:uid="{CBE52BE4-439F-4E50-AF19-68EA6EB0BA44}"/>
    <cellStyle name="Comma 2 5 2 2 2 3 2" xfId="3002" xr:uid="{4E1B0B4E-D2A6-43E5-8291-71C4F25A77B4}"/>
    <cellStyle name="Comma 2 5 2 2 2 3 2 2" xfId="7205" xr:uid="{D3D244EB-CFF7-4DD3-9587-D8015B0053AE}"/>
    <cellStyle name="Comma 2 5 2 2 2 3 3" xfId="4317" xr:uid="{7E0D63B1-7D9D-47AE-8990-E3383F010945}"/>
    <cellStyle name="Comma 2 5 2 2 2 3 3 2" xfId="8502" xr:uid="{B45AFD8A-3C40-43BD-8DFF-F82E853ACF29}"/>
    <cellStyle name="Comma 2 5 2 2 2 3 4" xfId="5886" xr:uid="{9D51D9E6-96E8-4E32-BC56-DB6EF91ABB98}"/>
    <cellStyle name="Comma 2 5 2 2 2 4" xfId="2622" xr:uid="{16FF09CF-3C22-4413-A46F-1C6E02C92D4C}"/>
    <cellStyle name="Comma 2 5 2 2 2 4 2" xfId="3970" xr:uid="{C7925214-DC1A-4935-915F-B56EF021FCB9}"/>
    <cellStyle name="Comma 2 5 2 2 2 4 2 2" xfId="8159" xr:uid="{903664D1-2D2B-426A-B794-49DBBAADC46D}"/>
    <cellStyle name="Comma 2 5 2 2 2 4 3" xfId="5291" xr:uid="{1C45582E-D441-459D-BDC9-09FC8DED2CF8}"/>
    <cellStyle name="Comma 2 5 2 2 2 4 3 2" xfId="9462" xr:uid="{69545117-F156-4B34-9F52-29B39D16CD83}"/>
    <cellStyle name="Comma 2 5 2 2 2 4 4" xfId="6852" xr:uid="{59A8555D-46AC-4F17-AA81-E3173E38CFDC}"/>
    <cellStyle name="Comma 2 5 2 2 2 5" xfId="3279" xr:uid="{E8A11E24-875A-46F8-88EA-85DFF416B7F7}"/>
    <cellStyle name="Comma 2 5 2 2 2 5 2" xfId="7476" xr:uid="{D81FCCAB-43A3-4BFC-AE07-2098A31972D0}"/>
    <cellStyle name="Comma 2 5 2 2 2 6" xfId="4597" xr:uid="{B6744BD7-322C-4A47-B9DA-65A1DF222551}"/>
    <cellStyle name="Comma 2 5 2 2 2 6 2" xfId="8776" xr:uid="{E7D2907C-7E29-462D-82AC-340A6E9B83B9}"/>
    <cellStyle name="Comma 2 5 2 2 2 7" xfId="6161" xr:uid="{44CCC56F-A5E5-4353-8EF6-CAA78B8C9369}"/>
    <cellStyle name="Comma 2 5 2 2 3" xfId="1059" xr:uid="{A1C2CE7D-1EF7-44A3-AF59-C6E3334F5104}"/>
    <cellStyle name="Comma 2 5 2 2 3 2" xfId="1072" xr:uid="{8FF3CF67-E332-4C40-8BB0-AA11EF38C27C}"/>
    <cellStyle name="Comma 2 5 2 2 3 2 2" xfId="3272" xr:uid="{68E024E0-D049-4107-925D-E2F561917E8A}"/>
    <cellStyle name="Comma 2 5 2 2 3 2 2 2" xfId="7469" xr:uid="{91834245-FFD5-48BF-8665-88ACF889D1FF}"/>
    <cellStyle name="Comma 2 5 2 2 3 2 3" xfId="4590" xr:uid="{8DF229F2-7A50-4204-AE0E-C4AD3B8381E1}"/>
    <cellStyle name="Comma 2 5 2 2 3 2 3 2" xfId="8769" xr:uid="{FAD7EF9D-6C05-4659-B2A8-1F119A1B1905}"/>
    <cellStyle name="Comma 2 5 2 2 3 2 4" xfId="6154" xr:uid="{748F2FE5-09D9-4151-A3E3-80B0A85819C0}"/>
    <cellStyle name="Comma 2 5 2 2 3 3" xfId="3261" xr:uid="{17BFD9D7-3153-4920-AB22-FD4B2686FE03}"/>
    <cellStyle name="Comma 2 5 2 2 3 3 2" xfId="7459" xr:uid="{68DB8051-D6EF-4059-A843-3237E5B8EBA3}"/>
    <cellStyle name="Comma 2 5 2 2 3 4" xfId="4578" xr:uid="{4D187967-2C5C-4A92-AB48-1CE58A37823D}"/>
    <cellStyle name="Comma 2 5 2 2 3 4 2" xfId="8758" xr:uid="{BD39CAE3-6F74-4D5D-80A0-FD740A9FF54A}"/>
    <cellStyle name="Comma 2 5 2 2 3 5" xfId="6143" xr:uid="{4376D436-5D09-42F9-AD30-A8D438CA8E78}"/>
    <cellStyle name="Comma 2 5 2 2 4" xfId="1290" xr:uid="{6918DA7B-C84F-40EA-B40F-A54FC9F88B82}"/>
    <cellStyle name="Comma 2 5 2 2 4 2" xfId="3481" xr:uid="{E3BE2CE9-C712-43DD-B563-0893A5CA9FA9}"/>
    <cellStyle name="Comma 2 5 2 2 4 2 2" xfId="7678" xr:uid="{FEECA3B9-3DEA-4B7D-B748-9952C1CD2644}"/>
    <cellStyle name="Comma 2 5 2 2 4 3" xfId="4799" xr:uid="{DF96894F-2D08-4510-933F-542912B4816C}"/>
    <cellStyle name="Comma 2 5 2 2 4 3 2" xfId="8978" xr:uid="{C392A541-3348-47DB-8034-91D337E21201}"/>
    <cellStyle name="Comma 2 5 2 2 4 4" xfId="6363" xr:uid="{F7A5B83E-BF51-4ADD-9114-6F635DC580C1}"/>
    <cellStyle name="Comma 2 5 2 2 5" xfId="2376" xr:uid="{A65690FC-F7A9-4055-A448-2EE046F1E479}"/>
    <cellStyle name="Comma 2 5 2 2 5 2" xfId="3730" xr:uid="{E6D075B8-3596-4D59-9D08-3CD5815A57CB}"/>
    <cellStyle name="Comma 2 5 2 2 5 2 2" xfId="7919" xr:uid="{650FA92C-C40C-4FC4-BD0D-348FE1E4EF25}"/>
    <cellStyle name="Comma 2 5 2 2 5 3" xfId="5051" xr:uid="{DC9DDBF5-F86B-4380-93CE-3E4DB80E9696}"/>
    <cellStyle name="Comma 2 5 2 2 5 3 2" xfId="9222" xr:uid="{E4394EDA-FD1D-423F-9DBE-927AE6296F91}"/>
    <cellStyle name="Comma 2 5 2 2 5 4" xfId="6612" xr:uid="{74B4C62C-2ECE-4D3B-8265-3D84A3C0ADC4}"/>
    <cellStyle name="Comma 2 5 2 2 6" xfId="3003" xr:uid="{D1AD872D-1A32-4DEA-8DDC-B0E81F8FB0A5}"/>
    <cellStyle name="Comma 2 5 2 2 6 2" xfId="7206" xr:uid="{CD15AD60-6512-4D8A-8E2F-4B4E60556F45}"/>
    <cellStyle name="Comma 2 5 2 2 7" xfId="4318" xr:uid="{5D767546-37DB-4B59-BF00-F5D5DB13DFE3}"/>
    <cellStyle name="Comma 2 5 2 2 7 2" xfId="8503" xr:uid="{07DE239A-BCE5-4612-ABD8-4F929B23E42F}"/>
    <cellStyle name="Comma 2 5 2 2 8" xfId="5887" xr:uid="{3F723DC3-AB1C-4E03-9AC0-70BF2530CF6A}"/>
    <cellStyle name="Comma 2 5 2 3" xfId="1087" xr:uid="{AE10BB9D-6E99-4537-A96E-0CDD45946274}"/>
    <cellStyle name="Comma 2 5 2 3 2" xfId="952" xr:uid="{1777BA3A-FB87-41F5-8F6A-BEEC0B739D5A}"/>
    <cellStyle name="Comma 2 5 2 3 2 2" xfId="976" xr:uid="{9102104B-0156-47CA-9E05-3069F4298FE4}"/>
    <cellStyle name="Comma 2 5 2 3 2 2 2" xfId="3184" xr:uid="{3EC3D68C-03B9-4F4A-AE1B-EDC5415EE81B}"/>
    <cellStyle name="Comma 2 5 2 3 2 2 2 2" xfId="7385" xr:uid="{4111BC24-9DD3-4EEC-9CBF-99DA3032FEE8}"/>
    <cellStyle name="Comma 2 5 2 3 2 2 3" xfId="4501" xr:uid="{5633A35F-5180-4960-8A54-0210C68B75F7}"/>
    <cellStyle name="Comma 2 5 2 3 2 2 3 2" xfId="8684" xr:uid="{15C645C3-8D6B-402D-8192-0161F3E9ACA5}"/>
    <cellStyle name="Comma 2 5 2 3 2 2 4" xfId="6069" xr:uid="{48C6F9FB-778D-4C30-9703-8C631851E1F2}"/>
    <cellStyle name="Comma 2 5 2 3 2 3" xfId="2717" xr:uid="{2C17FFAF-F0DA-4F66-B0FA-7E754B5DF84E}"/>
    <cellStyle name="Comma 2 5 2 3 2 3 2" xfId="4065" xr:uid="{8EC5A7F9-D4E0-4669-AA62-3DCF8E4F3D85}"/>
    <cellStyle name="Comma 2 5 2 3 2 3 2 2" xfId="8254" xr:uid="{1697ABD2-D907-4C45-9337-ED47F5450C00}"/>
    <cellStyle name="Comma 2 5 2 3 2 3 3" xfId="5386" xr:uid="{ACF5AD4F-AD5B-471E-8063-94C0B43C6882}"/>
    <cellStyle name="Comma 2 5 2 3 2 3 3 2" xfId="9557" xr:uid="{050A90C0-25F4-46A4-B28F-1748191A8281}"/>
    <cellStyle name="Comma 2 5 2 3 2 3 4" xfId="6947" xr:uid="{44D03FAF-B76E-4332-8436-F10496945299}"/>
    <cellStyle name="Comma 2 5 2 3 2 4" xfId="3167" xr:uid="{41D25E9E-E2AF-4CE4-ABA2-5E608D866ABE}"/>
    <cellStyle name="Comma 2 5 2 3 2 4 2" xfId="7368" xr:uid="{6EDA3ED6-3EA0-4B68-A844-D4B91D6D99EC}"/>
    <cellStyle name="Comma 2 5 2 3 2 5" xfId="4483" xr:uid="{744E5A7C-AEEA-411C-985B-755C9B932042}"/>
    <cellStyle name="Comma 2 5 2 3 2 5 2" xfId="8666" xr:uid="{966A0244-4F36-4E70-90FF-E5A061263A10}"/>
    <cellStyle name="Comma 2 5 2 3 2 6" xfId="6051" xr:uid="{D78699A2-B1D4-478E-BB8A-B72146A3D06E}"/>
    <cellStyle name="Comma 2 5 2 3 3" xfId="847" xr:uid="{9F208426-A262-4B87-8E52-AB3AFD3F3A76}"/>
    <cellStyle name="Comma 2 5 2 3 3 2" xfId="3090" xr:uid="{1946529D-8E46-4A55-AAEA-9FE8AD31F170}"/>
    <cellStyle name="Comma 2 5 2 3 3 2 2" xfId="7291" xr:uid="{EF982FB8-D394-4C5E-BB86-E0EA2CCE0600}"/>
    <cellStyle name="Comma 2 5 2 3 3 3" xfId="4405" xr:uid="{72C7B40E-F4A3-4616-9D78-3B6D0BD3A14B}"/>
    <cellStyle name="Comma 2 5 2 3 3 3 2" xfId="8588" xr:uid="{0B9A0427-B694-47D2-8794-BFCCF66191C2}"/>
    <cellStyle name="Comma 2 5 2 3 3 4" xfId="5972" xr:uid="{C6F47815-D41D-471F-A608-B9F92D5F96DB}"/>
    <cellStyle name="Comma 2 5 2 3 4" xfId="2477" xr:uid="{920AF6BC-10C2-4B37-8240-FC9E19B0563C}"/>
    <cellStyle name="Comma 2 5 2 3 4 2" xfId="3825" xr:uid="{E84B7B4C-BF32-4CE1-9C3B-ED5F85D7C31B}"/>
    <cellStyle name="Comma 2 5 2 3 4 2 2" xfId="8014" xr:uid="{A47200D6-BB2F-4372-B7E8-DC0AE0FFBF1C}"/>
    <cellStyle name="Comma 2 5 2 3 4 3" xfId="5146" xr:uid="{9D36632F-4321-4CD6-8E96-4F4DF6AA26AF}"/>
    <cellStyle name="Comma 2 5 2 3 4 3 2" xfId="9317" xr:uid="{352E3453-8DFF-4D6F-848B-64B7F70DD351}"/>
    <cellStyle name="Comma 2 5 2 3 4 4" xfId="6707" xr:uid="{CF6E4017-9CDF-4E2A-A54A-76A3ABBA240C}"/>
    <cellStyle name="Comma 2 5 2 3 5" xfId="3281" xr:uid="{D39F4EEE-A958-4EA0-8982-5E199D81C18C}"/>
    <cellStyle name="Comma 2 5 2 3 5 2" xfId="7478" xr:uid="{473FE8BE-E399-47D6-A48C-2F0F3F5AAF3B}"/>
    <cellStyle name="Comma 2 5 2 3 6" xfId="4599" xr:uid="{776345B9-A7C1-4230-9525-6F373CBE08A3}"/>
    <cellStyle name="Comma 2 5 2 3 6 2" xfId="8778" xr:uid="{AAA81E17-5BE1-48BD-9E50-9F58E048406B}"/>
    <cellStyle name="Comma 2 5 2 3 7" xfId="6163" xr:uid="{0251D57A-D9E4-4D1F-8241-54842392A510}"/>
    <cellStyle name="Comma 2 5 2 4" xfId="1361" xr:uid="{BE121518-C777-4BA3-9128-EFC31B9A293C}"/>
    <cellStyle name="Comma 2 5 2 4 2" xfId="681" xr:uid="{DA933FF4-4F8F-4062-94BD-93BDDC629153}"/>
    <cellStyle name="Comma 2 5 2 4 2 2" xfId="2981" xr:uid="{B564644C-2983-4841-B456-BC23CE47E6E3}"/>
    <cellStyle name="Comma 2 5 2 4 2 2 2" xfId="7184" xr:uid="{D312CCB2-5441-4DF0-ABFD-A32988B16513}"/>
    <cellStyle name="Comma 2 5 2 4 2 3" xfId="4294" xr:uid="{71F84B97-2F2F-48F0-BC41-A9B3FBF6C973}"/>
    <cellStyle name="Comma 2 5 2 4 2 3 2" xfId="8479" xr:uid="{CB063F49-7C32-4DA4-B767-D08C457EAC0E}"/>
    <cellStyle name="Comma 2 5 2 4 2 4" xfId="5863" xr:uid="{DBBBEF8F-01B0-4E22-8757-F1683E199A92}"/>
    <cellStyle name="Comma 2 5 2 4 3" xfId="2558" xr:uid="{C09A4376-0288-4350-88DC-2BC8B6C486CE}"/>
    <cellStyle name="Comma 2 5 2 4 3 2" xfId="3906" xr:uid="{3B764A5C-07F1-48A4-B30C-CAEBDC92CE72}"/>
    <cellStyle name="Comma 2 5 2 4 3 2 2" xfId="8095" xr:uid="{A67B81C7-5EEA-4245-8F01-9E26C508B88C}"/>
    <cellStyle name="Comma 2 5 2 4 3 3" xfId="5227" xr:uid="{6210E68C-2DBA-43CD-B6B4-532EB68DFC72}"/>
    <cellStyle name="Comma 2 5 2 4 3 3 2" xfId="9398" xr:uid="{0C14B107-E340-411C-81CF-8790430D201A}"/>
    <cellStyle name="Comma 2 5 2 4 3 4" xfId="6788" xr:uid="{DF1E6E55-B62C-42A1-9AEF-056C80D61055}"/>
    <cellStyle name="Comma 2 5 2 4 4" xfId="3517" xr:uid="{41D64465-1090-4980-8D72-E6531DC402CF}"/>
    <cellStyle name="Comma 2 5 2 4 4 2" xfId="7714" xr:uid="{BDD01795-AFC9-4CBC-BECB-FA9FCC6964C5}"/>
    <cellStyle name="Comma 2 5 2 4 5" xfId="4837" xr:uid="{C6A6F4AE-2368-43E5-B9D7-575E55C6EADE}"/>
    <cellStyle name="Comma 2 5 2 4 5 2" xfId="9016" xr:uid="{98D2F513-8C24-4F3F-B95A-DC34C285F975}"/>
    <cellStyle name="Comma 2 5 2 4 6" xfId="6401" xr:uid="{26F76674-808F-47D6-A6B8-2B9B2814ADDD}"/>
    <cellStyle name="Comma 2 5 2 5" xfId="1076" xr:uid="{FB8317C7-91A1-4469-95BD-B65833D8CEEA}"/>
    <cellStyle name="Comma 2 5 2 5 2" xfId="2312" xr:uid="{64E45DDB-E720-49AE-B381-9BB5E126304C}"/>
    <cellStyle name="Comma 2 5 2 5 2 2" xfId="3666" xr:uid="{BA2DDD13-E7F9-40EB-8419-03C0E5FC43F7}"/>
    <cellStyle name="Comma 2 5 2 5 2 2 2" xfId="7855" xr:uid="{F73CF0CA-4127-4737-9DFA-6469D7C812F5}"/>
    <cellStyle name="Comma 2 5 2 5 2 3" xfId="4987" xr:uid="{4B165C46-1825-46C2-929A-A16CC7FF5EEC}"/>
    <cellStyle name="Comma 2 5 2 5 2 3 2" xfId="9158" xr:uid="{EDC67806-015B-49CD-B431-353F9AEF2EBA}"/>
    <cellStyle name="Comma 2 5 2 5 2 4" xfId="6548" xr:uid="{AE193C55-9FEB-40E7-807D-B41633685A49}"/>
    <cellStyle name="Comma 2 5 2 5 3" xfId="3276" xr:uid="{EF577108-BCBC-4F2B-B050-991D3DFDA5E2}"/>
    <cellStyle name="Comma 2 5 2 5 3 2" xfId="7473" xr:uid="{53153EB3-4DF3-40F9-8E09-1A2B567E0546}"/>
    <cellStyle name="Comma 2 5 2 5 4" xfId="4594" xr:uid="{30A5619E-D5E1-4502-BE8D-CDD4D77AE468}"/>
    <cellStyle name="Comma 2 5 2 5 4 2" xfId="8773" xr:uid="{935AEBF7-AAB1-40C5-9218-F34570CD3B8F}"/>
    <cellStyle name="Comma 2 5 2 5 5" xfId="6158" xr:uid="{591AC437-7EC1-43ED-8703-98603E49C785}"/>
    <cellStyle name="Comma 2 5 2 6" xfId="682" xr:uid="{4CD64FCE-1480-45DE-9CD9-31212189A395}"/>
    <cellStyle name="Comma 2 5 2 6 2" xfId="2982" xr:uid="{51B45BF2-3A16-445F-B994-895FF0D34A63}"/>
    <cellStyle name="Comma 2 5 2 6 2 2" xfId="7185" xr:uid="{0BF29994-11D0-4FB3-8A9F-5C8514B54B5E}"/>
    <cellStyle name="Comma 2 5 2 6 3" xfId="4295" xr:uid="{8785FDB0-2323-41AE-BA9E-D485DEBE7AD3}"/>
    <cellStyle name="Comma 2 5 2 6 3 2" xfId="8480" xr:uid="{309116F4-6F6C-4833-BCE2-9517ABC6C0F2}"/>
    <cellStyle name="Comma 2 5 2 6 4" xfId="5864" xr:uid="{8F9AC163-C10B-4396-9E4E-7C343BC79644}"/>
    <cellStyle name="Comma 2 5 2 7" xfId="2151" xr:uid="{2C4CD5C6-196E-4ACB-A4CC-A17FB58732D4}"/>
    <cellStyle name="Comma 2 5 2 7 2" xfId="3585" xr:uid="{E7ADC542-3FC4-42EC-B938-3C720270522D}"/>
    <cellStyle name="Comma 2 5 2 7 2 2" xfId="7774" xr:uid="{5C8247B0-DCC0-4467-B6DE-2EF6E46AFEDF}"/>
    <cellStyle name="Comma 2 5 2 7 3" xfId="4906" xr:uid="{2A854160-D03C-4F33-BC8C-7C90214B048C}"/>
    <cellStyle name="Comma 2 5 2 7 3 2" xfId="9077" xr:uid="{8110685C-FAEA-4CF3-84CD-9D6F825AC0F1}"/>
    <cellStyle name="Comma 2 5 2 7 4" xfId="6467" xr:uid="{844700C4-0C8F-4D69-9113-D5C04609AE8B}"/>
    <cellStyle name="Comma 2 5 2 8" xfId="2943" xr:uid="{13F2CC74-D84E-45F7-9A2F-9331149BAD06}"/>
    <cellStyle name="Comma 2 5 2 8 2" xfId="7146" xr:uid="{BCE9E1C5-07F3-422C-B18D-6F30C5799B65}"/>
    <cellStyle name="Comma 2 5 2 9" xfId="4254" xr:uid="{F0A4B4CA-D1D4-4CA0-A6A4-5D769052C3AA}"/>
    <cellStyle name="Comma 2 5 2 9 2" xfId="8439" xr:uid="{7B7F9903-6F0C-4578-9BA2-19F0A7F7FCDF}"/>
    <cellStyle name="Comma 2 5 3" xfId="1335" xr:uid="{2CC85177-7731-40D7-B6BA-B664C79778C0}"/>
    <cellStyle name="Comma 2 5 3 2" xfId="889" xr:uid="{6A379C18-9536-472A-9731-E5FBFE66B8D9}"/>
    <cellStyle name="Comma 2 5 3 2 2" xfId="876" xr:uid="{E90442E8-DE7E-4A5C-96FD-48C5EC4C1D62}"/>
    <cellStyle name="Comma 2 5 3 2 2 2" xfId="849" xr:uid="{A89F2B54-079A-43DA-AD0C-5DE0FD007E0D}"/>
    <cellStyle name="Comma 2 5 3 2 2 2 2" xfId="3092" xr:uid="{58F0089F-83B3-40A3-89F4-2D5783C44518}"/>
    <cellStyle name="Comma 2 5 3 2 2 2 2 2" xfId="7293" xr:uid="{E9FC5364-3787-4D0B-8454-9BE9131FF9C4}"/>
    <cellStyle name="Comma 2 5 3 2 2 2 3" xfId="4407" xr:uid="{9714973B-8303-471C-B377-7E7347DDA7B4}"/>
    <cellStyle name="Comma 2 5 3 2 2 2 3 2" xfId="8590" xr:uid="{100DD858-EAF0-4CCF-BF1D-9F799AE25CC7}"/>
    <cellStyle name="Comma 2 5 3 2 2 2 4" xfId="5974" xr:uid="{2F2A1063-CEF0-459B-8460-EFFA615883C5}"/>
    <cellStyle name="Comma 2 5 3 2 2 3" xfId="3111" xr:uid="{25981956-A247-4BFA-A2D8-16C12D9DC859}"/>
    <cellStyle name="Comma 2 5 3 2 2 3 2" xfId="7312" xr:uid="{3C519205-09AC-43AF-A7FC-9B5837E53C51}"/>
    <cellStyle name="Comma 2 5 3 2 2 4" xfId="4426" xr:uid="{053B30DE-9BB6-49C5-A860-3E112C3448EC}"/>
    <cellStyle name="Comma 2 5 3 2 2 4 2" xfId="8609" xr:uid="{A0A298E9-FB33-412E-99CD-0457777DE554}"/>
    <cellStyle name="Comma 2 5 3 2 2 5" xfId="5993" xr:uid="{F1EA6829-A51B-4923-B6B1-65345FFB657E}"/>
    <cellStyle name="Comma 2 5 3 2 3" xfId="1075" xr:uid="{7E48843A-B3C4-4205-A421-159634EF5C1C}"/>
    <cellStyle name="Comma 2 5 3 2 3 2" xfId="3275" xr:uid="{C2B5C9AE-4BC6-4562-BD80-6CA99D34C43C}"/>
    <cellStyle name="Comma 2 5 3 2 3 2 2" xfId="7472" xr:uid="{9A325B54-8C71-48E2-950A-0CB8DA67FE77}"/>
    <cellStyle name="Comma 2 5 3 2 3 3" xfId="4593" xr:uid="{CC894D27-4D5F-4BC9-9EB0-6F89BD6CB94B}"/>
    <cellStyle name="Comma 2 5 3 2 3 3 2" xfId="8772" xr:uid="{0E432C91-C813-4649-B8F2-BF74D8B62B46}"/>
    <cellStyle name="Comma 2 5 3 2 3 4" xfId="6157" xr:uid="{111A019F-0493-47CA-849B-29EBBC4394B4}"/>
    <cellStyle name="Comma 2 5 3 2 4" xfId="2590" xr:uid="{CF52E2F5-0B48-4847-BC6C-446A347CB66B}"/>
    <cellStyle name="Comma 2 5 3 2 4 2" xfId="3938" xr:uid="{F7BED2BD-47C6-411F-90E8-475A4CE464C5}"/>
    <cellStyle name="Comma 2 5 3 2 4 2 2" xfId="8127" xr:uid="{8F45DC8B-8B50-4201-B7EE-75B81B2F11A5}"/>
    <cellStyle name="Comma 2 5 3 2 4 3" xfId="5259" xr:uid="{623630EE-71F8-46CA-B59E-E57A60AC6D2A}"/>
    <cellStyle name="Comma 2 5 3 2 4 3 2" xfId="9430" xr:uid="{A38D1463-19CF-470A-BC10-D3DD1E462670}"/>
    <cellStyle name="Comma 2 5 3 2 4 4" xfId="6820" xr:uid="{5713AB17-E370-4EAD-91B9-3E051C44C0CB}"/>
    <cellStyle name="Comma 2 5 3 2 5" xfId="3121" xr:uid="{343D7D74-FEED-46F7-9068-68C20C395F68}"/>
    <cellStyle name="Comma 2 5 3 2 5 2" xfId="7322" xr:uid="{776B3784-FC83-4247-AAB9-1CC39769167B}"/>
    <cellStyle name="Comma 2 5 3 2 6" xfId="4436" xr:uid="{B2E4C9B9-2195-48FD-9FD4-E3923D1830F2}"/>
    <cellStyle name="Comma 2 5 3 2 6 2" xfId="8619" xr:uid="{BA31B4D1-4F53-4098-8D19-F306CDF65D53}"/>
    <cellStyle name="Comma 2 5 3 2 7" xfId="6003" xr:uid="{5D5CBD35-CB1B-457C-9687-B4C44A1E2D82}"/>
    <cellStyle name="Comma 2 5 3 3" xfId="848" xr:uid="{209AFCCB-4AF9-4ADA-9969-5C5E0C4BE36D}"/>
    <cellStyle name="Comma 2 5 3 3 2" xfId="704" xr:uid="{FA4F6DF7-26AE-4BCF-88B1-27652E7A3EC2}"/>
    <cellStyle name="Comma 2 5 3 3 2 2" xfId="3000" xr:uid="{BB12348A-BD70-4A87-8502-8CBFF163D0E3}"/>
    <cellStyle name="Comma 2 5 3 3 2 2 2" xfId="7203" xr:uid="{1F77833A-7823-4963-8772-F9F8C8A6B2A5}"/>
    <cellStyle name="Comma 2 5 3 3 2 3" xfId="4315" xr:uid="{BB7E74B1-6F20-4FC3-B0DD-CB1F37681CBB}"/>
    <cellStyle name="Comma 2 5 3 3 2 3 2" xfId="8500" xr:uid="{F41D5AD9-8FAB-48E7-9E9A-A036866D28CE}"/>
    <cellStyle name="Comma 2 5 3 3 2 4" xfId="5884" xr:uid="{DD28B755-6682-482A-BC45-887460CBFF07}"/>
    <cellStyle name="Comma 2 5 3 3 3" xfId="3091" xr:uid="{BFBB9DCC-B993-46E3-882E-FE4D0CEC0548}"/>
    <cellStyle name="Comma 2 5 3 3 3 2" xfId="7292" xr:uid="{F7AFE127-EA5D-4BAD-A52A-A222BFB8B40F}"/>
    <cellStyle name="Comma 2 5 3 3 4" xfId="4406" xr:uid="{0B0B3D9A-B26A-4DE4-882F-7C03BC119C46}"/>
    <cellStyle name="Comma 2 5 3 3 4 2" xfId="8589" xr:uid="{AC6705EA-FA5A-4569-B751-D31CD1D0EC77}"/>
    <cellStyle name="Comma 2 5 3 3 5" xfId="5973" xr:uid="{08D01319-CC58-410C-9A28-11FF7FB0BFAB}"/>
    <cellStyle name="Comma 2 5 3 4" xfId="1060" xr:uid="{160DBA46-8EB2-413C-AC19-5F272179EC99}"/>
    <cellStyle name="Comma 2 5 3 4 2" xfId="3262" xr:uid="{C1D98509-13AA-408B-976A-AEB9A186E308}"/>
    <cellStyle name="Comma 2 5 3 4 2 2" xfId="7460" xr:uid="{1B8A0EEF-4473-4C6D-8794-8D4E8EC989A7}"/>
    <cellStyle name="Comma 2 5 3 4 3" xfId="4579" xr:uid="{3D307B6B-1D9A-4797-96EE-0889806EAAAC}"/>
    <cellStyle name="Comma 2 5 3 4 3 2" xfId="8759" xr:uid="{FF7F4B7C-FC40-4424-8F94-3C218330D699}"/>
    <cellStyle name="Comma 2 5 3 4 4" xfId="6144" xr:uid="{715891B9-2DA3-4AB9-85BE-82E27E451FCD}"/>
    <cellStyle name="Comma 2 5 3 5" xfId="2344" xr:uid="{21222474-9937-48AF-AD58-E847F8203F60}"/>
    <cellStyle name="Comma 2 5 3 5 2" xfId="3698" xr:uid="{EA38C305-10F5-4D2F-8D08-CA08E90D8315}"/>
    <cellStyle name="Comma 2 5 3 5 2 2" xfId="7887" xr:uid="{712651A6-5B64-48FC-9C3A-7156A8C54062}"/>
    <cellStyle name="Comma 2 5 3 5 3" xfId="5019" xr:uid="{5ECAEC7A-D4D0-49C3-965F-24CF05E0C015}"/>
    <cellStyle name="Comma 2 5 3 5 3 2" xfId="9190" xr:uid="{BCFEF22D-6090-4045-A97A-2F9550BA8086}"/>
    <cellStyle name="Comma 2 5 3 5 4" xfId="6580" xr:uid="{7051C82B-3F2E-4CDA-850E-00E97C6EFFDE}"/>
    <cellStyle name="Comma 2 5 3 6" xfId="3508" xr:uid="{617C55BF-0128-4B17-8314-AE39FE6F2466}"/>
    <cellStyle name="Comma 2 5 3 6 2" xfId="7705" xr:uid="{4051FA61-08BA-4314-AD7A-5868AF276D4C}"/>
    <cellStyle name="Comma 2 5 3 7" xfId="4827" xr:uid="{5C17EEBC-AE56-4E9D-9A99-ED3843BE5913}"/>
    <cellStyle name="Comma 2 5 3 7 2" xfId="9006" xr:uid="{992A1174-D9D8-4B6B-80B9-8E3831873289}"/>
    <cellStyle name="Comma 2 5 3 8" xfId="6391" xr:uid="{BB4794BE-31BC-4081-8925-13773172D417}"/>
    <cellStyle name="Comma 2 5 4" xfId="1073" xr:uid="{BF09A9E7-1537-4727-84DA-320783BE1E0D}"/>
    <cellStyle name="Comma 2 5 4 2" xfId="1050" xr:uid="{CBF2CFE0-FB1D-4F9C-B2A1-5778200F1120}"/>
    <cellStyle name="Comma 2 5 4 2 2" xfId="846" xr:uid="{EFFDEEB6-41C4-4396-97F7-1F0175ED3019}"/>
    <cellStyle name="Comma 2 5 4 2 2 2" xfId="3089" xr:uid="{7A3CA12F-783F-4E38-A786-B94DD85E8F6A}"/>
    <cellStyle name="Comma 2 5 4 2 2 2 2" xfId="7290" xr:uid="{3CA8FBC5-5E1B-49C5-8920-FC3550045C60}"/>
    <cellStyle name="Comma 2 5 4 2 2 3" xfId="4404" xr:uid="{9A875DE4-A0D1-4AF2-A112-08AB5E733F54}"/>
    <cellStyle name="Comma 2 5 4 2 2 3 2" xfId="8587" xr:uid="{E882805E-172C-4B1D-99B4-A704F5F999DC}"/>
    <cellStyle name="Comma 2 5 4 2 2 4" xfId="5971" xr:uid="{1545B5A4-3461-4109-881A-9334DC4273CD}"/>
    <cellStyle name="Comma 2 5 4 2 3" xfId="2660" xr:uid="{66629F8A-B9B2-4954-A7F6-25F3A947ED1E}"/>
    <cellStyle name="Comma 2 5 4 2 3 2" xfId="4008" xr:uid="{09D5C285-7DCC-466C-9E5E-A332F28F92D0}"/>
    <cellStyle name="Comma 2 5 4 2 3 2 2" xfId="8197" xr:uid="{8822B9BB-489A-423E-B07C-AF80E6B4A8A0}"/>
    <cellStyle name="Comma 2 5 4 2 3 3" xfId="5329" xr:uid="{4D9D1161-3548-4D60-8BF6-B5F6932888FC}"/>
    <cellStyle name="Comma 2 5 4 2 3 3 2" xfId="9500" xr:uid="{D911B5D5-1B98-40D4-A383-BBA618444430}"/>
    <cellStyle name="Comma 2 5 4 2 3 4" xfId="6890" xr:uid="{CBF10107-D220-4D07-8D1F-60CCD11A0A48}"/>
    <cellStyle name="Comma 2 5 4 2 4" xfId="3257" xr:uid="{BE7F0744-ADF7-4A99-90C8-465EAC23FB56}"/>
    <cellStyle name="Comma 2 5 4 2 4 2" xfId="7455" xr:uid="{690DC680-B82B-45E4-AFEC-9C3A6E4A5A07}"/>
    <cellStyle name="Comma 2 5 4 2 5" xfId="4574" xr:uid="{83E86794-3856-4D96-B6E8-5EFCA08B71A1}"/>
    <cellStyle name="Comma 2 5 4 2 5 2" xfId="8754" xr:uid="{32D26FA4-20CE-471A-9BBA-EEDBD3A41542}"/>
    <cellStyle name="Comma 2 5 4 2 6" xfId="6139" xr:uid="{EC5B700C-B1B6-44EF-B82A-2435081FBE73}"/>
    <cellStyle name="Comma 2 5 4 3" xfId="1086" xr:uid="{7CC75B08-44D2-4F06-B0CC-4496D297A84C}"/>
    <cellStyle name="Comma 2 5 4 3 2" xfId="3280" xr:uid="{DCE783AE-72A5-4EA7-9995-D23280202160}"/>
    <cellStyle name="Comma 2 5 4 3 2 2" xfId="7477" xr:uid="{AA0D5C6D-0491-4D30-9330-E10C1578F77E}"/>
    <cellStyle name="Comma 2 5 4 3 3" xfId="4598" xr:uid="{E974E250-7CE7-4F34-840E-F68DDE2FF4A0}"/>
    <cellStyle name="Comma 2 5 4 3 3 2" xfId="8777" xr:uid="{588BB471-FC68-4E24-BA4A-7257EE34C215}"/>
    <cellStyle name="Comma 2 5 4 3 4" xfId="6162" xr:uid="{F424E4A3-5D51-400A-8998-C1E06B926349}"/>
    <cellStyle name="Comma 2 5 4 4" xfId="2420" xr:uid="{98E53009-EEA0-4014-BC0A-73FCD3904321}"/>
    <cellStyle name="Comma 2 5 4 4 2" xfId="3768" xr:uid="{4A852796-EF0D-4717-8AEC-D9D10E3E0EA5}"/>
    <cellStyle name="Comma 2 5 4 4 2 2" xfId="7957" xr:uid="{F5454B3A-B6E1-4C19-AFBE-8C8BFB2650F8}"/>
    <cellStyle name="Comma 2 5 4 4 3" xfId="5089" xr:uid="{9ED9DA5D-B4E0-41F1-B388-051944FA398E}"/>
    <cellStyle name="Comma 2 5 4 4 3 2" xfId="9260" xr:uid="{DEF46F1A-049D-48D7-8413-8D6F350D933C}"/>
    <cellStyle name="Comma 2 5 4 4 4" xfId="6650" xr:uid="{8B661324-09FE-4398-A68E-1D64ADD20372}"/>
    <cellStyle name="Comma 2 5 4 5" xfId="3273" xr:uid="{57CB0ED0-02ED-4DF0-8EAE-18F47119C01E}"/>
    <cellStyle name="Comma 2 5 4 5 2" xfId="7470" xr:uid="{22C32312-12C0-4336-ADA7-B1167328FF43}"/>
    <cellStyle name="Comma 2 5 4 6" xfId="4591" xr:uid="{CB1D6AA0-B8DA-4171-93F6-FC7E79D728B6}"/>
    <cellStyle name="Comma 2 5 4 6 2" xfId="8770" xr:uid="{14636E87-14A3-4137-B4F5-A3AA833AD61F}"/>
    <cellStyle name="Comma 2 5 4 7" xfId="6155" xr:uid="{8E2C89B5-3F05-45CD-ACC5-C8BE5B5141FB}"/>
    <cellStyle name="Comma 2 5 5" xfId="950" xr:uid="{4F4809E6-892C-401F-9DF6-F4B9973A7905}"/>
    <cellStyle name="Comma 2 5 5 2" xfId="977" xr:uid="{4C51FE32-1C30-43F9-92FC-C4D78B3B527A}"/>
    <cellStyle name="Comma 2 5 5 2 2" xfId="2685" xr:uid="{4BD36D87-15B1-42CD-9B70-9E8047123185}"/>
    <cellStyle name="Comma 2 5 5 2 2 2" xfId="4033" xr:uid="{FA1E7E06-E87C-4902-8944-EA6707797C7F}"/>
    <cellStyle name="Comma 2 5 5 2 2 2 2" xfId="8222" xr:uid="{635285DC-8503-47C3-AA26-B28BCCD0C2A1}"/>
    <cellStyle name="Comma 2 5 5 2 2 3" xfId="5354" xr:uid="{74538411-0CFD-4F8C-AA76-3AEFED965ADC}"/>
    <cellStyle name="Comma 2 5 5 2 2 3 2" xfId="9525" xr:uid="{A9881238-6EBB-4242-93F4-4B8FE1E72471}"/>
    <cellStyle name="Comma 2 5 5 2 2 4" xfId="6915" xr:uid="{ADD7AA54-F700-46B5-9C72-2EB56B42CDE0}"/>
    <cellStyle name="Comma 2 5 5 2 3" xfId="3185" xr:uid="{D03CC8BB-3705-41F9-BC80-3CC758603F7A}"/>
    <cellStyle name="Comma 2 5 5 2 3 2" xfId="7386" xr:uid="{D948932F-DDA9-45D1-8189-40E010E2AEDC}"/>
    <cellStyle name="Comma 2 5 5 2 4" xfId="4502" xr:uid="{0A85FA0C-AF26-4437-8545-3841D42C19AA}"/>
    <cellStyle name="Comma 2 5 5 2 4 2" xfId="8685" xr:uid="{EC061E4B-ABE8-4EDD-AFC6-4A3821D2B483}"/>
    <cellStyle name="Comma 2 5 5 2 5" xfId="6070" xr:uid="{421B594A-927C-4BA4-B54A-B21AD5CF8BB2}"/>
    <cellStyle name="Comma 2 5 5 3" xfId="2445" xr:uid="{8152B144-4650-46B1-9BB6-75C2E4738F3F}"/>
    <cellStyle name="Comma 2 5 5 3 2" xfId="3793" xr:uid="{3494E0A8-69AF-4253-B116-D2E0A9EBC24F}"/>
    <cellStyle name="Comma 2 5 5 3 2 2" xfId="7982" xr:uid="{9F0623E8-A3F9-43ED-B00B-6A23F0A789C9}"/>
    <cellStyle name="Comma 2 5 5 3 3" xfId="5114" xr:uid="{C08D8FB6-2073-4714-B6CA-0740B6643878}"/>
    <cellStyle name="Comma 2 5 5 3 3 2" xfId="9285" xr:uid="{D2861E85-E7FB-4BCC-8579-F9747E973DEE}"/>
    <cellStyle name="Comma 2 5 5 3 4" xfId="6675" xr:uid="{93564840-AABE-4DD3-A1DC-EB4ABCB84920}"/>
    <cellStyle name="Comma 2 5 5 4" xfId="3165" xr:uid="{4BFBA6C7-8B0E-4598-B83A-A13B1C6A0BC5}"/>
    <cellStyle name="Comma 2 5 5 4 2" xfId="7366" xr:uid="{D48A16CD-0FC8-4F21-92C6-6695AA153ACB}"/>
    <cellStyle name="Comma 2 5 5 5" xfId="4481" xr:uid="{962482CE-9203-4CBF-AAA4-5CCBF244F5F1}"/>
    <cellStyle name="Comma 2 5 5 5 2" xfId="8664" xr:uid="{AA1EBDD3-452F-4CC6-A6E5-F206087A58FA}"/>
    <cellStyle name="Comma 2 5 5 6" xfId="6049" xr:uid="{61C15F1C-3FED-4FAF-A6EC-D77F61FA28EF}"/>
    <cellStyle name="Comma 2 5 6" xfId="1834" xr:uid="{62BB6E62-416E-484E-8C38-9B25DB31F0F8}"/>
    <cellStyle name="Comma 2 5 6 2" xfId="2526" xr:uid="{80211667-4558-4479-AB67-69918DB3D074}"/>
    <cellStyle name="Comma 2 5 6 2 2" xfId="3874" xr:uid="{AD8C8E4E-2124-431E-9936-3A85D1110B2B}"/>
    <cellStyle name="Comma 2 5 6 2 2 2" xfId="8063" xr:uid="{3B9115B5-C4D5-4900-A0C3-591F6C86A4A2}"/>
    <cellStyle name="Comma 2 5 6 2 3" xfId="5195" xr:uid="{99C8C8BB-AABD-4C18-851B-7493FE215CDE}"/>
    <cellStyle name="Comma 2 5 6 2 3 2" xfId="9366" xr:uid="{1AE940BD-3935-4118-8D4E-D41D191603CD}"/>
    <cellStyle name="Comma 2 5 6 2 4" xfId="6756" xr:uid="{B24F77A0-DD1F-4822-AE52-9EFFD1CB4FB0}"/>
    <cellStyle name="Comma 2 5 6 3" xfId="3532" xr:uid="{0B6E2637-67FD-4CC8-8B01-564A3DA028C3}"/>
    <cellStyle name="Comma 2 5 6 3 2" xfId="7721" xr:uid="{D91F88EE-2D8F-4DBF-94A6-7D4460A5031C}"/>
    <cellStyle name="Comma 2 5 6 4" xfId="4852" xr:uid="{E6930229-D604-4977-9C13-5379AF886574}"/>
    <cellStyle name="Comma 2 5 6 4 2" xfId="9023" xr:uid="{F2B1478C-E6B1-4815-BE45-9DB310AE4B68}"/>
    <cellStyle name="Comma 2 5 6 5" xfId="6409" xr:uid="{0F30186D-AB91-4E7C-9430-BFB5E92B23D8}"/>
    <cellStyle name="Comma 2 5 7" xfId="2280" xr:uid="{E61425E4-7A2B-4993-8DC7-527D9AC63198}"/>
    <cellStyle name="Comma 2 5 7 2" xfId="3634" xr:uid="{5098D1DC-F789-441D-93DD-D45745DCA1F6}"/>
    <cellStyle name="Comma 2 5 7 2 2" xfId="7823" xr:uid="{A1C428A1-6E61-4F61-B90B-8AD21BB78BF0}"/>
    <cellStyle name="Comma 2 5 7 3" xfId="4955" xr:uid="{60F7E24B-EC6C-4236-B80E-860D798680B4}"/>
    <cellStyle name="Comma 2 5 7 3 2" xfId="9126" xr:uid="{D61B022F-B9D6-4C77-B9EC-5A41AE453979}"/>
    <cellStyle name="Comma 2 5 7 4" xfId="6516" xr:uid="{4921BB6E-D144-42DC-84AD-F194D0268D10}"/>
    <cellStyle name="Comma 2 5 8" xfId="2116" xr:uid="{0B2125F9-4216-4DC7-8D65-09D79BEAF456}"/>
    <cellStyle name="Comma 2 5 8 2" xfId="3553" xr:uid="{CFD7DE28-E21C-407A-926E-927651EEEF5C}"/>
    <cellStyle name="Comma 2 5 8 2 2" xfId="7742" xr:uid="{6B8D93A0-3195-40FB-9F65-C1EDED4E4034}"/>
    <cellStyle name="Comma 2 5 8 3" xfId="4874" xr:uid="{ACE85D07-674C-48E2-8061-E74757168AB1}"/>
    <cellStyle name="Comma 2 5 8 3 2" xfId="9045" xr:uid="{311C19EF-B904-4131-AB4B-3B31317DEB78}"/>
    <cellStyle name="Comma 2 5 8 4" xfId="6435" xr:uid="{3B402A46-EDB1-4AB8-991D-84F918F75618}"/>
    <cellStyle name="Comma 2 5 9" xfId="2849" xr:uid="{BD15BE15-8A5A-4AF3-B293-F25CB125568C}"/>
    <cellStyle name="Comma 2 5 9 2" xfId="7060" xr:uid="{8DD4C3ED-5A3F-47FD-A4E4-37CB810F0FCF}"/>
    <cellStyle name="Comma 2 6" xfId="174" xr:uid="{34F7F06C-39D7-45A9-895A-2C4BD7467D90}"/>
    <cellStyle name="Comma 2 6 2" xfId="623" xr:uid="{660F42CA-14CB-44B9-8469-71479F5C5D88}"/>
    <cellStyle name="Comma 2 6 2 2" xfId="2606" xr:uid="{180E9994-1E90-4905-887F-868987C6DE3E}"/>
    <cellStyle name="Comma 2 6 2 2 2" xfId="3954" xr:uid="{948E9FF5-559F-47E5-AC31-E452FC831AC8}"/>
    <cellStyle name="Comma 2 6 2 2 2 2" xfId="8143" xr:uid="{53772520-4D91-425B-9C5D-DF9C74AFBB66}"/>
    <cellStyle name="Comma 2 6 2 2 3" xfId="5275" xr:uid="{AD7E6526-831A-4AA1-B46D-A3BCE0B5B6A8}"/>
    <cellStyle name="Comma 2 6 2 2 3 2" xfId="9446" xr:uid="{1AA68542-161B-4673-AA22-3A29260E48FF}"/>
    <cellStyle name="Comma 2 6 2 2 4" xfId="6836" xr:uid="{AF459E77-BE5B-4825-A4E4-1EB79384F11B}"/>
    <cellStyle name="Comma 2 6 2 3" xfId="2360" xr:uid="{38E0FD9F-C60D-46CE-936F-366D91F9306B}"/>
    <cellStyle name="Comma 2 6 2 3 2" xfId="3714" xr:uid="{C4E8AF8D-9AF3-498C-8E23-EC7549A98CA3}"/>
    <cellStyle name="Comma 2 6 2 3 2 2" xfId="7903" xr:uid="{CC28FA9D-75BC-4EEA-AE8D-D24A8CB8C1BC}"/>
    <cellStyle name="Comma 2 6 2 3 3" xfId="5035" xr:uid="{A621B3ED-36F7-46AD-97B0-8D9E5DF5975E}"/>
    <cellStyle name="Comma 2 6 2 3 3 2" xfId="9206" xr:uid="{D75E6209-7EE4-41C8-ABA7-9C74D8E15F29}"/>
    <cellStyle name="Comma 2 6 2 3 4" xfId="6596" xr:uid="{0B1A1977-DDFB-45E7-8677-A65DE1E9A9AE}"/>
    <cellStyle name="Comma 2 6 2 4" xfId="2944" xr:uid="{135C8D81-A7E4-421A-B445-2E1E0792ED60}"/>
    <cellStyle name="Comma 2 6 2 4 2" xfId="7147" xr:uid="{2B93EC2C-8887-485E-88D4-981B8CC7E71D}"/>
    <cellStyle name="Comma 2 6 2 5" xfId="4255" xr:uid="{37B9EB44-EC57-4A8E-AAE1-9947F348093C}"/>
    <cellStyle name="Comma 2 6 2 5 2" xfId="8440" xr:uid="{5D00E7FC-2A5C-4C09-9E85-E01A430B5434}"/>
    <cellStyle name="Comma 2 6 2 6" xfId="5824" xr:uid="{0FE748A8-C156-4D97-924C-5396E3E6E526}"/>
    <cellStyle name="Comma 2 6 3" xfId="2461" xr:uid="{F65D86D4-5E70-47B5-91D8-10D16647522E}"/>
    <cellStyle name="Comma 2 6 3 2" xfId="2701" xr:uid="{027629FD-BA0D-4653-BA0B-932A3E32D56A}"/>
    <cellStyle name="Comma 2 6 3 2 2" xfId="4049" xr:uid="{73C1FA34-47FA-4C4C-8A90-48F7ECF45DDF}"/>
    <cellStyle name="Comma 2 6 3 2 2 2" xfId="8238" xr:uid="{E14BAFEC-1E5C-4402-9E39-3FF5F86E0614}"/>
    <cellStyle name="Comma 2 6 3 2 3" xfId="5370" xr:uid="{7853528B-CDCF-4E3C-B920-2413CF25E31A}"/>
    <cellStyle name="Comma 2 6 3 2 3 2" xfId="9541" xr:uid="{302F1615-983A-4D97-A0E4-ADDB601134D2}"/>
    <cellStyle name="Comma 2 6 3 2 4" xfId="6931" xr:uid="{D32B2E10-9EE8-4664-8BB0-1C777852C34D}"/>
    <cellStyle name="Comma 2 6 3 3" xfId="3809" xr:uid="{18332149-2B5F-4DBE-9F95-3477868C984E}"/>
    <cellStyle name="Comma 2 6 3 3 2" xfId="7998" xr:uid="{007F18DA-C6D5-4CDF-A346-C586D7B5EEF2}"/>
    <cellStyle name="Comma 2 6 3 4" xfId="5130" xr:uid="{C4BC22BA-EAD6-41D4-B3A6-16646DDD07A8}"/>
    <cellStyle name="Comma 2 6 3 4 2" xfId="9301" xr:uid="{9370518C-4404-4F5F-8004-D9F10629D4A3}"/>
    <cellStyle name="Comma 2 6 3 5" xfId="6691" xr:uid="{162FBBB5-B8E1-4257-887D-9150F4418D4E}"/>
    <cellStyle name="Comma 2 6 4" xfId="2542" xr:uid="{9A0AF7F1-E05E-4DE1-91A9-5B6F0EB36D9D}"/>
    <cellStyle name="Comma 2 6 4 2" xfId="3890" xr:uid="{12FB134E-0D9F-48C1-9A93-1602A2B32FA5}"/>
    <cellStyle name="Comma 2 6 4 2 2" xfId="8079" xr:uid="{1DEDA1FA-FDF1-4134-8C93-664CF87996DF}"/>
    <cellStyle name="Comma 2 6 4 3" xfId="5211" xr:uid="{F1BD0F7E-5ADA-4B6E-919A-4DF0EDD3BB71}"/>
    <cellStyle name="Comma 2 6 4 3 2" xfId="9382" xr:uid="{3744877D-13E2-4AAE-8B5E-976CF4106F06}"/>
    <cellStyle name="Comma 2 6 4 4" xfId="6772" xr:uid="{93CBD469-C392-46B7-B6A1-68151EC0FFC9}"/>
    <cellStyle name="Comma 2 6 5" xfId="2296" xr:uid="{0622AC3F-8B22-402A-94F0-BB80D31F2B4C}"/>
    <cellStyle name="Comma 2 6 5 2" xfId="3650" xr:uid="{4A1BF314-8943-4837-94D6-4FFE1E8139E5}"/>
    <cellStyle name="Comma 2 6 5 2 2" xfId="7839" xr:uid="{8F0CFD2B-956A-4559-8682-690F8BA2BD57}"/>
    <cellStyle name="Comma 2 6 5 3" xfId="4971" xr:uid="{9F9DB020-0535-4857-9FA7-9935C9761228}"/>
    <cellStyle name="Comma 2 6 5 3 2" xfId="9142" xr:uid="{2151AF3F-CA04-4AB5-8504-BDD0C425CECA}"/>
    <cellStyle name="Comma 2 6 5 4" xfId="6532" xr:uid="{0BCDD6A9-5187-433C-8C31-EC55172D268A}"/>
    <cellStyle name="Comma 2 6 6" xfId="2135" xr:uid="{C5DCD77E-EDCF-4B00-A6D6-211E61355E01}"/>
    <cellStyle name="Comma 2 6 6 2" xfId="3569" xr:uid="{6E5DED47-7514-41B6-B49E-44733063C896}"/>
    <cellStyle name="Comma 2 6 6 2 2" xfId="7758" xr:uid="{32577C83-CD3F-4B18-9B2D-BFA3B996CF5E}"/>
    <cellStyle name="Comma 2 6 6 3" xfId="4890" xr:uid="{DDD443EA-38E8-4DC4-B999-B3A3744CE157}"/>
    <cellStyle name="Comma 2 6 6 3 2" xfId="9061" xr:uid="{6C1012BE-AC51-4F4F-B449-810A98631420}"/>
    <cellStyle name="Comma 2 6 6 4" xfId="6451" xr:uid="{FE966172-02BD-4778-89FE-CDD575E4884C}"/>
    <cellStyle name="Comma 2 6 7" xfId="2850" xr:uid="{1228F215-8F9F-4A8A-A7DA-28B88CF7289E}"/>
    <cellStyle name="Comma 2 6 7 2" xfId="7061" xr:uid="{190DCFAC-BA19-4498-9756-6B3992A2D2A2}"/>
    <cellStyle name="Comma 2 6 8" xfId="4161" xr:uid="{D79ABECF-891D-4DA0-A2C5-CCEBA907D2BE}"/>
    <cellStyle name="Comma 2 6 8 2" xfId="8350" xr:uid="{2D88E55C-4024-4BB1-897A-2D3E7BB9A554}"/>
    <cellStyle name="Comma 2 6 9" xfId="5732" xr:uid="{D7E88060-7032-4DAC-A679-91F8B8EC6F65}"/>
    <cellStyle name="Comma 2 7" xfId="612" xr:uid="{898FC429-84C7-460D-B340-DC0248EE4AC8}"/>
    <cellStyle name="Comma 2 7 2" xfId="2493" xr:uid="{03985631-76EB-41F9-9ADA-D09FBE03B800}"/>
    <cellStyle name="Comma 2 7 2 2" xfId="2733" xr:uid="{0B338460-0EC2-4B42-87A7-8AAD2D863018}"/>
    <cellStyle name="Comma 2 7 2 2 2" xfId="4081" xr:uid="{4089DE53-BD52-403A-A39A-E61507D2E7E4}"/>
    <cellStyle name="Comma 2 7 2 2 2 2" xfId="8270" xr:uid="{3AAF8773-31CB-4FF7-9FF4-5D9DFC7522F7}"/>
    <cellStyle name="Comma 2 7 2 2 3" xfId="5402" xr:uid="{54BC9607-7BA2-4890-9D35-69882E83A262}"/>
    <cellStyle name="Comma 2 7 2 2 3 2" xfId="9573" xr:uid="{67FD1865-37F7-4A90-9042-E9345A842B69}"/>
    <cellStyle name="Comma 2 7 2 2 4" xfId="6963" xr:uid="{29203696-108C-419C-85C9-0A4E30AB56B5}"/>
    <cellStyle name="Comma 2 7 2 3" xfId="3841" xr:uid="{736BF06E-ABDC-4DAB-982C-2CF7B69E51C9}"/>
    <cellStyle name="Comma 2 7 2 3 2" xfId="8030" xr:uid="{6685626B-96E8-416D-A0A9-B510AF0881FA}"/>
    <cellStyle name="Comma 2 7 2 4" xfId="5162" xr:uid="{54CC83B4-E9A2-4C3C-87A1-F1CFC0C3AB6B}"/>
    <cellStyle name="Comma 2 7 2 4 2" xfId="9333" xr:uid="{2C1CB79C-E097-4699-8EB0-60D43E387D8B}"/>
    <cellStyle name="Comma 2 7 2 5" xfId="6723" xr:uid="{E64F733E-C862-4AED-A0AD-0D83D33B6705}"/>
    <cellStyle name="Comma 2 7 3" xfId="2574" xr:uid="{C577C96D-D505-4432-9182-66590F7906DB}"/>
    <cellStyle name="Comma 2 7 3 2" xfId="3922" xr:uid="{58F2CFB8-E7D8-4481-A5D7-8F1CD2D63772}"/>
    <cellStyle name="Comma 2 7 3 2 2" xfId="8111" xr:uid="{ECE271FA-4096-430A-B5EC-F027BD767259}"/>
    <cellStyle name="Comma 2 7 3 3" xfId="5243" xr:uid="{BA5EEF19-2204-4F3D-9D09-4F4C7000660C}"/>
    <cellStyle name="Comma 2 7 3 3 2" xfId="9414" xr:uid="{F184F060-567D-42D8-8552-322384863F6F}"/>
    <cellStyle name="Comma 2 7 3 4" xfId="6804" xr:uid="{CBDF000D-BF8F-4CC1-952B-1BF3DC3C6069}"/>
    <cellStyle name="Comma 2 7 4" xfId="2328" xr:uid="{61923C18-7D23-4902-8710-CF20EA5A1399}"/>
    <cellStyle name="Comma 2 7 4 2" xfId="3682" xr:uid="{DF10EAFE-8913-4CC3-9DBD-FE7E7D8BC6E4}"/>
    <cellStyle name="Comma 2 7 4 2 2" xfId="7871" xr:uid="{DCE792E6-CA46-4140-B51F-25108651BB7D}"/>
    <cellStyle name="Comma 2 7 4 3" xfId="5003" xr:uid="{A717A2F0-3035-49C8-864F-99CE48D8CD07}"/>
    <cellStyle name="Comma 2 7 4 3 2" xfId="9174" xr:uid="{571BDCAF-C51A-449D-917F-F46DEE5BB0FD}"/>
    <cellStyle name="Comma 2 7 4 4" xfId="6564" xr:uid="{978CC479-6B53-4686-8144-CBA805FF5D65}"/>
    <cellStyle name="Comma 2 7 5" xfId="2215" xr:uid="{051E4A97-F07A-49AD-B4E8-380E9F7627FB}"/>
    <cellStyle name="Comma 2 7 5 2" xfId="3601" xr:uid="{6E5DA698-5DD8-406B-A64B-503D3AD3C163}"/>
    <cellStyle name="Comma 2 7 5 2 2" xfId="7790" xr:uid="{088F4578-A3F1-4D9A-BBAC-04921BCCC46E}"/>
    <cellStyle name="Comma 2 7 5 3" xfId="4922" xr:uid="{081D9849-DE9B-469C-B034-F62DF120E29D}"/>
    <cellStyle name="Comma 2 7 5 3 2" xfId="9093" xr:uid="{3BF282DD-FA92-4614-AFCD-9EE4027ADA26}"/>
    <cellStyle name="Comma 2 7 5 4" xfId="6483" xr:uid="{09C9894C-745B-4588-8BFC-5CDC125EF5E0}"/>
    <cellStyle name="Comma 2 7 6" xfId="2933" xr:uid="{3B319BCF-F740-4458-A80F-1416AC0FCD3C}"/>
    <cellStyle name="Comma 2 7 6 2" xfId="7136" xr:uid="{9D3A36DB-2FB0-4E36-A3A8-02F25A3240CA}"/>
    <cellStyle name="Comma 2 7 7" xfId="4244" xr:uid="{B495C3AF-557F-4C27-B1FB-32053F203D34}"/>
    <cellStyle name="Comma 2 7 7 2" xfId="8429" xr:uid="{B2D76E1C-59E4-4C09-9A25-170B90FC1A5E}"/>
    <cellStyle name="Comma 2 7 8" xfId="5813" xr:uid="{D60DCFB6-67A4-4F1F-BC5E-9621E1052C62}"/>
    <cellStyle name="Comma 2 8" xfId="2400" xr:uid="{71D11A4C-C6EF-4119-823D-6986C1370555}"/>
    <cellStyle name="Comma 2 8 2" xfId="2640" xr:uid="{DF480E18-0ABD-41B2-95E0-792FBCE628DD}"/>
    <cellStyle name="Comma 2 8 2 2" xfId="3988" xr:uid="{B75139B0-A573-4F1C-8467-9028D9FF04ED}"/>
    <cellStyle name="Comma 2 8 2 2 2" xfId="8177" xr:uid="{18666EFF-9EBE-4BEA-AC46-641D31DA6C3F}"/>
    <cellStyle name="Comma 2 8 2 3" xfId="5309" xr:uid="{3F074183-0618-4AB4-8E10-6009113FEEAC}"/>
    <cellStyle name="Comma 2 8 2 3 2" xfId="9480" xr:uid="{61CE6F79-BF1F-4F21-9761-343EC7ECA371}"/>
    <cellStyle name="Comma 2 8 2 4" xfId="6870" xr:uid="{F840B948-376B-4AE6-9E35-44E6544DE36E}"/>
    <cellStyle name="Comma 2 8 3" xfId="3748" xr:uid="{E0ED3580-3D40-46B0-950C-BBD021D906AC}"/>
    <cellStyle name="Comma 2 8 3 2" xfId="7937" xr:uid="{F63698A7-1DEF-4DA4-95D3-3863E70959A2}"/>
    <cellStyle name="Comma 2 8 4" xfId="5069" xr:uid="{14F6287E-85D7-4246-A6F7-290F88EFD911}"/>
    <cellStyle name="Comma 2 8 4 2" xfId="9240" xr:uid="{99DE4F06-4511-4A15-AC98-0AE83DFBFA65}"/>
    <cellStyle name="Comma 2 8 5" xfId="6630" xr:uid="{65F45D65-38B3-4C4F-8395-037A658EAE00}"/>
    <cellStyle name="Comma 2 9" xfId="2429" xr:uid="{CC5DCC44-8D97-4DAB-BD62-169DB759DBEE}"/>
    <cellStyle name="Comma 2 9 2" xfId="2669" xr:uid="{E15F18DC-F0C6-4DAC-872F-134580E312D6}"/>
    <cellStyle name="Comma 2 9 2 2" xfId="4017" xr:uid="{1E5785F2-C0FF-44D4-846E-31495BDFEBA2}"/>
    <cellStyle name="Comma 2 9 2 2 2" xfId="8206" xr:uid="{854D6999-0737-4BA6-A700-42C5BD01E5A3}"/>
    <cellStyle name="Comma 2 9 2 3" xfId="5338" xr:uid="{E876B7CE-EA7B-4A58-A8A4-3401D7E69C27}"/>
    <cellStyle name="Comma 2 9 2 3 2" xfId="9509" xr:uid="{0427AF79-C92E-49F9-BC95-F889CFFFD6A7}"/>
    <cellStyle name="Comma 2 9 2 4" xfId="6899" xr:uid="{5D0339D0-15A1-4912-9E8B-89062E5C6CF6}"/>
    <cellStyle name="Comma 2 9 3" xfId="3777" xr:uid="{0D4EC150-F2EF-4330-B85D-72C4601877B7}"/>
    <cellStyle name="Comma 2 9 3 2" xfId="7966" xr:uid="{E616ED81-EC4D-48B5-B878-4E613B8B7F2B}"/>
    <cellStyle name="Comma 2 9 4" xfId="5098" xr:uid="{FAE963D0-2A8B-452D-A499-9ECC3DA68F75}"/>
    <cellStyle name="Comma 2 9 4 2" xfId="9269" xr:uid="{980B0129-19D6-40F7-94A9-6C930C08BD9A}"/>
    <cellStyle name="Comma 2 9 5" xfId="6659" xr:uid="{D4233653-CB84-4938-BDAC-34E15DA3690D}"/>
    <cellStyle name="Comma 20" xfId="9618" xr:uid="{1DE83863-F11C-40EF-A0A3-E448F3B6C165}"/>
    <cellStyle name="Comma 3" xfId="175" xr:uid="{70CB2891-70C4-43F9-A7D1-4C7DBA5683A4}"/>
    <cellStyle name="Comma 3 10" xfId="2265" xr:uid="{3EB36C8A-391E-4505-8D79-20E106A8B5AD}"/>
    <cellStyle name="Comma 3 10 2" xfId="3619" xr:uid="{1FA2260D-45D7-4478-8861-306824307D26}"/>
    <cellStyle name="Comma 3 10 2 2" xfId="7808" xr:uid="{EB03B9D5-5304-430C-9E28-07D46EB9413E}"/>
    <cellStyle name="Comma 3 10 3" xfId="4940" xr:uid="{D4D793E4-988B-484A-9722-18C4857FDD8F}"/>
    <cellStyle name="Comma 3 10 3 2" xfId="9111" xr:uid="{905AD4C5-0C3B-487A-990F-66099AB9DCBB}"/>
    <cellStyle name="Comma 3 10 4" xfId="6501" xr:uid="{221ADA05-9485-4E60-A5D7-FA56328865AE}"/>
    <cellStyle name="Comma 3 11" xfId="2095" xr:uid="{A3562C84-3D58-4BBE-A216-4891456008ED}"/>
    <cellStyle name="Comma 3 11 2" xfId="3538" xr:uid="{726038A3-DCC6-4EF9-9A6D-4E89E60E1404}"/>
    <cellStyle name="Comma 3 11 2 2" xfId="7727" xr:uid="{7311E757-79C3-4F36-9CB6-5E317B524965}"/>
    <cellStyle name="Comma 3 11 3" xfId="4859" xr:uid="{B9608BCD-CE2B-4EC2-B1E5-1A760E50F278}"/>
    <cellStyle name="Comma 3 11 3 2" xfId="9030" xr:uid="{DBC8346C-A6A6-4F55-9621-CEFFA1D09BCD}"/>
    <cellStyle name="Comma 3 11 4" xfId="6420" xr:uid="{BBB08E71-3A73-4C58-AEDE-F511D32233EF}"/>
    <cellStyle name="Comma 3 12" xfId="2851" xr:uid="{9EDCA0BB-295F-4C22-82B5-57F1FB4AD6CA}"/>
    <cellStyle name="Comma 3 12 2" xfId="7062" xr:uid="{E68CC568-FB27-4BBA-BDE3-117D7DBA3741}"/>
    <cellStyle name="Comma 3 13" xfId="4162" xr:uid="{1D0A5DF4-A0B4-46D7-BD71-D97FC47D88CD}"/>
    <cellStyle name="Comma 3 13 2" xfId="8351" xr:uid="{25191F01-0E55-4C3D-8382-9FBB9240EF1A}"/>
    <cellStyle name="Comma 3 14" xfId="5733" xr:uid="{40EF1080-CEAA-4CE6-A75F-67535A8150D1}"/>
    <cellStyle name="Comma 3 2" xfId="176" xr:uid="{2B8775BC-874E-441D-B0E5-15E6E4307E3A}"/>
    <cellStyle name="Comma 3 2 10" xfId="2101" xr:uid="{E6E68F7E-AB8F-4A1A-9A76-67ADB7D807BF}"/>
    <cellStyle name="Comma 3 2 10 2" xfId="3542" xr:uid="{9C3C917D-CB6A-4379-A568-87BA5B1D3F41}"/>
    <cellStyle name="Comma 3 2 10 2 2" xfId="7731" xr:uid="{00A69E79-1545-49AF-A767-9A0D9F732C65}"/>
    <cellStyle name="Comma 3 2 10 3" xfId="4863" xr:uid="{C6877AC5-3C0A-4705-B565-7EE39DFA662D}"/>
    <cellStyle name="Comma 3 2 10 3 2" xfId="9034" xr:uid="{EC1AF87B-AD0F-4636-A87C-66BCEE3C72D7}"/>
    <cellStyle name="Comma 3 2 10 4" xfId="6424" xr:uid="{D027C0E4-94F0-4C88-BB52-18815C96DBC1}"/>
    <cellStyle name="Comma 3 2 11" xfId="4163" xr:uid="{086D463D-0B69-475A-BB92-C7DDD4163879}"/>
    <cellStyle name="Comma 3 2 11 2" xfId="8352" xr:uid="{D6A22EC3-ACC4-45A6-92D8-B0439D11DCB2}"/>
    <cellStyle name="Comma 3 2 12" xfId="5734" xr:uid="{703DA723-0291-4A9E-A339-D7E578B8D761}"/>
    <cellStyle name="Comma 3 2 2" xfId="625" xr:uid="{6F1BA6AA-7082-4950-8594-CB709040716C}"/>
    <cellStyle name="Comma 3 2 2 10" xfId="2946" xr:uid="{FC2C72C0-A5F3-4905-918F-19C8B32481EF}"/>
    <cellStyle name="Comma 3 2 2 10 2" xfId="7149" xr:uid="{66F3624F-A275-415F-A889-15BF92403E87}"/>
    <cellStyle name="Comma 3 2 2 11" xfId="4257" xr:uid="{0F90CBB0-93D3-4AD1-A2AF-B7B982018557}"/>
    <cellStyle name="Comma 3 2 2 11 2" xfId="8442" xr:uid="{EF867CED-4AE4-4915-9DAA-B1B94AA61B46}"/>
    <cellStyle name="Comma 3 2 2 12" xfId="5826" xr:uid="{848F2E3B-E02E-4A5E-A214-6EA5B419026B}"/>
    <cellStyle name="Comma 3 2 2 2" xfId="721" xr:uid="{242F0C68-30FA-4054-938B-EA8300F65966}"/>
    <cellStyle name="Comma 3 2 2 2 10" xfId="5891" xr:uid="{C5DF16EE-4721-44F9-A03E-8AC1014A79B1}"/>
    <cellStyle name="Comma 3 2 2 2 2" xfId="2164" xr:uid="{7B0A936A-1D3E-427E-85B6-02EE6419AA60}"/>
    <cellStyle name="Comma 3 2 2 2 2 2" xfId="2389" xr:uid="{61CA6514-99F0-4ED1-9FB7-5150B778FF9F}"/>
    <cellStyle name="Comma 3 2 2 2 2 2 2" xfId="2635" xr:uid="{C2954CC7-D56D-45E0-934A-8101D1077F7B}"/>
    <cellStyle name="Comma 3 2 2 2 2 2 2 2" xfId="3983" xr:uid="{D7A8CB10-EEEA-4990-94E3-E96A96832F2D}"/>
    <cellStyle name="Comma 3 2 2 2 2 2 2 2 2" xfId="8172" xr:uid="{CDA61559-7726-425D-AA91-31ADCC94B7AA}"/>
    <cellStyle name="Comma 3 2 2 2 2 2 2 3" xfId="5304" xr:uid="{454720F9-BE4D-499A-8823-FB0938E3638B}"/>
    <cellStyle name="Comma 3 2 2 2 2 2 2 3 2" xfId="9475" xr:uid="{D6BB12AC-2EDE-4851-A182-6CA5D7B3BF58}"/>
    <cellStyle name="Comma 3 2 2 2 2 2 2 4" xfId="6865" xr:uid="{B5AF4728-6F4B-407B-8EA5-A04722446523}"/>
    <cellStyle name="Comma 3 2 2 2 2 2 3" xfId="3743" xr:uid="{166D1183-E987-4151-8772-37C5180F4BED}"/>
    <cellStyle name="Comma 3 2 2 2 2 2 3 2" xfId="7932" xr:uid="{C5A2E56A-8724-42E6-A85B-E332EF5F997E}"/>
    <cellStyle name="Comma 3 2 2 2 2 2 4" xfId="5064" xr:uid="{FB6BD51E-7F1F-4F9F-B8C4-048BF2886E09}"/>
    <cellStyle name="Comma 3 2 2 2 2 2 4 2" xfId="9235" xr:uid="{18D70D02-7499-4B33-BE1B-3F76B11AC7B7}"/>
    <cellStyle name="Comma 3 2 2 2 2 2 5" xfId="6625" xr:uid="{13FD673A-A4E1-4E58-9139-9941CCDBFCAF}"/>
    <cellStyle name="Comma 3 2 2 2 2 3" xfId="2490" xr:uid="{CE7351B0-E698-4774-BCEF-8ACF401CA709}"/>
    <cellStyle name="Comma 3 2 2 2 2 3 2" xfId="2730" xr:uid="{4652206E-770A-4E84-A492-DBBDD8391765}"/>
    <cellStyle name="Comma 3 2 2 2 2 3 2 2" xfId="4078" xr:uid="{663A5719-715A-471A-BFA9-28E1879CE3D8}"/>
    <cellStyle name="Comma 3 2 2 2 2 3 2 2 2" xfId="8267" xr:uid="{6C27416A-B580-40A5-AF51-24F8D9D6E5D2}"/>
    <cellStyle name="Comma 3 2 2 2 2 3 2 3" xfId="5399" xr:uid="{1E738888-56D8-4700-AD7F-3ACF63E32502}"/>
    <cellStyle name="Comma 3 2 2 2 2 3 2 3 2" xfId="9570" xr:uid="{9A2912FD-F6D0-4BF4-8AF2-AAAF99EDB5B6}"/>
    <cellStyle name="Comma 3 2 2 2 2 3 2 4" xfId="6960" xr:uid="{75E39D39-AFC9-4998-93D9-73351A58A663}"/>
    <cellStyle name="Comma 3 2 2 2 2 3 3" xfId="3838" xr:uid="{B15A06F9-6AD2-4DF7-9157-F15A89081009}"/>
    <cellStyle name="Comma 3 2 2 2 2 3 3 2" xfId="8027" xr:uid="{BAFCC641-6807-439A-BF3C-A57F53A3C307}"/>
    <cellStyle name="Comma 3 2 2 2 2 3 4" xfId="5159" xr:uid="{3D2BB9F4-03A5-48C7-8C53-20AAA57771F2}"/>
    <cellStyle name="Comma 3 2 2 2 2 3 4 2" xfId="9330" xr:uid="{A828AA67-D771-4336-A48F-B850CE6F6FD7}"/>
    <cellStyle name="Comma 3 2 2 2 2 3 5" xfId="6720" xr:uid="{17DAF4DE-B70B-4866-8459-4F76ACB9A9F3}"/>
    <cellStyle name="Comma 3 2 2 2 2 4" xfId="2571" xr:uid="{7B6416EC-4366-4D14-B841-205F052CB437}"/>
    <cellStyle name="Comma 3 2 2 2 2 4 2" xfId="3919" xr:uid="{D793AFB0-405A-4D77-89F8-A72EA4188A37}"/>
    <cellStyle name="Comma 3 2 2 2 2 4 2 2" xfId="8108" xr:uid="{43C68199-7890-445A-974C-CBC29474AF37}"/>
    <cellStyle name="Comma 3 2 2 2 2 4 3" xfId="5240" xr:uid="{252B91E9-787D-44F3-8EEA-0A00A78009F7}"/>
    <cellStyle name="Comma 3 2 2 2 2 4 3 2" xfId="9411" xr:uid="{03ED1F04-AB34-443B-BFB4-D986B9010D67}"/>
    <cellStyle name="Comma 3 2 2 2 2 4 4" xfId="6801" xr:uid="{4C73D141-067A-4C2C-86AE-00DA4E524CED}"/>
    <cellStyle name="Comma 3 2 2 2 2 5" xfId="2325" xr:uid="{58E2D035-DB89-4EC4-A569-E52053A8E911}"/>
    <cellStyle name="Comma 3 2 2 2 2 5 2" xfId="3679" xr:uid="{49CE019F-46D3-45A1-B531-557550F5B312}"/>
    <cellStyle name="Comma 3 2 2 2 2 5 2 2" xfId="7868" xr:uid="{52049805-C498-4DB5-B3D5-B69EC4F3442F}"/>
    <cellStyle name="Comma 3 2 2 2 2 5 3" xfId="5000" xr:uid="{388FC28B-8F7B-4631-B4FB-E3181EEAD325}"/>
    <cellStyle name="Comma 3 2 2 2 2 5 3 2" xfId="9171" xr:uid="{D09126CE-D894-426A-A925-1AB64744A29F}"/>
    <cellStyle name="Comma 3 2 2 2 2 5 4" xfId="6561" xr:uid="{D68C027D-8D10-410F-8B93-011ECC025E4B}"/>
    <cellStyle name="Comma 3 2 2 2 2 6" xfId="3598" xr:uid="{741230B9-8397-4F63-8302-DAD44CBB5AB2}"/>
    <cellStyle name="Comma 3 2 2 2 2 6 2" xfId="7787" xr:uid="{D21ED3AF-1DA6-4E4D-812B-72804D84A609}"/>
    <cellStyle name="Comma 3 2 2 2 2 7" xfId="4919" xr:uid="{0FC4B0A0-CCD4-45E5-8EA9-8E5D8BDFAB23}"/>
    <cellStyle name="Comma 3 2 2 2 2 7 2" xfId="9090" xr:uid="{43CB866B-C246-424D-BF3E-C037821A2DC0}"/>
    <cellStyle name="Comma 3 2 2 2 2 8" xfId="6480" xr:uid="{288FC0A6-41E2-4B26-8E82-1585BE832CE2}"/>
    <cellStyle name="Comma 3 2 2 2 3" xfId="2357" xr:uid="{A5F317E0-8924-43F3-8DAE-21B50A34BBA8}"/>
    <cellStyle name="Comma 3 2 2 2 3 2" xfId="2603" xr:uid="{9D0A6CA4-0B71-4234-A514-29E032CC0C3E}"/>
    <cellStyle name="Comma 3 2 2 2 3 2 2" xfId="3951" xr:uid="{A6E1FC49-04BF-4A91-A373-119B18225CF8}"/>
    <cellStyle name="Comma 3 2 2 2 3 2 2 2" xfId="8140" xr:uid="{464119B7-B46B-4EAF-B91B-56CB751141BE}"/>
    <cellStyle name="Comma 3 2 2 2 3 2 3" xfId="5272" xr:uid="{FABEC551-61BB-4756-97BD-FB852D952471}"/>
    <cellStyle name="Comma 3 2 2 2 3 2 3 2" xfId="9443" xr:uid="{3C2552BA-9FAE-4B9F-B315-D15812EE18A6}"/>
    <cellStyle name="Comma 3 2 2 2 3 2 4" xfId="6833" xr:uid="{52FAF6E9-30F3-4DE6-BE6B-BC61D312F184}"/>
    <cellStyle name="Comma 3 2 2 2 3 3" xfId="3711" xr:uid="{F2287BC0-8AE4-40E4-935C-E2DA4D312073}"/>
    <cellStyle name="Comma 3 2 2 2 3 3 2" xfId="7900" xr:uid="{5B44FD54-6473-4492-B127-1608560BF9B9}"/>
    <cellStyle name="Comma 3 2 2 2 3 4" xfId="5032" xr:uid="{47AE8239-B570-4B9E-B381-B77BF9030DCF}"/>
    <cellStyle name="Comma 3 2 2 2 3 4 2" xfId="9203" xr:uid="{C418BD54-603A-48C7-A727-2F2A73AE9CC0}"/>
    <cellStyle name="Comma 3 2 2 2 3 5" xfId="6593" xr:uid="{4AA8B60C-0E33-46EB-9783-E58C006CE137}"/>
    <cellStyle name="Comma 3 2 2 2 4" xfId="2458" xr:uid="{8C3BE948-EDA4-44FD-9197-27A9D7EC9DA3}"/>
    <cellStyle name="Comma 3 2 2 2 4 2" xfId="2698" xr:uid="{314F20E3-E0A6-42BA-AE82-B03A069CBEDF}"/>
    <cellStyle name="Comma 3 2 2 2 4 2 2" xfId="4046" xr:uid="{9D605114-5D8C-4A45-AEFE-7D9D827EA7DA}"/>
    <cellStyle name="Comma 3 2 2 2 4 2 2 2" xfId="8235" xr:uid="{B458A590-B75F-4137-9DF4-9F6606C30D65}"/>
    <cellStyle name="Comma 3 2 2 2 4 2 3" xfId="5367" xr:uid="{DBF02E08-4DB9-4831-B1AC-3200061064C1}"/>
    <cellStyle name="Comma 3 2 2 2 4 2 3 2" xfId="9538" xr:uid="{4DF171B2-65A0-4B51-BFD2-E18C07C03B8C}"/>
    <cellStyle name="Comma 3 2 2 2 4 2 4" xfId="6928" xr:uid="{F45BA7BF-9518-4AC7-8B8D-9D06FBD8AF1E}"/>
    <cellStyle name="Comma 3 2 2 2 4 3" xfId="3806" xr:uid="{4178C13E-1AC1-45FB-8E53-A2A0A4725978}"/>
    <cellStyle name="Comma 3 2 2 2 4 3 2" xfId="7995" xr:uid="{24240BEC-E74B-441C-A8D9-0D337EE79291}"/>
    <cellStyle name="Comma 3 2 2 2 4 4" xfId="5127" xr:uid="{5AE43EE7-B390-4964-A045-6763EA896233}"/>
    <cellStyle name="Comma 3 2 2 2 4 4 2" xfId="9298" xr:uid="{BF6DC7B9-944E-4E5A-AFA6-1037F4684610}"/>
    <cellStyle name="Comma 3 2 2 2 4 5" xfId="6688" xr:uid="{B2C58185-4EA2-4741-BB04-6DD91F405815}"/>
    <cellStyle name="Comma 3 2 2 2 5" xfId="2539" xr:uid="{24DEB5D7-3C36-43C5-95FF-045D04753F49}"/>
    <cellStyle name="Comma 3 2 2 2 5 2" xfId="3887" xr:uid="{246A685B-FB32-4591-9E44-6A98291FBED4}"/>
    <cellStyle name="Comma 3 2 2 2 5 2 2" xfId="8076" xr:uid="{35DDC658-3BB5-4921-89F6-FB74B815C23B}"/>
    <cellStyle name="Comma 3 2 2 2 5 3" xfId="5208" xr:uid="{6F38FA62-C6C8-4DFF-ABE0-A063D3E7C0F6}"/>
    <cellStyle name="Comma 3 2 2 2 5 3 2" xfId="9379" xr:uid="{8FE94D10-DE19-4C44-A3F4-D91AE1AEA027}"/>
    <cellStyle name="Comma 3 2 2 2 5 4" xfId="6769" xr:uid="{00A73687-E237-403F-90DE-9DEE4872D2EE}"/>
    <cellStyle name="Comma 3 2 2 2 6" xfId="2293" xr:uid="{9F4C7DF5-8EBD-4428-ADA3-530C77BAFDDC}"/>
    <cellStyle name="Comma 3 2 2 2 6 2" xfId="3647" xr:uid="{DD9F7831-FEE4-4EB5-A598-35D5B4461127}"/>
    <cellStyle name="Comma 3 2 2 2 6 2 2" xfId="7836" xr:uid="{C0100FEC-3717-477D-B0A3-1D9D7A4ADBC7}"/>
    <cellStyle name="Comma 3 2 2 2 6 3" xfId="4968" xr:uid="{11D05CDD-1794-4307-BFE6-4011F9DB4B1F}"/>
    <cellStyle name="Comma 3 2 2 2 6 3 2" xfId="9139" xr:uid="{4EA7BF2A-CBC4-4840-A9C3-6C0482CBB1BF}"/>
    <cellStyle name="Comma 3 2 2 2 6 4" xfId="6529" xr:uid="{72A8CB0E-8A70-4EDF-B708-604093B268FD}"/>
    <cellStyle name="Comma 3 2 2 2 7" xfId="2129" xr:uid="{72548E08-9FA1-4C56-9ECC-94CCAF2D7505}"/>
    <cellStyle name="Comma 3 2 2 2 7 2" xfId="3566" xr:uid="{032107DA-465B-4D78-BCC7-AD47F55CA180}"/>
    <cellStyle name="Comma 3 2 2 2 7 2 2" xfId="7755" xr:uid="{2188B1AD-F488-43D8-8FEA-CE37D12B9D29}"/>
    <cellStyle name="Comma 3 2 2 2 7 3" xfId="4887" xr:uid="{41F2266C-FA7F-404E-8457-E52EAEEC1C40}"/>
    <cellStyle name="Comma 3 2 2 2 7 3 2" xfId="9058" xr:uid="{BEFEC640-236B-4673-8733-88C02E92DA39}"/>
    <cellStyle name="Comma 3 2 2 2 7 4" xfId="6448" xr:uid="{3F82EA5A-8AED-4955-AAD6-14B79FED4775}"/>
    <cellStyle name="Comma 3 2 2 2 8" xfId="3007" xr:uid="{D7C9F713-6FE1-4C03-9E2D-4B4BEE73587F}"/>
    <cellStyle name="Comma 3 2 2 2 8 2" xfId="7210" xr:uid="{107CCA67-9EDF-41BD-BCA0-3B5C4B395126}"/>
    <cellStyle name="Comma 3 2 2 2 9" xfId="4322" xr:uid="{087E5FF6-6F5C-44B2-93B6-9E702C852939}"/>
    <cellStyle name="Comma 3 2 2 2 9 2" xfId="8507" xr:uid="{75823E74-48C5-4232-9C51-99CD68D6EE8A}"/>
    <cellStyle name="Comma 3 2 2 3" xfId="703" xr:uid="{E80D27EA-8B9D-4F97-BA7F-4D7927C19AD6}"/>
    <cellStyle name="Comma 3 2 2 3 2" xfId="2373" xr:uid="{3DE58A24-5139-4C67-AB0E-19CF1AFE54A1}"/>
    <cellStyle name="Comma 3 2 2 3 2 2" xfId="2619" xr:uid="{EEA0411B-5E66-4EDF-BE63-D8CCDB030885}"/>
    <cellStyle name="Comma 3 2 2 3 2 2 2" xfId="3967" xr:uid="{6B71B29D-BD62-46EF-9851-9AFABFE988EC}"/>
    <cellStyle name="Comma 3 2 2 3 2 2 2 2" xfId="8156" xr:uid="{D41B5E9A-24BA-40FC-A239-4775B0501B72}"/>
    <cellStyle name="Comma 3 2 2 3 2 2 3" xfId="5288" xr:uid="{E211D0BC-8449-48C1-AA10-09484AFEB943}"/>
    <cellStyle name="Comma 3 2 2 3 2 2 3 2" xfId="9459" xr:uid="{286E76EC-CBC8-4DC8-BB3A-BA45410A209C}"/>
    <cellStyle name="Comma 3 2 2 3 2 2 4" xfId="6849" xr:uid="{477419CA-A06B-4913-97E9-1BDC9F42889C}"/>
    <cellStyle name="Comma 3 2 2 3 2 3" xfId="3727" xr:uid="{F94054EF-74BA-4B65-8E22-00955CC17CC8}"/>
    <cellStyle name="Comma 3 2 2 3 2 3 2" xfId="7916" xr:uid="{F6DDFD9D-E60B-4FE8-B563-256B3913931C}"/>
    <cellStyle name="Comma 3 2 2 3 2 4" xfId="5048" xr:uid="{6BCB9411-CDD5-464D-BD30-7C2F45FB078B}"/>
    <cellStyle name="Comma 3 2 2 3 2 4 2" xfId="9219" xr:uid="{31B429A6-1FD0-4399-BC70-488B720DC18F}"/>
    <cellStyle name="Comma 3 2 2 3 2 5" xfId="6609" xr:uid="{6A615A92-A89B-44CA-8A90-530C675492C2}"/>
    <cellStyle name="Comma 3 2 2 3 3" xfId="2474" xr:uid="{0593BECA-CD7C-44AC-951D-4E46365DBD48}"/>
    <cellStyle name="Comma 3 2 2 3 3 2" xfId="2714" xr:uid="{45669771-6E27-427D-A8C1-DAE538B36398}"/>
    <cellStyle name="Comma 3 2 2 3 3 2 2" xfId="4062" xr:uid="{7523B32D-2FDE-48D0-8EB7-B485324FD476}"/>
    <cellStyle name="Comma 3 2 2 3 3 2 2 2" xfId="8251" xr:uid="{A195C7D6-E5D5-412E-ABA5-E9BED40A5753}"/>
    <cellStyle name="Comma 3 2 2 3 3 2 3" xfId="5383" xr:uid="{135CF14A-5C40-471A-BEFF-2EF1CBDED1E8}"/>
    <cellStyle name="Comma 3 2 2 3 3 2 3 2" xfId="9554" xr:uid="{AE610FDE-616F-4969-AC68-415CD83938E9}"/>
    <cellStyle name="Comma 3 2 2 3 3 2 4" xfId="6944" xr:uid="{2F4F9CBE-0223-4F45-BDA5-8F171E200D82}"/>
    <cellStyle name="Comma 3 2 2 3 3 3" xfId="3822" xr:uid="{8D1CB495-DAC5-4797-A1E4-D71AC4127BBC}"/>
    <cellStyle name="Comma 3 2 2 3 3 3 2" xfId="8011" xr:uid="{C9DFF35D-3B4D-4D79-B8E8-18B43683A1F1}"/>
    <cellStyle name="Comma 3 2 2 3 3 4" xfId="5143" xr:uid="{1CAF178E-0954-470D-9235-49CD5187300F}"/>
    <cellStyle name="Comma 3 2 2 3 3 4 2" xfId="9314" xr:uid="{BA204077-B5CC-4350-A39F-2D4DA5E03442}"/>
    <cellStyle name="Comma 3 2 2 3 3 5" xfId="6704" xr:uid="{1329B399-97C9-4787-A5BB-76A766F2BFBA}"/>
    <cellStyle name="Comma 3 2 2 3 4" xfId="2555" xr:uid="{1021EFB1-7BE7-4CA7-9352-B94B8C21AB34}"/>
    <cellStyle name="Comma 3 2 2 3 4 2" xfId="3903" xr:uid="{D6DC1C61-14E7-47AE-876F-848370E28579}"/>
    <cellStyle name="Comma 3 2 2 3 4 2 2" xfId="8092" xr:uid="{E464AE6B-747E-47F2-BE6B-1C065587B6E5}"/>
    <cellStyle name="Comma 3 2 2 3 4 3" xfId="5224" xr:uid="{058B6595-6AFF-403D-B652-81FD09BAA0AF}"/>
    <cellStyle name="Comma 3 2 2 3 4 3 2" xfId="9395" xr:uid="{32AAB8B9-075B-4D66-BFB4-0AB05A5E4220}"/>
    <cellStyle name="Comma 3 2 2 3 4 4" xfId="6785" xr:uid="{C74731E6-D086-47D1-9A75-23860E0C4658}"/>
    <cellStyle name="Comma 3 2 2 3 5" xfId="2309" xr:uid="{AC13B0DC-7677-42D4-A576-D244BEFA49BB}"/>
    <cellStyle name="Comma 3 2 2 3 5 2" xfId="3663" xr:uid="{1DC0177D-D640-4D83-911A-6D273A023E62}"/>
    <cellStyle name="Comma 3 2 2 3 5 2 2" xfId="7852" xr:uid="{58B4F1F7-F41D-4B9B-808D-984F47380E3F}"/>
    <cellStyle name="Comma 3 2 2 3 5 3" xfId="4984" xr:uid="{AC19C428-954D-4F80-B11C-29209DC781DE}"/>
    <cellStyle name="Comma 3 2 2 3 5 3 2" xfId="9155" xr:uid="{BD78203E-8AD4-4E64-9E32-F1E04311B899}"/>
    <cellStyle name="Comma 3 2 2 3 5 4" xfId="6545" xr:uid="{635999BE-B1F1-46C1-8899-A9136DAD5495}"/>
    <cellStyle name="Comma 3 2 2 3 6" xfId="2148" xr:uid="{4DEBDDEE-007E-4B21-8D82-52EC1A00A5B4}"/>
    <cellStyle name="Comma 3 2 2 3 6 2" xfId="3582" xr:uid="{B15099AE-4D1C-4068-A67E-B1380796DA99}"/>
    <cellStyle name="Comma 3 2 2 3 6 2 2" xfId="7771" xr:uid="{A9533BDE-103E-45E1-A7C5-2580D5E520BB}"/>
    <cellStyle name="Comma 3 2 2 3 6 3" xfId="4903" xr:uid="{B8B64295-99DC-4D84-848B-AF633CC4C7C3}"/>
    <cellStyle name="Comma 3 2 2 3 6 3 2" xfId="9074" xr:uid="{9C3F7F62-E294-4DF5-A3BD-5F0FAC5547B4}"/>
    <cellStyle name="Comma 3 2 2 3 6 4" xfId="6464" xr:uid="{2DFA504E-6710-47CE-958E-D542A676D59F}"/>
    <cellStyle name="Comma 3 2 2 3 7" xfId="4314" xr:uid="{30F0B771-886E-41E9-AC4F-B2A43797DCEF}"/>
    <cellStyle name="Comma 3 2 2 3 7 2" xfId="8499" xr:uid="{0164D7A7-5BA1-4010-BEFF-26BD6C0CFC5F}"/>
    <cellStyle name="Comma 3 2 2 3 8" xfId="5883" xr:uid="{B7D9C14E-7C3E-4AD4-BB5A-95AADF7E0590}"/>
    <cellStyle name="Comma 3 2 2 4" xfId="2228" xr:uid="{A9CAAEDA-26FF-4A33-A8E0-30A7DEFBF172}"/>
    <cellStyle name="Comma 3 2 2 4 2" xfId="2506" xr:uid="{A05D6D41-17C8-44D0-8B13-2DFF7927C077}"/>
    <cellStyle name="Comma 3 2 2 4 2 2" xfId="2746" xr:uid="{6C3B9738-7F7F-4ECE-9296-3286BA63A8FB}"/>
    <cellStyle name="Comma 3 2 2 4 2 2 2" xfId="4094" xr:uid="{963437C1-2A7D-4889-9095-80337B046850}"/>
    <cellStyle name="Comma 3 2 2 4 2 2 2 2" xfId="8283" xr:uid="{7F2F6ACD-BD26-44D9-8386-2317B43AC381}"/>
    <cellStyle name="Comma 3 2 2 4 2 2 3" xfId="5415" xr:uid="{FD45D511-B05D-4A8B-A37E-754425363DBD}"/>
    <cellStyle name="Comma 3 2 2 4 2 2 3 2" xfId="9586" xr:uid="{B9A62947-40D0-4D37-85B8-4439A64FD32B}"/>
    <cellStyle name="Comma 3 2 2 4 2 2 4" xfId="6976" xr:uid="{972EF76B-D857-4F05-81B0-A8D96F8930D2}"/>
    <cellStyle name="Comma 3 2 2 4 2 3" xfId="3854" xr:uid="{5F676F2F-BC5E-419F-8982-D7F27AFE781A}"/>
    <cellStyle name="Comma 3 2 2 4 2 3 2" xfId="8043" xr:uid="{390E2FAA-DEEB-43B7-8720-0B86CE76BDC5}"/>
    <cellStyle name="Comma 3 2 2 4 2 4" xfId="5175" xr:uid="{07EA401C-C722-4DF6-BC02-F5B8B54B9AB3}"/>
    <cellStyle name="Comma 3 2 2 4 2 4 2" xfId="9346" xr:uid="{07AEC69C-0029-4BB9-9C3F-48A1D81D8C5D}"/>
    <cellStyle name="Comma 3 2 2 4 2 5" xfId="6736" xr:uid="{BC148803-DEC7-492D-9C1F-AAB5D2E25ACE}"/>
    <cellStyle name="Comma 3 2 2 4 3" xfId="2587" xr:uid="{F85A6663-BDDD-439D-B7BF-60902D3233F5}"/>
    <cellStyle name="Comma 3 2 2 4 3 2" xfId="3935" xr:uid="{EA3C55B9-8E29-46C8-8D82-33B56F26E031}"/>
    <cellStyle name="Comma 3 2 2 4 3 2 2" xfId="8124" xr:uid="{55509969-B0C4-4A3C-B1C0-4235C5A12DB6}"/>
    <cellStyle name="Comma 3 2 2 4 3 3" xfId="5256" xr:uid="{A97618AE-203A-4EC0-A958-E4AC3BBF1A0C}"/>
    <cellStyle name="Comma 3 2 2 4 3 3 2" xfId="9427" xr:uid="{D1935E95-BC62-4B88-9163-B6EC865FCFB4}"/>
    <cellStyle name="Comma 3 2 2 4 3 4" xfId="6817" xr:uid="{C925DDAF-95F9-41C0-BD20-DA56885EDF01}"/>
    <cellStyle name="Comma 3 2 2 4 4" xfId="2341" xr:uid="{3C270854-C6C6-4E27-B6AC-2A429B5761CD}"/>
    <cellStyle name="Comma 3 2 2 4 4 2" xfId="3695" xr:uid="{469EAF23-E32F-49C5-A62A-2FBF7038ACAB}"/>
    <cellStyle name="Comma 3 2 2 4 4 2 2" xfId="7884" xr:uid="{DD0DE9D4-59C5-4B4C-AA1B-E0B0B7F6920E}"/>
    <cellStyle name="Comma 3 2 2 4 4 3" xfId="5016" xr:uid="{E587EA47-4818-457B-9E7D-6225E5F60953}"/>
    <cellStyle name="Comma 3 2 2 4 4 3 2" xfId="9187" xr:uid="{2F2B0229-8DDA-4071-B16A-8354FEA313F1}"/>
    <cellStyle name="Comma 3 2 2 4 4 4" xfId="6577" xr:uid="{588E9415-A7C2-4AB0-84EC-45F4794CC9FA}"/>
    <cellStyle name="Comma 3 2 2 4 5" xfId="3614" xr:uid="{7877FE25-E3F1-43F6-8170-131A6D6FF108}"/>
    <cellStyle name="Comma 3 2 2 4 5 2" xfId="7803" xr:uid="{E4B746C3-286A-4161-8397-DFF845F59DE2}"/>
    <cellStyle name="Comma 3 2 2 4 6" xfId="4935" xr:uid="{AADA1A59-BC22-4FE3-9F81-4672AE377A9C}"/>
    <cellStyle name="Comma 3 2 2 4 6 2" xfId="9106" xr:uid="{C4607C88-2763-46A8-A661-65A7E8724A7C}"/>
    <cellStyle name="Comma 3 2 2 4 7" xfId="6496" xr:uid="{B36BB1F1-F986-4AE5-80C1-4F3198828AA3}"/>
    <cellStyle name="Comma 3 2 2 5" xfId="2415" xr:uid="{5F066768-9D2E-4354-A395-923F0CEC3300}"/>
    <cellStyle name="Comma 3 2 2 5 2" xfId="2655" xr:uid="{80E70E61-7E15-42D2-8948-E68A4EB27E80}"/>
    <cellStyle name="Comma 3 2 2 5 2 2" xfId="4003" xr:uid="{AC58EE01-9934-48C2-8737-1DE2024E3F43}"/>
    <cellStyle name="Comma 3 2 2 5 2 2 2" xfId="8192" xr:uid="{8B05AF37-91E2-4B43-8488-D240E1C6BD3D}"/>
    <cellStyle name="Comma 3 2 2 5 2 3" xfId="5324" xr:uid="{BEF673E2-D59B-4A88-840D-F6076F622F7E}"/>
    <cellStyle name="Comma 3 2 2 5 2 3 2" xfId="9495" xr:uid="{BDC447BF-16BD-4465-AE10-CED3B6A6C6FB}"/>
    <cellStyle name="Comma 3 2 2 5 2 4" xfId="6885" xr:uid="{CAC5E7EC-9916-40D8-9B1F-1BB0974AF5EA}"/>
    <cellStyle name="Comma 3 2 2 5 3" xfId="3763" xr:uid="{7B4B65F7-141D-4372-8EBA-A5D37ED9E493}"/>
    <cellStyle name="Comma 3 2 2 5 3 2" xfId="7952" xr:uid="{FC70E101-EC91-433F-B2C5-278B2A969A58}"/>
    <cellStyle name="Comma 3 2 2 5 4" xfId="5084" xr:uid="{9023C019-7FF5-42A6-BD9A-760BD271B9F1}"/>
    <cellStyle name="Comma 3 2 2 5 4 2" xfId="9255" xr:uid="{5E6DB53A-B6E0-4777-A9F3-C2D98152A469}"/>
    <cellStyle name="Comma 3 2 2 5 5" xfId="6645" xr:uid="{B9E356B1-7890-49D0-A312-7A32587FAE71}"/>
    <cellStyle name="Comma 3 2 2 6" xfId="2442" xr:uid="{8F44C8C6-7AB0-4EF0-AA1F-610764F4C668}"/>
    <cellStyle name="Comma 3 2 2 6 2" xfId="2682" xr:uid="{D923F72B-39B9-400B-B065-164B2ABDE380}"/>
    <cellStyle name="Comma 3 2 2 6 2 2" xfId="4030" xr:uid="{78E1585E-D3DD-4291-9B53-95D675175364}"/>
    <cellStyle name="Comma 3 2 2 6 2 2 2" xfId="8219" xr:uid="{FC409AAF-32DC-4A91-9B34-A4220D4A06B5}"/>
    <cellStyle name="Comma 3 2 2 6 2 3" xfId="5351" xr:uid="{10A87849-F0BB-4A89-BC98-383ED01B5AE3}"/>
    <cellStyle name="Comma 3 2 2 6 2 3 2" xfId="9522" xr:uid="{B0E1FD6A-D737-41C5-AC61-5A46A5DF7F44}"/>
    <cellStyle name="Comma 3 2 2 6 2 4" xfId="6912" xr:uid="{3C0F6BA4-3431-4E8C-B5A5-2EBBDC686495}"/>
    <cellStyle name="Comma 3 2 2 6 3" xfId="3790" xr:uid="{7742D0FA-2A27-4C90-A24E-B0B560D29CB6}"/>
    <cellStyle name="Comma 3 2 2 6 3 2" xfId="7979" xr:uid="{DBD2C601-3384-40F0-97DF-78B0C0F3C018}"/>
    <cellStyle name="Comma 3 2 2 6 4" xfId="5111" xr:uid="{81283352-6E70-4EB1-BA2E-AC7BDB3BACF4}"/>
    <cellStyle name="Comma 3 2 2 6 4 2" xfId="9282" xr:uid="{00E9B0FC-EE38-4CBB-BF35-2EE3241468B0}"/>
    <cellStyle name="Comma 3 2 2 6 5" xfId="6672" xr:uid="{D968DB62-C2DB-4EDD-9810-E365223C4163}"/>
    <cellStyle name="Comma 3 2 2 7" xfId="2523" xr:uid="{CC8CBEB5-1546-4748-9858-9D011D23E87C}"/>
    <cellStyle name="Comma 3 2 2 7 2" xfId="3871" xr:uid="{AE2E7A68-67BA-4958-9F1C-DEA4F8DACDEC}"/>
    <cellStyle name="Comma 3 2 2 7 2 2" xfId="8060" xr:uid="{EE368BA9-F781-4B05-82A9-FC80EAE76134}"/>
    <cellStyle name="Comma 3 2 2 7 3" xfId="5192" xr:uid="{02947C8A-D72B-4276-AE4C-D5BA48E26105}"/>
    <cellStyle name="Comma 3 2 2 7 3 2" xfId="9363" xr:uid="{FE1B0FD9-AA8B-4518-9F7D-43CDD750B59B}"/>
    <cellStyle name="Comma 3 2 2 7 4" xfId="6753" xr:uid="{6DD607FE-0505-4821-91B4-25DA0CDE1000}"/>
    <cellStyle name="Comma 3 2 2 8" xfId="2277" xr:uid="{FE143131-F648-478F-8379-965A5DA6A527}"/>
    <cellStyle name="Comma 3 2 2 8 2" xfId="3631" xr:uid="{AEC3C2BD-90E0-41C5-9FD0-FF6DF81E4689}"/>
    <cellStyle name="Comma 3 2 2 8 2 2" xfId="7820" xr:uid="{966387DF-61BF-4751-9872-B68E8C119230}"/>
    <cellStyle name="Comma 3 2 2 8 3" xfId="4952" xr:uid="{9EE041B3-C15C-48AE-A3E7-2F437A532901}"/>
    <cellStyle name="Comma 3 2 2 8 3 2" xfId="9123" xr:uid="{C6D5D6BC-69D5-43E3-9104-2CD961FC7B5E}"/>
    <cellStyle name="Comma 3 2 2 8 4" xfId="6513" xr:uid="{DB626DA0-149D-4494-95EF-7303637F4866}"/>
    <cellStyle name="Comma 3 2 2 9" xfId="2113" xr:uid="{15F98120-0A51-42AB-9474-506C013B825A}"/>
    <cellStyle name="Comma 3 2 2 9 2" xfId="3550" xr:uid="{A8191369-D5DB-43B1-BFB0-9F8E1D77561B}"/>
    <cellStyle name="Comma 3 2 2 9 2 2" xfId="7739" xr:uid="{8A1B7EBC-E897-4FF3-8AEE-49EFB1F38D46}"/>
    <cellStyle name="Comma 3 2 2 9 3" xfId="4871" xr:uid="{0AF468AB-EC2E-4618-BA17-BC455D894340}"/>
    <cellStyle name="Comma 3 2 2 9 3 2" xfId="9042" xr:uid="{09F6BC89-1BF2-4062-B57F-A078C4ACBD8C}"/>
    <cellStyle name="Comma 3 2 2 9 4" xfId="6432" xr:uid="{CF35A2CA-7521-4258-B1B8-D27BF79205C0}"/>
    <cellStyle name="Comma 3 2 3" xfId="962" xr:uid="{3019730A-DDC4-4FA3-AC47-23762E6012C4}"/>
    <cellStyle name="Comma 3 2 3 10" xfId="6059" xr:uid="{EA81698D-272F-4286-96F1-8AF39F36E3A9}"/>
    <cellStyle name="Comma 3 2 3 2" xfId="2156" xr:uid="{B52AA41A-CAFA-4D6F-A0A0-BA9A1BBFBC5F}"/>
    <cellStyle name="Comma 3 2 3 2 2" xfId="2381" xr:uid="{E02ADF5B-7C51-437D-B545-4AE5249980B0}"/>
    <cellStyle name="Comma 3 2 3 2 2 2" xfId="2627" xr:uid="{3D1DAB51-B8DD-4184-BFFA-DD57C0317B73}"/>
    <cellStyle name="Comma 3 2 3 2 2 2 2" xfId="3975" xr:uid="{1308154B-2386-4CCB-8269-93D88ED3B6EE}"/>
    <cellStyle name="Comma 3 2 3 2 2 2 2 2" xfId="8164" xr:uid="{BB82FA73-45F1-4814-AE80-444C7E3B1134}"/>
    <cellStyle name="Comma 3 2 3 2 2 2 3" xfId="5296" xr:uid="{19126521-08C5-4E26-8A1F-79496D1BC2F1}"/>
    <cellStyle name="Comma 3 2 3 2 2 2 3 2" xfId="9467" xr:uid="{C226C6A3-248E-418D-92A5-F9FF4BA7DD6B}"/>
    <cellStyle name="Comma 3 2 3 2 2 2 4" xfId="6857" xr:uid="{655D21EF-0B0A-4260-8291-CDC38E328891}"/>
    <cellStyle name="Comma 3 2 3 2 2 3" xfId="3735" xr:uid="{1C6DE4C4-7ECF-4832-81FC-8F3AD60BB8F9}"/>
    <cellStyle name="Comma 3 2 3 2 2 3 2" xfId="7924" xr:uid="{71EAD09D-D4C1-474F-B265-2DA5F3163E47}"/>
    <cellStyle name="Comma 3 2 3 2 2 4" xfId="5056" xr:uid="{FBF60160-6864-457C-BC85-2147BB4E3E46}"/>
    <cellStyle name="Comma 3 2 3 2 2 4 2" xfId="9227" xr:uid="{15E20138-EF18-4906-B1A0-606E42898A49}"/>
    <cellStyle name="Comma 3 2 3 2 2 5" xfId="6617" xr:uid="{F86A5581-E9BA-42E5-A047-493CC5951503}"/>
    <cellStyle name="Comma 3 2 3 2 3" xfId="2482" xr:uid="{2D88BB71-32D8-4BE0-B9E7-C07CE4415212}"/>
    <cellStyle name="Comma 3 2 3 2 3 2" xfId="2722" xr:uid="{B43EDFC4-1C92-41C6-A681-B6D9D94AFC1C}"/>
    <cellStyle name="Comma 3 2 3 2 3 2 2" xfId="4070" xr:uid="{F5BE8F6F-5E33-411C-8BEB-C245636BC0BE}"/>
    <cellStyle name="Comma 3 2 3 2 3 2 2 2" xfId="8259" xr:uid="{F1CBE959-E41D-4669-9AA6-2982AEC5589E}"/>
    <cellStyle name="Comma 3 2 3 2 3 2 3" xfId="5391" xr:uid="{65BA5FD6-3B44-416C-9DED-5ABB226CD8E8}"/>
    <cellStyle name="Comma 3 2 3 2 3 2 3 2" xfId="9562" xr:uid="{6D79BE13-817D-4D64-87C4-C93F866856F1}"/>
    <cellStyle name="Comma 3 2 3 2 3 2 4" xfId="6952" xr:uid="{92ED73A4-7327-4DAA-AB53-FFBF05823C36}"/>
    <cellStyle name="Comma 3 2 3 2 3 3" xfId="3830" xr:uid="{99290707-0A20-45E8-885E-993D931A9A8A}"/>
    <cellStyle name="Comma 3 2 3 2 3 3 2" xfId="8019" xr:uid="{58AA8EDB-0B48-4EDD-BA4B-9A0D5E14DC15}"/>
    <cellStyle name="Comma 3 2 3 2 3 4" xfId="5151" xr:uid="{D7E88134-27E5-4B37-9E8F-87B93BEA2A63}"/>
    <cellStyle name="Comma 3 2 3 2 3 4 2" xfId="9322" xr:uid="{F9B87E26-113D-4C5C-9BBC-966D24DED6A6}"/>
    <cellStyle name="Comma 3 2 3 2 3 5" xfId="6712" xr:uid="{95475E25-D7AA-4543-913D-108AA5B070F0}"/>
    <cellStyle name="Comma 3 2 3 2 4" xfId="2563" xr:uid="{59DD8883-BC64-4426-A753-446590F82643}"/>
    <cellStyle name="Comma 3 2 3 2 4 2" xfId="3911" xr:uid="{6CC63C89-0645-4E33-BEDC-37E83DD0AACA}"/>
    <cellStyle name="Comma 3 2 3 2 4 2 2" xfId="8100" xr:uid="{50BD2850-9E3B-43D3-898C-BEE68072E8A9}"/>
    <cellStyle name="Comma 3 2 3 2 4 3" xfId="5232" xr:uid="{03FC0DD5-7BB4-4E89-B833-832AD7825E14}"/>
    <cellStyle name="Comma 3 2 3 2 4 3 2" xfId="9403" xr:uid="{49A6F361-B026-4356-8B64-7FF6F5E55828}"/>
    <cellStyle name="Comma 3 2 3 2 4 4" xfId="6793" xr:uid="{920EDE7C-6C1A-46E9-B1A1-9C42C6E00C2A}"/>
    <cellStyle name="Comma 3 2 3 2 5" xfId="2317" xr:uid="{4DD79B3E-FC49-4BBE-A692-D0D8CD0CE595}"/>
    <cellStyle name="Comma 3 2 3 2 5 2" xfId="3671" xr:uid="{79EF3A96-5D87-471F-B4FC-FDAEE64C7331}"/>
    <cellStyle name="Comma 3 2 3 2 5 2 2" xfId="7860" xr:uid="{B6BB168D-F2A2-4A7A-B6DD-71956D040947}"/>
    <cellStyle name="Comma 3 2 3 2 5 3" xfId="4992" xr:uid="{372BBF9A-92B3-43FE-BAC9-8C403E193304}"/>
    <cellStyle name="Comma 3 2 3 2 5 3 2" xfId="9163" xr:uid="{3DF3E1C7-D15E-4B81-8948-C7DA153836F9}"/>
    <cellStyle name="Comma 3 2 3 2 5 4" xfId="6553" xr:uid="{5D6B53AD-EEAD-4F6D-9491-EA72A0215DED}"/>
    <cellStyle name="Comma 3 2 3 2 6" xfId="3590" xr:uid="{CB28C19F-4B47-4FBF-919C-E937F9FE666E}"/>
    <cellStyle name="Comma 3 2 3 2 6 2" xfId="7779" xr:uid="{8FE22AF7-859B-4410-B5F9-6DAEFD93E5EC}"/>
    <cellStyle name="Comma 3 2 3 2 7" xfId="4911" xr:uid="{B438D4BE-D323-4EE3-ACF6-1F027C7A13B7}"/>
    <cellStyle name="Comma 3 2 3 2 7 2" xfId="9082" xr:uid="{7F31ADA7-C0D3-4E42-B862-B8951730CC32}"/>
    <cellStyle name="Comma 3 2 3 2 8" xfId="6472" xr:uid="{DE8722F7-F162-491B-A18D-DBEAFB366517}"/>
    <cellStyle name="Comma 3 2 3 3" xfId="2349" xr:uid="{92165E69-C86A-4415-9610-A4894FD83D1C}"/>
    <cellStyle name="Comma 3 2 3 3 2" xfId="2595" xr:uid="{452AAF85-18E6-4794-97BB-04B630A3A58F}"/>
    <cellStyle name="Comma 3 2 3 3 2 2" xfId="3943" xr:uid="{6B240167-65F8-4EE9-AEB2-93898A0A1ABB}"/>
    <cellStyle name="Comma 3 2 3 3 2 2 2" xfId="8132" xr:uid="{8E66DFEB-62CB-496A-8A14-5592B47D6E3A}"/>
    <cellStyle name="Comma 3 2 3 3 2 3" xfId="5264" xr:uid="{7B5EBCAB-0861-4F67-BEFB-20ECAE70E262}"/>
    <cellStyle name="Comma 3 2 3 3 2 3 2" xfId="9435" xr:uid="{F8CD0AE1-F752-4868-AD6F-10AE45572A3F}"/>
    <cellStyle name="Comma 3 2 3 3 2 4" xfId="6825" xr:uid="{49FC9B5A-DD37-4F20-B8FD-ABA5E12B6FAD}"/>
    <cellStyle name="Comma 3 2 3 3 3" xfId="3703" xr:uid="{E515296C-7F92-4904-A3F9-7165E31CDD2D}"/>
    <cellStyle name="Comma 3 2 3 3 3 2" xfId="7892" xr:uid="{E2DEA35F-4426-42D4-9B2F-FD8F8BEE5F02}"/>
    <cellStyle name="Comma 3 2 3 3 4" xfId="5024" xr:uid="{B0F090A5-D631-489F-9A84-6D45F7066115}"/>
    <cellStyle name="Comma 3 2 3 3 4 2" xfId="9195" xr:uid="{2EB8DD56-E471-4418-8409-C9FEA9FD9C3E}"/>
    <cellStyle name="Comma 3 2 3 3 5" xfId="6585" xr:uid="{F8BE2223-89D7-49CA-965A-38A388FB2B43}"/>
    <cellStyle name="Comma 3 2 3 4" xfId="2425" xr:uid="{01C1CF46-742C-4E85-A5BF-DE9A9783DEB2}"/>
    <cellStyle name="Comma 3 2 3 4 2" xfId="2665" xr:uid="{2F4BCDE4-6824-4518-ABAB-2CB73C451653}"/>
    <cellStyle name="Comma 3 2 3 4 2 2" xfId="4013" xr:uid="{978DB152-7D35-40A2-924F-A98A0B3FD9C2}"/>
    <cellStyle name="Comma 3 2 3 4 2 2 2" xfId="8202" xr:uid="{B16F9D10-66BB-485F-8FD2-037A38355DEE}"/>
    <cellStyle name="Comma 3 2 3 4 2 3" xfId="5334" xr:uid="{22A3BFCF-608A-468B-A9B0-FA3BCBAF7339}"/>
    <cellStyle name="Comma 3 2 3 4 2 3 2" xfId="9505" xr:uid="{DF7D20E8-EEF1-46FC-A0D4-EF354BE0B791}"/>
    <cellStyle name="Comma 3 2 3 4 2 4" xfId="6895" xr:uid="{E9420B4B-6469-4C33-9D0F-70597096E8B8}"/>
    <cellStyle name="Comma 3 2 3 4 3" xfId="3773" xr:uid="{56DF18CB-ACA9-48AA-B64B-1E514FD2463D}"/>
    <cellStyle name="Comma 3 2 3 4 3 2" xfId="7962" xr:uid="{C37F2F1A-981C-4D77-AD1B-4B37A266A40F}"/>
    <cellStyle name="Comma 3 2 3 4 4" xfId="5094" xr:uid="{5DEEB4A1-2BA0-435E-A869-0B4D2773B5C5}"/>
    <cellStyle name="Comma 3 2 3 4 4 2" xfId="9265" xr:uid="{B4BE0355-50C7-4D0B-8FD1-D94EDEDD7C7B}"/>
    <cellStyle name="Comma 3 2 3 4 5" xfId="6655" xr:uid="{9249E7CA-6FFA-43B0-A5F4-DE6C882ED8F0}"/>
    <cellStyle name="Comma 3 2 3 5" xfId="2450" xr:uid="{214DFBB7-A84F-4CB1-8485-F73A435DCE70}"/>
    <cellStyle name="Comma 3 2 3 5 2" xfId="2690" xr:uid="{BA437348-7A7B-47AF-B4FA-C70C97288B3D}"/>
    <cellStyle name="Comma 3 2 3 5 2 2" xfId="4038" xr:uid="{02F33312-DBF1-400A-A973-E2BC3F5EF494}"/>
    <cellStyle name="Comma 3 2 3 5 2 2 2" xfId="8227" xr:uid="{C1EC2689-369C-40E3-B5B0-B1CE8F0B494E}"/>
    <cellStyle name="Comma 3 2 3 5 2 3" xfId="5359" xr:uid="{921EE5B0-23EA-445B-AA17-427FDB301491}"/>
    <cellStyle name="Comma 3 2 3 5 2 3 2" xfId="9530" xr:uid="{F98C7AAC-A170-4C6F-BA78-BB74B16C85C6}"/>
    <cellStyle name="Comma 3 2 3 5 2 4" xfId="6920" xr:uid="{1241C298-872B-4E27-ACC2-A88ADD97EBCA}"/>
    <cellStyle name="Comma 3 2 3 5 3" xfId="3798" xr:uid="{FCDAEB66-7916-40C2-A89E-318F8071BDB6}"/>
    <cellStyle name="Comma 3 2 3 5 3 2" xfId="7987" xr:uid="{A5537E62-D74C-43D8-9138-767A2981BFC1}"/>
    <cellStyle name="Comma 3 2 3 5 4" xfId="5119" xr:uid="{4699257D-A690-4140-B08C-1FBEE9270AD3}"/>
    <cellStyle name="Comma 3 2 3 5 4 2" xfId="9290" xr:uid="{D04F9DB8-B14F-44D1-9781-F6FAF5CEE66E}"/>
    <cellStyle name="Comma 3 2 3 5 5" xfId="6680" xr:uid="{4EC5B6A1-CFB7-413E-90E4-9ADF95D66D85}"/>
    <cellStyle name="Comma 3 2 3 6" xfId="2531" xr:uid="{7B2EBBC0-0282-4E81-B53F-6B7815AFD6A3}"/>
    <cellStyle name="Comma 3 2 3 6 2" xfId="3879" xr:uid="{6B96E755-3AF9-4B79-82C1-AED873FBBCA5}"/>
    <cellStyle name="Comma 3 2 3 6 2 2" xfId="8068" xr:uid="{62982648-CBF5-4F3E-948C-5DA7BFFB386D}"/>
    <cellStyle name="Comma 3 2 3 6 3" xfId="5200" xr:uid="{C229A296-A0C9-4B58-B8F8-72D3AFB1EFEA}"/>
    <cellStyle name="Comma 3 2 3 6 3 2" xfId="9371" xr:uid="{5C35F5F4-2999-4B74-BD46-FD822AB15B1E}"/>
    <cellStyle name="Comma 3 2 3 6 4" xfId="6761" xr:uid="{C1A02654-157B-4EC1-95E6-7DD7919BABD6}"/>
    <cellStyle name="Comma 3 2 3 7" xfId="2285" xr:uid="{88682AF0-9FF1-4848-868B-095DAE10D1B4}"/>
    <cellStyle name="Comma 3 2 3 7 2" xfId="3639" xr:uid="{596A8275-0C08-432A-9C8B-BAC7A4FA7E82}"/>
    <cellStyle name="Comma 3 2 3 7 2 2" xfId="7828" xr:uid="{D82B542A-560A-46E1-A258-32152F873B3E}"/>
    <cellStyle name="Comma 3 2 3 7 3" xfId="4960" xr:uid="{AE353464-35DF-449B-817B-EA6EE6400D61}"/>
    <cellStyle name="Comma 3 2 3 7 3 2" xfId="9131" xr:uid="{F88521B5-BE1C-4BB8-A44A-BAAD14A71EBC}"/>
    <cellStyle name="Comma 3 2 3 7 4" xfId="6521" xr:uid="{E0A49ABF-CB22-4C78-AFBB-AB2836563BCE}"/>
    <cellStyle name="Comma 3 2 3 8" xfId="2121" xr:uid="{7C1604A8-62C5-4BC8-AF99-8F6FAA27E470}"/>
    <cellStyle name="Comma 3 2 3 8 2" xfId="3558" xr:uid="{6C224831-132E-4846-A674-27DD60B0D0AD}"/>
    <cellStyle name="Comma 3 2 3 8 2 2" xfId="7747" xr:uid="{19CA4A92-AD0A-4B47-867D-B3406F579019}"/>
    <cellStyle name="Comma 3 2 3 8 3" xfId="4879" xr:uid="{5F65A8BE-4BCB-4044-83F7-7B19564AC79C}"/>
    <cellStyle name="Comma 3 2 3 8 3 2" xfId="9050" xr:uid="{DF66AF62-8D25-4E9B-A853-911B22BF4F73}"/>
    <cellStyle name="Comma 3 2 3 8 4" xfId="6440" xr:uid="{773D9F9D-109A-4FAF-BC7A-453CAF8322E5}"/>
    <cellStyle name="Comma 3 2 3 9" xfId="4491" xr:uid="{CF4E3830-D68D-4875-954F-E6F3F2BB237F}"/>
    <cellStyle name="Comma 3 2 3 9 2" xfId="8674" xr:uid="{38C81DB6-59A2-4720-84F3-22AD3EA1F70A}"/>
    <cellStyle name="Comma 3 2 4" xfId="2140" xr:uid="{BBBD818A-B03E-485F-B65D-20DD2756E4BE}"/>
    <cellStyle name="Comma 3 2 4 2" xfId="2365" xr:uid="{6873BB1E-25C1-4F42-826D-E9F08C2778B8}"/>
    <cellStyle name="Comma 3 2 4 2 2" xfId="2611" xr:uid="{BFB680A2-2613-4E53-B6EB-95B24BA92612}"/>
    <cellStyle name="Comma 3 2 4 2 2 2" xfId="3959" xr:uid="{E1D3A2F5-53D9-47FB-B156-E50CD494C307}"/>
    <cellStyle name="Comma 3 2 4 2 2 2 2" xfId="8148" xr:uid="{2F0F8534-AB76-4C1C-8C62-191BAEF7B6AE}"/>
    <cellStyle name="Comma 3 2 4 2 2 3" xfId="5280" xr:uid="{1D546389-DCA2-4FBE-B416-59C3A56881A6}"/>
    <cellStyle name="Comma 3 2 4 2 2 3 2" xfId="9451" xr:uid="{B1A88F39-158D-4331-99C5-965627FDB968}"/>
    <cellStyle name="Comma 3 2 4 2 2 4" xfId="6841" xr:uid="{5DE599A5-AAB8-4872-A57E-03B7B4ED9539}"/>
    <cellStyle name="Comma 3 2 4 2 3" xfId="3719" xr:uid="{F1CE68AE-B78C-4962-85E2-9087AF65D1AD}"/>
    <cellStyle name="Comma 3 2 4 2 3 2" xfId="7908" xr:uid="{EC2F2CF5-AFDA-4DDC-BC63-E361BE49D466}"/>
    <cellStyle name="Comma 3 2 4 2 4" xfId="5040" xr:uid="{1FC472FF-2F64-4917-AB98-62AC912A093B}"/>
    <cellStyle name="Comma 3 2 4 2 4 2" xfId="9211" xr:uid="{423CE32D-8A8B-4597-8EAC-8AD0B8E43DAE}"/>
    <cellStyle name="Comma 3 2 4 2 5" xfId="6601" xr:uid="{7B0BC5D4-483A-49D6-8314-F7D5C2CD82F2}"/>
    <cellStyle name="Comma 3 2 4 3" xfId="2466" xr:uid="{B7BB2FB0-65AD-4A5D-A54F-04847D3FD18C}"/>
    <cellStyle name="Comma 3 2 4 3 2" xfId="2706" xr:uid="{83AEDDB6-31D2-4990-9459-1F4E5F34DB80}"/>
    <cellStyle name="Comma 3 2 4 3 2 2" xfId="4054" xr:uid="{2E2A24AA-B12E-4CE6-BB76-54D9AB3D7FAE}"/>
    <cellStyle name="Comma 3 2 4 3 2 2 2" xfId="8243" xr:uid="{A6F246F4-C76C-4E1D-9A17-663A1E3FD3F3}"/>
    <cellStyle name="Comma 3 2 4 3 2 3" xfId="5375" xr:uid="{E95F52B4-CE1F-48DC-8F20-FCAC370815DE}"/>
    <cellStyle name="Comma 3 2 4 3 2 3 2" xfId="9546" xr:uid="{A3277B00-EFE7-4677-8C48-203A35893018}"/>
    <cellStyle name="Comma 3 2 4 3 2 4" xfId="6936" xr:uid="{F7909751-CAAE-4B21-9967-B71F181C52CE}"/>
    <cellStyle name="Comma 3 2 4 3 3" xfId="3814" xr:uid="{DCDDBAE7-ACCE-405C-8BE9-6D5E3818753D}"/>
    <cellStyle name="Comma 3 2 4 3 3 2" xfId="8003" xr:uid="{E3D11BBA-FA6C-449B-88CE-25733701D647}"/>
    <cellStyle name="Comma 3 2 4 3 4" xfId="5135" xr:uid="{5F55FAA7-01E4-46C0-8284-A4EECFD7ADED}"/>
    <cellStyle name="Comma 3 2 4 3 4 2" xfId="9306" xr:uid="{F657CDA4-D096-427F-8761-4A94E5F6A146}"/>
    <cellStyle name="Comma 3 2 4 3 5" xfId="6696" xr:uid="{4BD71E7E-6B21-40F1-949A-4AE0A04D318F}"/>
    <cellStyle name="Comma 3 2 4 4" xfId="2547" xr:uid="{676C6AA4-22B4-4AEE-B54B-C62E9693E476}"/>
    <cellStyle name="Comma 3 2 4 4 2" xfId="3895" xr:uid="{674EEF17-23AC-4BD4-862C-D71D7A55C4D9}"/>
    <cellStyle name="Comma 3 2 4 4 2 2" xfId="8084" xr:uid="{6AD6D664-8988-4C66-9FE8-D0D05BEF7972}"/>
    <cellStyle name="Comma 3 2 4 4 3" xfId="5216" xr:uid="{C6D97C0F-F2DD-4D88-82B2-9587EF82A6E4}"/>
    <cellStyle name="Comma 3 2 4 4 3 2" xfId="9387" xr:uid="{84FC06C6-6565-48C5-85B1-ED6A060CA162}"/>
    <cellStyle name="Comma 3 2 4 4 4" xfId="6777" xr:uid="{8A06C785-EFE8-48C5-B084-2817E93D4831}"/>
    <cellStyle name="Comma 3 2 4 5" xfId="2301" xr:uid="{F80E0359-D5C6-4125-B09C-3DAA2DF69468}"/>
    <cellStyle name="Comma 3 2 4 5 2" xfId="3655" xr:uid="{18DE5729-DC76-4005-A2FA-AE15EE3D38B7}"/>
    <cellStyle name="Comma 3 2 4 5 2 2" xfId="7844" xr:uid="{D591854B-B001-4981-A2EE-8AAAEF244414}"/>
    <cellStyle name="Comma 3 2 4 5 3" xfId="4976" xr:uid="{2D4AF8D1-3008-48A4-B6E9-BB03746358D6}"/>
    <cellStyle name="Comma 3 2 4 5 3 2" xfId="9147" xr:uid="{46BA7137-9ED4-49CE-826B-A555D9B3632C}"/>
    <cellStyle name="Comma 3 2 4 5 4" xfId="6537" xr:uid="{370D8C4A-9E8C-47F8-BFDB-DDE4AD07D527}"/>
    <cellStyle name="Comma 3 2 4 6" xfId="3574" xr:uid="{DA134076-ABEA-4BDD-B551-97AFD27B9920}"/>
    <cellStyle name="Comma 3 2 4 6 2" xfId="7763" xr:uid="{D5401334-00FE-4B21-94C3-1DD40F32B75C}"/>
    <cellStyle name="Comma 3 2 4 7" xfId="4895" xr:uid="{5C050AFB-6DAD-4672-93DD-557A23A12BBE}"/>
    <cellStyle name="Comma 3 2 4 7 2" xfId="9066" xr:uid="{4F965CDB-95F1-4F0F-85D9-EA330C6AF7F2}"/>
    <cellStyle name="Comma 3 2 4 8" xfId="6456" xr:uid="{C295ADA4-389F-47F5-BA6D-9E90F7573BEA}"/>
    <cellStyle name="Comma 3 2 5" xfId="2220" xr:uid="{E1FC33B1-31F7-439A-9B7F-AF8D9602399A}"/>
    <cellStyle name="Comma 3 2 5 2" xfId="2498" xr:uid="{BA813B76-30F0-4355-BD30-E6973C7F78DA}"/>
    <cellStyle name="Comma 3 2 5 2 2" xfId="2738" xr:uid="{2CAC3FA1-E9AC-4B70-9AC9-91C61593C410}"/>
    <cellStyle name="Comma 3 2 5 2 2 2" xfId="4086" xr:uid="{8388BE2E-9739-4375-A42E-99F6B0893F20}"/>
    <cellStyle name="Comma 3 2 5 2 2 2 2" xfId="8275" xr:uid="{BA0E4B79-E1E2-44A6-AF46-FD7568D3574A}"/>
    <cellStyle name="Comma 3 2 5 2 2 3" xfId="5407" xr:uid="{60681A55-2AE1-4C68-A17F-C38F7BF6B787}"/>
    <cellStyle name="Comma 3 2 5 2 2 3 2" xfId="9578" xr:uid="{1FBCDB35-5603-4A8B-B70B-302A9266AD68}"/>
    <cellStyle name="Comma 3 2 5 2 2 4" xfId="6968" xr:uid="{7AA93AEC-852F-42C9-A380-6C476CD27C56}"/>
    <cellStyle name="Comma 3 2 5 2 3" xfId="3846" xr:uid="{BDD9F130-B9D6-41DA-AD11-32FEF82CCF69}"/>
    <cellStyle name="Comma 3 2 5 2 3 2" xfId="8035" xr:uid="{FFC55E4F-A154-4650-9304-D0F3E9C32F5A}"/>
    <cellStyle name="Comma 3 2 5 2 4" xfId="5167" xr:uid="{24E0EA16-F8B9-4437-A806-952CA3735CFC}"/>
    <cellStyle name="Comma 3 2 5 2 4 2" xfId="9338" xr:uid="{6DBCA94F-5537-4D81-A7A2-4497B89CF10F}"/>
    <cellStyle name="Comma 3 2 5 2 5" xfId="6728" xr:uid="{F969D858-8091-424B-A059-1CE490F19460}"/>
    <cellStyle name="Comma 3 2 5 3" xfId="2579" xr:uid="{93F54BF4-EFBD-49E2-B86F-77A1FCECE728}"/>
    <cellStyle name="Comma 3 2 5 3 2" xfId="3927" xr:uid="{A30DE198-118C-4FC0-8B28-20692308B9A6}"/>
    <cellStyle name="Comma 3 2 5 3 2 2" xfId="8116" xr:uid="{0F865929-A580-461E-8C5D-AA7662999E09}"/>
    <cellStyle name="Comma 3 2 5 3 3" xfId="5248" xr:uid="{F69759A0-ADC2-4EAB-A0AF-1A6ED61F134F}"/>
    <cellStyle name="Comma 3 2 5 3 3 2" xfId="9419" xr:uid="{58BE946B-298C-43E4-90FF-8858D084D8B8}"/>
    <cellStyle name="Comma 3 2 5 3 4" xfId="6809" xr:uid="{45B8FC5B-FA70-43B2-B367-B8E900E227CD}"/>
    <cellStyle name="Comma 3 2 5 4" xfId="2333" xr:uid="{B3AC5A09-3B59-4B64-8BAB-B013467C01D3}"/>
    <cellStyle name="Comma 3 2 5 4 2" xfId="3687" xr:uid="{B70544E2-DC31-4784-A701-74CDDF0B2A90}"/>
    <cellStyle name="Comma 3 2 5 4 2 2" xfId="7876" xr:uid="{96237203-6BCD-4771-821C-91AAC116F0D4}"/>
    <cellStyle name="Comma 3 2 5 4 3" xfId="5008" xr:uid="{3A5362BD-EB34-4F84-A7DE-85F5F612612A}"/>
    <cellStyle name="Comma 3 2 5 4 3 2" xfId="9179" xr:uid="{8CD6F4C0-9DE7-4AF2-941E-6C36E8C6522C}"/>
    <cellStyle name="Comma 3 2 5 4 4" xfId="6569" xr:uid="{B206DC84-E116-4C23-985F-8C5909D061D3}"/>
    <cellStyle name="Comma 3 2 5 5" xfId="3606" xr:uid="{5F797356-24ED-4449-8794-E23BA9BFE683}"/>
    <cellStyle name="Comma 3 2 5 5 2" xfId="7795" xr:uid="{877EB9AC-AE91-4EF0-BD75-13E8BE2C4189}"/>
    <cellStyle name="Comma 3 2 5 6" xfId="4927" xr:uid="{83F85B33-109D-44FC-8A14-CD02CABCA226}"/>
    <cellStyle name="Comma 3 2 5 6 2" xfId="9098" xr:uid="{B0F16F6E-43D1-4727-AA04-9C08A382786C}"/>
    <cellStyle name="Comma 3 2 5 7" xfId="6488" xr:uid="{7F4762F1-792F-473F-9A2D-B33FF0D2DCD2}"/>
    <cellStyle name="Comma 3 2 6" xfId="2405" xr:uid="{3035713E-378B-4387-90CF-7CC53DEEE7B5}"/>
    <cellStyle name="Comma 3 2 6 2" xfId="2645" xr:uid="{66236F18-657A-47B4-90B8-17D461E2D646}"/>
    <cellStyle name="Comma 3 2 6 2 2" xfId="3993" xr:uid="{139FDC87-A1CE-4B47-B1A6-798FC4D80662}"/>
    <cellStyle name="Comma 3 2 6 2 2 2" xfId="8182" xr:uid="{3710BA99-649A-415A-A7D7-3DAC1F4518CF}"/>
    <cellStyle name="Comma 3 2 6 2 3" xfId="5314" xr:uid="{9FD815F8-66EB-495B-8859-D1102AD5B5A1}"/>
    <cellStyle name="Comma 3 2 6 2 3 2" xfId="9485" xr:uid="{18A74177-3118-4F1C-BD86-D6F21FC0ACAC}"/>
    <cellStyle name="Comma 3 2 6 2 4" xfId="6875" xr:uid="{64CA0E38-C49B-47CD-86DC-C3AAFFDFF05D}"/>
    <cellStyle name="Comma 3 2 6 3" xfId="3753" xr:uid="{D4848E46-A82B-47B2-A987-DC98B32175E2}"/>
    <cellStyle name="Comma 3 2 6 3 2" xfId="7942" xr:uid="{DA176CA0-C58B-4485-A36D-6CDD129EB59B}"/>
    <cellStyle name="Comma 3 2 6 4" xfId="5074" xr:uid="{F2C7EF9A-F490-4B08-9E14-39A0EB83B0CD}"/>
    <cellStyle name="Comma 3 2 6 4 2" xfId="9245" xr:uid="{EAF401A7-A803-43FB-A1F8-BB754CEB2F15}"/>
    <cellStyle name="Comma 3 2 6 5" xfId="6635" xr:uid="{7898D1D8-9C8D-42B8-B050-E367B371BCD2}"/>
    <cellStyle name="Comma 3 2 7" xfId="2434" xr:uid="{ACA5A7C9-E124-4320-87AB-3246CB868DED}"/>
    <cellStyle name="Comma 3 2 7 2" xfId="2674" xr:uid="{6FBD54CF-7A45-4922-8E20-50A426D7DD71}"/>
    <cellStyle name="Comma 3 2 7 2 2" xfId="4022" xr:uid="{58B5E173-F3CB-4172-A77D-A05279C56E7B}"/>
    <cellStyle name="Comma 3 2 7 2 2 2" xfId="8211" xr:uid="{A4B842FF-3158-4A84-AE68-7206076777C1}"/>
    <cellStyle name="Comma 3 2 7 2 3" xfId="5343" xr:uid="{96F2CC3D-8BBE-44BC-9221-4A764EE22F63}"/>
    <cellStyle name="Comma 3 2 7 2 3 2" xfId="9514" xr:uid="{2BCF53C9-3D41-418C-A5E8-E68D8762A439}"/>
    <cellStyle name="Comma 3 2 7 2 4" xfId="6904" xr:uid="{35219F9E-4904-4D04-A081-B21123BF2374}"/>
    <cellStyle name="Comma 3 2 7 3" xfId="3782" xr:uid="{F0E8DBA5-ED97-40B0-9C13-8707B8860ACD}"/>
    <cellStyle name="Comma 3 2 7 3 2" xfId="7971" xr:uid="{593FFB16-262A-476E-BCB2-425F33ED87A5}"/>
    <cellStyle name="Comma 3 2 7 4" xfId="5103" xr:uid="{AE6A9595-D545-48D7-82A3-30EFCEAE20AE}"/>
    <cellStyle name="Comma 3 2 7 4 2" xfId="9274" xr:uid="{C976FBF9-278F-4D66-B29F-2944F82AE774}"/>
    <cellStyle name="Comma 3 2 7 5" xfId="6664" xr:uid="{9A308435-F14B-4290-BA65-E066ABD8A36C}"/>
    <cellStyle name="Comma 3 2 8" xfId="2515" xr:uid="{0198290B-2A3A-4946-A6F7-C58B9495531C}"/>
    <cellStyle name="Comma 3 2 8 2" xfId="3863" xr:uid="{24C556BD-6878-4723-9AB3-1324F102D51D}"/>
    <cellStyle name="Comma 3 2 8 2 2" xfId="8052" xr:uid="{0A8F45F6-A68F-494D-88C9-B8F81B2BF918}"/>
    <cellStyle name="Comma 3 2 8 3" xfId="5184" xr:uid="{13B9DEC7-C1AB-4FF9-A9E2-AB41893C929D}"/>
    <cellStyle name="Comma 3 2 8 3 2" xfId="9355" xr:uid="{64226741-FC26-4143-ADEF-F945420CD352}"/>
    <cellStyle name="Comma 3 2 8 4" xfId="6745" xr:uid="{90AA7CB0-8D88-4C01-A9CA-30C02AB347FE}"/>
    <cellStyle name="Comma 3 2 9" xfId="2269" xr:uid="{98292221-B670-4EA5-B8A9-843B737EC129}"/>
    <cellStyle name="Comma 3 2 9 2" xfId="3623" xr:uid="{3FD3B3A9-B9DC-47F2-A5CD-8E0B4ACB6668}"/>
    <cellStyle name="Comma 3 2 9 2 2" xfId="7812" xr:uid="{2365B243-1EB4-44F9-854F-67F12FB74CF8}"/>
    <cellStyle name="Comma 3 2 9 3" xfId="4944" xr:uid="{A4AE1E11-9ACB-42A0-8C7B-C25E601DE572}"/>
    <cellStyle name="Comma 3 2 9 3 2" xfId="9115" xr:uid="{AA7D3758-9C09-4C0E-B595-85B0008F469E}"/>
    <cellStyle name="Comma 3 2 9 4" xfId="6505" xr:uid="{5975F2B2-DC0A-4D8C-A472-5C97612F0B34}"/>
    <cellStyle name="Comma 3 3" xfId="177" xr:uid="{E1BB6501-15B9-4081-AAF3-31E899B98A51}"/>
    <cellStyle name="Comma 3 3 10" xfId="2852" xr:uid="{5EE3F6A2-A601-4184-AFC3-CF11BEFFD725}"/>
    <cellStyle name="Comma 3 3 10 2" xfId="7063" xr:uid="{C3DC0904-0C55-42C3-8541-3198CF36C230}"/>
    <cellStyle name="Comma 3 3 11" xfId="4164" xr:uid="{450F1DCF-4E08-42AD-B06B-1072BA77707F}"/>
    <cellStyle name="Comma 3 3 11 2" xfId="8353" xr:uid="{D236F071-70C9-4653-BF80-CD35E27E994C}"/>
    <cellStyle name="Comma 3 3 12" xfId="5735" xr:uid="{53AE9E40-A252-4F27-B8AF-AAECD149AFB9}"/>
    <cellStyle name="Comma 3 3 2" xfId="626" xr:uid="{8E80FEBB-6B54-4C93-9ABB-5F6336FBCD00}"/>
    <cellStyle name="Comma 3 3 2 10" xfId="5827" xr:uid="{D230021D-F929-4ECE-8B45-A6DFF05BE4F2}"/>
    <cellStyle name="Comma 3 3 2 2" xfId="845" xr:uid="{C69A7B7E-8D6A-47A6-8891-86AA9AF3A4A0}"/>
    <cellStyle name="Comma 3 3 2 2 2" xfId="702" xr:uid="{4EE4688C-0F37-409A-AA80-59646B0881CD}"/>
    <cellStyle name="Comma 3 3 2 2 2 2" xfId="1303" xr:uid="{3D3B8662-EC19-4F58-A942-3B21A0580C11}"/>
    <cellStyle name="Comma 3 3 2 2 2 2 2" xfId="2631" xr:uid="{C76FF675-DF18-4816-9318-EF13DE4AE8F8}"/>
    <cellStyle name="Comma 3 3 2 2 2 2 2 2" xfId="3979" xr:uid="{E584047E-A26A-4AC9-B46B-A0E0D992A4F8}"/>
    <cellStyle name="Comma 3 3 2 2 2 2 2 2 2" xfId="8168" xr:uid="{29BBED50-0BCD-42C1-91A2-6889CDED2321}"/>
    <cellStyle name="Comma 3 3 2 2 2 2 2 3" xfId="5300" xr:uid="{CFCB66A8-7F60-402B-84EF-1AEB10921A28}"/>
    <cellStyle name="Comma 3 3 2 2 2 2 2 3 2" xfId="9471" xr:uid="{371A6423-A2E3-4C77-8DF4-ED80D4B5B2F6}"/>
    <cellStyle name="Comma 3 3 2 2 2 2 2 4" xfId="6861" xr:uid="{6B0964D4-0B35-4056-BEB5-A0130B04E0C6}"/>
    <cellStyle name="Comma 3 3 2 2 2 2 3" xfId="3483" xr:uid="{447346FB-B4B4-40C0-8F73-04C84360ACEE}"/>
    <cellStyle name="Comma 3 3 2 2 2 2 3 2" xfId="7680" xr:uid="{FB612D86-37C7-4860-AF4A-90CC418252E8}"/>
    <cellStyle name="Comma 3 3 2 2 2 2 4" xfId="4802" xr:uid="{983FAB28-0AF7-4FF2-8724-0316E4523E56}"/>
    <cellStyle name="Comma 3 3 2 2 2 2 4 2" xfId="8981" xr:uid="{BE13457D-1AA7-4745-83F5-31357FBE6E18}"/>
    <cellStyle name="Comma 3 3 2 2 2 2 5" xfId="6366" xr:uid="{A216CF4B-E710-4006-BE47-114FEAFC992F}"/>
    <cellStyle name="Comma 3 3 2 2 2 3" xfId="2385" xr:uid="{8A6F701D-C51D-47A5-9482-64B0F9FBFD64}"/>
    <cellStyle name="Comma 3 3 2 2 2 3 2" xfId="3739" xr:uid="{C1EF5645-E8F9-48AF-A76F-205CFFEAD42A}"/>
    <cellStyle name="Comma 3 3 2 2 2 3 2 2" xfId="7928" xr:uid="{F10324FE-0F51-43C2-9160-7323563171F6}"/>
    <cellStyle name="Comma 3 3 2 2 2 3 3" xfId="5060" xr:uid="{7809AAA7-E66A-4027-8A40-F214FA4F8FCC}"/>
    <cellStyle name="Comma 3 3 2 2 2 3 3 2" xfId="9231" xr:uid="{E506CD92-8598-49EB-A5FC-FF9C6AB6584F}"/>
    <cellStyle name="Comma 3 3 2 2 2 3 4" xfId="6621" xr:uid="{8568BF52-B67C-472F-A783-4D2A3408F069}"/>
    <cellStyle name="Comma 3 3 2 2 2 4" xfId="2999" xr:uid="{8B344260-A0DC-4369-A4AE-F895A839A31D}"/>
    <cellStyle name="Comma 3 3 2 2 2 4 2" xfId="7202" xr:uid="{17977736-CF93-4778-B870-528CB8A062E6}"/>
    <cellStyle name="Comma 3 3 2 2 2 5" xfId="4313" xr:uid="{E5838768-A674-4E68-A113-9C93BB4E0283}"/>
    <cellStyle name="Comma 3 3 2 2 2 5 2" xfId="8498" xr:uid="{3E5FE940-7FE7-4774-BD6B-A38AC12C0E6D}"/>
    <cellStyle name="Comma 3 3 2 2 2 6" xfId="5882" xr:uid="{CE7A8825-C060-4181-BD2D-E98C326F0E6C}"/>
    <cellStyle name="Comma 3 3 2 2 3" xfId="951" xr:uid="{720FB0FE-C13E-4D31-8ADB-431F65F2A7FF}"/>
    <cellStyle name="Comma 3 3 2 2 3 2" xfId="2726" xr:uid="{F75B11AE-3E00-4D90-8333-8CB738E8ADBB}"/>
    <cellStyle name="Comma 3 3 2 2 3 2 2" xfId="4074" xr:uid="{E0D840BC-B82A-4FE4-AE47-8B7CB47AEC3D}"/>
    <cellStyle name="Comma 3 3 2 2 3 2 2 2" xfId="8263" xr:uid="{ED8FBFF9-29A0-4AA8-8EC7-E39AED8E8ECF}"/>
    <cellStyle name="Comma 3 3 2 2 3 2 3" xfId="5395" xr:uid="{14B388D8-1FE6-4072-897C-AC212C9125B8}"/>
    <cellStyle name="Comma 3 3 2 2 3 2 3 2" xfId="9566" xr:uid="{72F5AAC9-6B0B-4423-8211-D2D3EA61F189}"/>
    <cellStyle name="Comma 3 3 2 2 3 2 4" xfId="6956" xr:uid="{1A08289C-2129-4326-870D-256146682507}"/>
    <cellStyle name="Comma 3 3 2 2 3 3" xfId="2486" xr:uid="{2A3E7113-D861-4E97-8C49-01BC0151F5E6}"/>
    <cellStyle name="Comma 3 3 2 2 3 3 2" xfId="3834" xr:uid="{74B2CEB5-C65E-415A-8FAD-C752ACDCE165}"/>
    <cellStyle name="Comma 3 3 2 2 3 3 2 2" xfId="8023" xr:uid="{18EA7B12-C78E-421A-85EA-5DA168008624}"/>
    <cellStyle name="Comma 3 3 2 2 3 3 3" xfId="5155" xr:uid="{6F959171-1E5E-484A-824C-AE01E37A5449}"/>
    <cellStyle name="Comma 3 3 2 2 3 3 3 2" xfId="9326" xr:uid="{FC406DB0-508A-494D-9910-F586C378208A}"/>
    <cellStyle name="Comma 3 3 2 2 3 3 4" xfId="6716" xr:uid="{FD4AA8DE-72A1-4864-96D8-5C82C0DEBDED}"/>
    <cellStyle name="Comma 3 3 2 2 3 4" xfId="3166" xr:uid="{C48C0351-9F06-4EE2-AE18-C5E85867A714}"/>
    <cellStyle name="Comma 3 3 2 2 3 4 2" xfId="7367" xr:uid="{177E1949-E410-4762-94B2-DF2296B7DDFE}"/>
    <cellStyle name="Comma 3 3 2 2 3 5" xfId="4482" xr:uid="{4EE03D61-D8BB-4BCC-BE61-AF459E1834B6}"/>
    <cellStyle name="Comma 3 3 2 2 3 5 2" xfId="8665" xr:uid="{CF172D80-6037-48B1-ADA9-8C77D2BD0658}"/>
    <cellStyle name="Comma 3 3 2 2 3 6" xfId="6050" xr:uid="{01A9BCE5-BC46-4BB1-B4FC-141A23101CCB}"/>
    <cellStyle name="Comma 3 3 2 2 4" xfId="2567" xr:uid="{0A787E6A-9AA7-4FF2-AC9B-D4B24CEE0300}"/>
    <cellStyle name="Comma 3 3 2 2 4 2" xfId="3915" xr:uid="{96846A0D-75BD-4C3E-A906-C09150D87F43}"/>
    <cellStyle name="Comma 3 3 2 2 4 2 2" xfId="8104" xr:uid="{5DD5415D-34CA-40A5-A67B-17C164E6AC8C}"/>
    <cellStyle name="Comma 3 3 2 2 4 3" xfId="5236" xr:uid="{767622A4-1B24-418A-B35E-FB16E2403EE2}"/>
    <cellStyle name="Comma 3 3 2 2 4 3 2" xfId="9407" xr:uid="{07D7CCAE-37C0-4C08-AC1A-7F64969513D2}"/>
    <cellStyle name="Comma 3 3 2 2 4 4" xfId="6797" xr:uid="{32595F36-296E-4FCC-86B5-90E571869D91}"/>
    <cellStyle name="Comma 3 3 2 2 5" xfId="2321" xr:uid="{5E1A81FF-98ED-4C67-9C57-59DB598DD1C6}"/>
    <cellStyle name="Comma 3 3 2 2 5 2" xfId="3675" xr:uid="{1EB0C44E-A43A-4181-8022-ACFCF8D645E4}"/>
    <cellStyle name="Comma 3 3 2 2 5 2 2" xfId="7864" xr:uid="{56261777-0CBE-4F24-B980-8416812E6880}"/>
    <cellStyle name="Comma 3 3 2 2 5 3" xfId="4996" xr:uid="{1217ACF9-E337-4711-8EEB-6FBB48C8E6ED}"/>
    <cellStyle name="Comma 3 3 2 2 5 3 2" xfId="9167" xr:uid="{A68FE0C0-388E-48EE-8C1A-F6F955E14AA8}"/>
    <cellStyle name="Comma 3 3 2 2 5 4" xfId="6557" xr:uid="{96A3A024-27EF-49C3-AF8A-313B3EC1122E}"/>
    <cellStyle name="Comma 3 3 2 2 6" xfId="2160" xr:uid="{DB1616CD-BF58-4B32-B1B2-A560426B5C85}"/>
    <cellStyle name="Comma 3 3 2 2 6 2" xfId="3594" xr:uid="{ED0F9B6C-D101-4C36-B069-28D3604B7CB4}"/>
    <cellStyle name="Comma 3 3 2 2 6 2 2" xfId="7783" xr:uid="{D51F5EA8-B7C6-467D-B566-7DC80D480482}"/>
    <cellStyle name="Comma 3 3 2 2 6 3" xfId="4915" xr:uid="{526D0E8B-E1EC-4433-9857-D6EDD08ABAC4}"/>
    <cellStyle name="Comma 3 3 2 2 6 3 2" xfId="9086" xr:uid="{18991F3E-C14D-4D74-9DB3-854E3D8DC59A}"/>
    <cellStyle name="Comma 3 3 2 2 6 4" xfId="6476" xr:uid="{6A87C867-5FA0-4E50-ABDF-39D6CC3630E2}"/>
    <cellStyle name="Comma 3 3 2 2 7" xfId="3088" xr:uid="{91A57476-6FD8-455F-B0E4-04172C15BD16}"/>
    <cellStyle name="Comma 3 3 2 2 7 2" xfId="7289" xr:uid="{B3C2513C-1129-4E0D-8B01-2C93B92B3B1B}"/>
    <cellStyle name="Comma 3 3 2 2 8" xfId="4403" xr:uid="{8B2366CC-E06B-4A1A-B472-C06C6676175C}"/>
    <cellStyle name="Comma 3 3 2 2 8 2" xfId="8586" xr:uid="{6A8C10D7-52F0-4AC9-B021-DB4F76F1C5F8}"/>
    <cellStyle name="Comma 3 3 2 2 9" xfId="5970" xr:uid="{819BF3B0-01AD-4790-81A6-33F6C861FA7D}"/>
    <cellStyle name="Comma 3 3 2 3" xfId="701" xr:uid="{A3ECB3B0-6879-4CDB-B1FC-30DFF09F1401}"/>
    <cellStyle name="Comma 3 3 2 3 2" xfId="963" xr:uid="{C8C16EEC-3B9C-4BDF-AAFB-2451F83307EC}"/>
    <cellStyle name="Comma 3 3 2 3 2 2" xfId="2599" xr:uid="{B8E0A8CF-FA6F-45B8-BE80-BBFC0C408481}"/>
    <cellStyle name="Comma 3 3 2 3 2 2 2" xfId="3947" xr:uid="{DFF083D1-BFE4-42AE-8404-1A1E7F522362}"/>
    <cellStyle name="Comma 3 3 2 3 2 2 2 2" xfId="8136" xr:uid="{30460775-D906-4EBE-A20B-14F029D8EB04}"/>
    <cellStyle name="Comma 3 3 2 3 2 2 3" xfId="5268" xr:uid="{80D5B30B-31FA-4A61-A08F-E210BF0DD8D0}"/>
    <cellStyle name="Comma 3 3 2 3 2 2 3 2" xfId="9439" xr:uid="{E4762BBD-58B3-406F-A7DD-C2C16091FAD6}"/>
    <cellStyle name="Comma 3 3 2 3 2 2 4" xfId="6829" xr:uid="{7837AA06-4E21-4A2F-8E94-14F16E68621F}"/>
    <cellStyle name="Comma 3 3 2 3 2 3" xfId="3175" xr:uid="{33FE0784-A542-441F-BD3C-6E4DE18EF4C9}"/>
    <cellStyle name="Comma 3 3 2 3 2 3 2" xfId="7376" xr:uid="{FC907C3F-64C6-4924-9AC0-4B40CF8E9A91}"/>
    <cellStyle name="Comma 3 3 2 3 2 4" xfId="4492" xr:uid="{5D094EE9-3214-40EC-9185-874148871976}"/>
    <cellStyle name="Comma 3 3 2 3 2 4 2" xfId="8675" xr:uid="{E24537F5-5C47-423B-BAF1-BF28FF511183}"/>
    <cellStyle name="Comma 3 3 2 3 2 5" xfId="6060" xr:uid="{1E098C61-7558-401A-A78E-20000022FD64}"/>
    <cellStyle name="Comma 3 3 2 3 3" xfId="2353" xr:uid="{D622DAB8-E655-4DD9-85F7-9E96B323EFCC}"/>
    <cellStyle name="Comma 3 3 2 3 3 2" xfId="3707" xr:uid="{9A001E5B-6592-4778-AD71-20C3C6181BF3}"/>
    <cellStyle name="Comma 3 3 2 3 3 2 2" xfId="7896" xr:uid="{535F01AF-1F27-45F6-9296-DA9A118057FE}"/>
    <cellStyle name="Comma 3 3 2 3 3 3" xfId="5028" xr:uid="{36B1E971-EC96-41D9-A0D7-9512935FA990}"/>
    <cellStyle name="Comma 3 3 2 3 3 3 2" xfId="9199" xr:uid="{17511051-A758-4EB1-B8B8-44B67C524E45}"/>
    <cellStyle name="Comma 3 3 2 3 3 4" xfId="6589" xr:uid="{355AA27D-6AEF-4D96-8B35-C296AAD5C157}"/>
    <cellStyle name="Comma 3 3 2 3 4" xfId="2998" xr:uid="{56C94277-5C7A-45EE-847B-24ECA96BFF71}"/>
    <cellStyle name="Comma 3 3 2 3 4 2" xfId="7201" xr:uid="{70570C0C-C535-4684-ABF2-E5A50D77A7F2}"/>
    <cellStyle name="Comma 3 3 2 3 5" xfId="4312" xr:uid="{529D2C60-FCFE-4453-ABFA-9BC01BAF8D71}"/>
    <cellStyle name="Comma 3 3 2 3 5 2" xfId="8497" xr:uid="{0D40768C-70BE-4E1A-8D5C-FBD9C9F8DEC0}"/>
    <cellStyle name="Comma 3 3 2 3 6" xfId="5881" xr:uid="{E3518324-D80C-4600-AFAB-6A5CB6430CF4}"/>
    <cellStyle name="Comma 3 3 2 4" xfId="720" xr:uid="{367B5EE7-8ABC-4648-BB2E-6C2FE998A232}"/>
    <cellStyle name="Comma 3 3 2 4 2" xfId="2694" xr:uid="{56A8F8B5-A95A-4117-BBD7-A3A6C5B8250C}"/>
    <cellStyle name="Comma 3 3 2 4 2 2" xfId="4042" xr:uid="{77F5AD4B-30B1-4172-AB44-4BA869EC5B34}"/>
    <cellStyle name="Comma 3 3 2 4 2 2 2" xfId="8231" xr:uid="{C4F34E51-BF1D-42A3-926A-AE202F31A10E}"/>
    <cellStyle name="Comma 3 3 2 4 2 3" xfId="5363" xr:uid="{9FB83A8F-8E00-4BC3-AADF-C1F7FC8F58D2}"/>
    <cellStyle name="Comma 3 3 2 4 2 3 2" xfId="9534" xr:uid="{3292AD37-B498-4831-B795-95D6B136E4A8}"/>
    <cellStyle name="Comma 3 3 2 4 2 4" xfId="6924" xr:uid="{C07A09E8-31AE-43D7-AEC6-30CDC53F80B9}"/>
    <cellStyle name="Comma 3 3 2 4 3" xfId="2454" xr:uid="{1DC2D07A-401B-4B52-B9D1-957CF0CCC25C}"/>
    <cellStyle name="Comma 3 3 2 4 3 2" xfId="3802" xr:uid="{4FC622B5-2B2E-4D5E-8E7F-01CB2FD3E904}"/>
    <cellStyle name="Comma 3 3 2 4 3 2 2" xfId="7991" xr:uid="{DBF63477-CBAF-4FE3-90A8-BB010D81FC12}"/>
    <cellStyle name="Comma 3 3 2 4 3 3" xfId="5123" xr:uid="{E1226A75-8B1A-4DBA-9E36-6C67ECF8313B}"/>
    <cellStyle name="Comma 3 3 2 4 3 3 2" xfId="9294" xr:uid="{A9424ACE-5EBD-481D-8EF1-F79E15D7F9B4}"/>
    <cellStyle name="Comma 3 3 2 4 3 4" xfId="6684" xr:uid="{9EDB386C-637B-4F40-8C3B-80EE771C5D7F}"/>
    <cellStyle name="Comma 3 3 2 4 4" xfId="3006" xr:uid="{D178D464-1886-41ED-B7E3-F0A885EC7049}"/>
    <cellStyle name="Comma 3 3 2 4 4 2" xfId="7209" xr:uid="{5280CD8D-5AAC-45AC-B0C1-A6169DF029A0}"/>
    <cellStyle name="Comma 3 3 2 4 5" xfId="4321" xr:uid="{1AA6E985-7B50-46B9-A366-517CAB9A2761}"/>
    <cellStyle name="Comma 3 3 2 4 5 2" xfId="8506" xr:uid="{CB8E6D44-0ED8-48FF-AA35-B49891171EEE}"/>
    <cellStyle name="Comma 3 3 2 4 6" xfId="5890" xr:uid="{4A20CE7B-2B48-49F3-9A52-AA9740B22E9F}"/>
    <cellStyle name="Comma 3 3 2 5" xfId="964" xr:uid="{B6EDA4F5-C966-4F39-8F02-50EA6C2C396E}"/>
    <cellStyle name="Comma 3 3 2 5 2" xfId="2535" xr:uid="{8FBC71F4-F40C-4095-892E-34CE0632B59E}"/>
    <cellStyle name="Comma 3 3 2 5 2 2" xfId="3883" xr:uid="{3AEE4269-E872-4746-A0F8-510CD1E23C8D}"/>
    <cellStyle name="Comma 3 3 2 5 2 2 2" xfId="8072" xr:uid="{1C8C6E84-A805-4811-9CE7-E31F10DEBDF1}"/>
    <cellStyle name="Comma 3 3 2 5 2 3" xfId="5204" xr:uid="{3B03B1AD-8CEB-498D-9B38-EEBB725976CF}"/>
    <cellStyle name="Comma 3 3 2 5 2 3 2" xfId="9375" xr:uid="{3F092843-0F16-4182-B535-F212197D33C5}"/>
    <cellStyle name="Comma 3 3 2 5 2 4" xfId="6765" xr:uid="{8A2394B1-A7FC-450C-9D7E-258DB0BD8874}"/>
    <cellStyle name="Comma 3 3 2 5 3" xfId="3176" xr:uid="{623C4235-B24E-4255-A06C-532A2C89BA52}"/>
    <cellStyle name="Comma 3 3 2 5 3 2" xfId="7377" xr:uid="{763923A4-6775-4EFC-8D84-52C7B3EF46AB}"/>
    <cellStyle name="Comma 3 3 2 5 4" xfId="4493" xr:uid="{3EB2CEC4-FD93-4CF8-BA9A-614D5919B4C0}"/>
    <cellStyle name="Comma 3 3 2 5 4 2" xfId="8676" xr:uid="{1FD71620-2E36-48A2-B08F-AC0381B8E15F}"/>
    <cellStyle name="Comma 3 3 2 5 5" xfId="6061" xr:uid="{147C3235-3840-42ED-B306-FABF085F9F5D}"/>
    <cellStyle name="Comma 3 3 2 6" xfId="2289" xr:uid="{408E4995-C315-4487-91FC-D7B9A3796422}"/>
    <cellStyle name="Comma 3 3 2 6 2" xfId="3643" xr:uid="{9F777C5A-E45C-43A4-B732-88BF02EA7FE8}"/>
    <cellStyle name="Comma 3 3 2 6 2 2" xfId="7832" xr:uid="{1829CBB6-6D4E-4ED8-BAE5-7C80C378838B}"/>
    <cellStyle name="Comma 3 3 2 6 3" xfId="4964" xr:uid="{CF9D359C-C3B8-4507-A1AE-29E9862EB843}"/>
    <cellStyle name="Comma 3 3 2 6 3 2" xfId="9135" xr:uid="{2C685817-57A7-4443-946E-04FD6D0898EF}"/>
    <cellStyle name="Comma 3 3 2 6 4" xfId="6525" xr:uid="{E16E7C50-474C-4777-969E-44A2AE786471}"/>
    <cellStyle name="Comma 3 3 2 7" xfId="2125" xr:uid="{C9A40508-86EC-4F4A-B479-20D2A08932AB}"/>
    <cellStyle name="Comma 3 3 2 7 2" xfId="3562" xr:uid="{E0EB8015-423C-4E2A-B170-7EC116CA68FD}"/>
    <cellStyle name="Comma 3 3 2 7 2 2" xfId="7751" xr:uid="{99517E3D-0207-47B4-A707-72B0B99EF9F1}"/>
    <cellStyle name="Comma 3 3 2 7 3" xfId="4883" xr:uid="{85506EDD-344B-4BBC-B52B-709D54AB7C08}"/>
    <cellStyle name="Comma 3 3 2 7 3 2" xfId="9054" xr:uid="{3B97040D-9683-4DC1-9A1E-D6736C0BB5EA}"/>
    <cellStyle name="Comma 3 3 2 7 4" xfId="6444" xr:uid="{36A8DC8A-1D98-413A-B6EC-F7BAF277CDB2}"/>
    <cellStyle name="Comma 3 3 2 8" xfId="2947" xr:uid="{35E8BC94-A486-4E4A-BF32-9746B76E98F7}"/>
    <cellStyle name="Comma 3 3 2 8 2" xfId="7150" xr:uid="{9FD0ECC7-00BC-46AF-9D3C-EFDABFA1AE1C}"/>
    <cellStyle name="Comma 3 3 2 9" xfId="4258" xr:uid="{ABED09F8-8767-4BF8-90B6-88244A8FBCE9}"/>
    <cellStyle name="Comma 3 3 2 9 2" xfId="8443" xr:uid="{4E43F5CF-9BCD-40C3-94C3-22B822DA576E}"/>
    <cellStyle name="Comma 3 3 3" xfId="859" xr:uid="{C8F549E1-3992-45BD-B2F6-FB5E58C36E52}"/>
    <cellStyle name="Comma 3 3 3 2" xfId="680" xr:uid="{1450365F-A824-42D6-8A66-3F1EC24F2CEC}"/>
    <cellStyle name="Comma 3 3 3 2 2" xfId="887" xr:uid="{BDC4D488-9770-42BC-965C-0E98F36ED609}"/>
    <cellStyle name="Comma 3 3 3 2 2 2" xfId="2615" xr:uid="{8DD1EE85-6E76-4539-BD48-F3A95429F8E0}"/>
    <cellStyle name="Comma 3 3 3 2 2 2 2" xfId="3963" xr:uid="{BA222D41-5F46-4CB7-8F65-1628C0BB5567}"/>
    <cellStyle name="Comma 3 3 3 2 2 2 2 2" xfId="8152" xr:uid="{D1B1EBB8-A834-468C-AD8B-E02C1F55943D}"/>
    <cellStyle name="Comma 3 3 3 2 2 2 3" xfId="5284" xr:uid="{47E55CA4-449F-4A94-A067-FA12821AD953}"/>
    <cellStyle name="Comma 3 3 3 2 2 2 3 2" xfId="9455" xr:uid="{5FBA79CD-3C5A-45A0-9FF2-60AB0D7945BE}"/>
    <cellStyle name="Comma 3 3 3 2 2 2 4" xfId="6845" xr:uid="{E6A111A6-AD5A-4F50-A2CF-12B642409BEC}"/>
    <cellStyle name="Comma 3 3 3 2 2 3" xfId="3120" xr:uid="{92CA7B3E-C08D-4C65-BABC-B79421EB53A7}"/>
    <cellStyle name="Comma 3 3 3 2 2 3 2" xfId="7321" xr:uid="{E99A3C3C-58FE-4275-9BF6-41A7B0A307FB}"/>
    <cellStyle name="Comma 3 3 3 2 2 4" xfId="4435" xr:uid="{B18D52AF-8E38-4B0A-B008-A393D6784742}"/>
    <cellStyle name="Comma 3 3 3 2 2 4 2" xfId="8618" xr:uid="{4CAAE94E-F2C0-4EE3-B719-43197ADCE533}"/>
    <cellStyle name="Comma 3 3 3 2 2 5" xfId="6002" xr:uid="{3DFB236F-8A2B-40E8-B66A-A1BFB63AE9E8}"/>
    <cellStyle name="Comma 3 3 3 2 3" xfId="2369" xr:uid="{795FEDD2-E19A-4451-9456-9737994311CB}"/>
    <cellStyle name="Comma 3 3 3 2 3 2" xfId="3723" xr:uid="{6FEC3E61-8582-449D-8A1B-E62872C8133D}"/>
    <cellStyle name="Comma 3 3 3 2 3 2 2" xfId="7912" xr:uid="{FD467ADE-377B-4A29-9A7E-02C04EFDBC2D}"/>
    <cellStyle name="Comma 3 3 3 2 3 3" xfId="5044" xr:uid="{9556D73C-C1BD-43C8-AC05-14564410BDB6}"/>
    <cellStyle name="Comma 3 3 3 2 3 3 2" xfId="9215" xr:uid="{70D3CD46-5DE6-4F44-A231-CCEF5CA06189}"/>
    <cellStyle name="Comma 3 3 3 2 3 4" xfId="6605" xr:uid="{F0E0BF99-A57C-483A-BCDA-FBFEE0115BAA}"/>
    <cellStyle name="Comma 3 3 3 2 4" xfId="2980" xr:uid="{814F5B56-0CA1-4C36-8D3B-B07963CF774D}"/>
    <cellStyle name="Comma 3 3 3 2 4 2" xfId="7183" xr:uid="{8D519925-0D99-4305-959C-3AD5C6CF8701}"/>
    <cellStyle name="Comma 3 3 3 2 5" xfId="4293" xr:uid="{DCDC01DF-F2F4-4F6C-A225-3A4E4721A889}"/>
    <cellStyle name="Comma 3 3 3 2 5 2" xfId="8478" xr:uid="{A92728A7-1CA7-41BC-A1F1-9D94BD0621C9}"/>
    <cellStyle name="Comma 3 3 3 2 6" xfId="5862" xr:uid="{7AFC3879-7C42-4ED5-A785-6E6645191339}"/>
    <cellStyle name="Comma 3 3 3 3" xfId="874" xr:uid="{6DB0850E-53F2-42C4-8ABD-91C3EC155C3F}"/>
    <cellStyle name="Comma 3 3 3 3 2" xfId="2710" xr:uid="{9E720A04-B48B-4206-BC5C-8B763D61F321}"/>
    <cellStyle name="Comma 3 3 3 3 2 2" xfId="4058" xr:uid="{8418A847-F2C5-4674-A011-97614B4BE4A0}"/>
    <cellStyle name="Comma 3 3 3 3 2 2 2" xfId="8247" xr:uid="{5CBDBA28-3D59-463A-8CE8-3473884DA548}"/>
    <cellStyle name="Comma 3 3 3 3 2 3" xfId="5379" xr:uid="{152D403A-0D1B-46C7-AB46-12BC8BABA0F0}"/>
    <cellStyle name="Comma 3 3 3 3 2 3 2" xfId="9550" xr:uid="{0679A195-8E4C-47DC-8F48-945E11DC839E}"/>
    <cellStyle name="Comma 3 3 3 3 2 4" xfId="6940" xr:uid="{32AC88EA-60B5-4C40-A717-C3CEAD8B9F64}"/>
    <cellStyle name="Comma 3 3 3 3 3" xfId="2470" xr:uid="{997ACAC6-C00C-4E5D-8EED-06C3E14B19E8}"/>
    <cellStyle name="Comma 3 3 3 3 3 2" xfId="3818" xr:uid="{E4BF460B-7C6E-483C-BC54-75B662C90E1F}"/>
    <cellStyle name="Comma 3 3 3 3 3 2 2" xfId="8007" xr:uid="{AB02BA9F-66EF-406B-997C-B7193F588027}"/>
    <cellStyle name="Comma 3 3 3 3 3 3" xfId="5139" xr:uid="{65719906-41F2-401C-A010-CCAA3B64EA2C}"/>
    <cellStyle name="Comma 3 3 3 3 3 3 2" xfId="9310" xr:uid="{BBE73D6C-4ACC-41A5-B32A-DDDE7C21ED37}"/>
    <cellStyle name="Comma 3 3 3 3 3 4" xfId="6700" xr:uid="{C5AC6D50-BEBE-4880-A8F5-B7E269244E6C}"/>
    <cellStyle name="Comma 3 3 3 3 4" xfId="3109" xr:uid="{C2F53BBB-43FA-4BD7-9535-6A467A75B9A0}"/>
    <cellStyle name="Comma 3 3 3 3 4 2" xfId="7310" xr:uid="{43CFE9C3-54D2-4B28-BF46-8B6A2B89A768}"/>
    <cellStyle name="Comma 3 3 3 3 5" xfId="4424" xr:uid="{850359DF-F67D-42BA-A1C0-2451FF5C76E3}"/>
    <cellStyle name="Comma 3 3 3 3 5 2" xfId="8607" xr:uid="{DF26E698-4D35-4627-948A-4727D35BCEAC}"/>
    <cellStyle name="Comma 3 3 3 3 6" xfId="5991" xr:uid="{E93A19BB-CF15-4DE1-98DA-C6538C0FCC72}"/>
    <cellStyle name="Comma 3 3 3 4" xfId="2551" xr:uid="{72088B90-4DB5-40CB-B7A2-3BB77768747A}"/>
    <cellStyle name="Comma 3 3 3 4 2" xfId="3899" xr:uid="{9C26DA7B-DAD8-40BB-BB19-1E26D30490E9}"/>
    <cellStyle name="Comma 3 3 3 4 2 2" xfId="8088" xr:uid="{C16AFA84-5D3B-478F-A35B-DC6F329DEFE2}"/>
    <cellStyle name="Comma 3 3 3 4 3" xfId="5220" xr:uid="{61953F0F-541E-4048-AB47-AB3D07EDE84F}"/>
    <cellStyle name="Comma 3 3 3 4 3 2" xfId="9391" xr:uid="{B30A7E88-D029-4A0F-B66B-5C3839999CA8}"/>
    <cellStyle name="Comma 3 3 3 4 4" xfId="6781" xr:uid="{EB0A9C13-2120-48C3-B610-7BF0484A2103}"/>
    <cellStyle name="Comma 3 3 3 5" xfId="2305" xr:uid="{4EF27406-4DFD-456D-A1D1-C02EE41E224C}"/>
    <cellStyle name="Comma 3 3 3 5 2" xfId="3659" xr:uid="{69773D9E-DFA2-44E7-B906-2E8BCB5FDB0F}"/>
    <cellStyle name="Comma 3 3 3 5 2 2" xfId="7848" xr:uid="{2C0D3FA5-1292-4428-A8D2-1BD637320DDF}"/>
    <cellStyle name="Comma 3 3 3 5 3" xfId="4980" xr:uid="{970F422A-52E4-47B8-9866-FF8A314FEB2E}"/>
    <cellStyle name="Comma 3 3 3 5 3 2" xfId="9151" xr:uid="{36F86313-9E0C-49A7-8113-45B64D162F79}"/>
    <cellStyle name="Comma 3 3 3 5 4" xfId="6541" xr:uid="{03D3258C-D2F3-4AF2-B683-D2BCE3773A57}"/>
    <cellStyle name="Comma 3 3 3 6" xfId="2144" xr:uid="{B75969DE-EFB7-44F1-BDFA-72303C5F71FC}"/>
    <cellStyle name="Comma 3 3 3 6 2" xfId="3578" xr:uid="{299A9999-A03F-4270-84A3-E603CD6C49F3}"/>
    <cellStyle name="Comma 3 3 3 6 2 2" xfId="7767" xr:uid="{86CC6B26-5BB8-494D-B759-7CE8472A9C38}"/>
    <cellStyle name="Comma 3 3 3 6 3" xfId="4899" xr:uid="{A3C0900B-D081-4B37-BF00-9D628D38A2BC}"/>
    <cellStyle name="Comma 3 3 3 6 3 2" xfId="9070" xr:uid="{B04635CA-17E0-4C41-A222-4B34761AC69F}"/>
    <cellStyle name="Comma 3 3 3 6 4" xfId="6460" xr:uid="{7DEADF2D-0061-4565-ADFA-7CC526809C02}"/>
    <cellStyle name="Comma 3 3 3 7" xfId="3102" xr:uid="{287416F9-83FF-4032-83DC-E059330F29FB}"/>
    <cellStyle name="Comma 3 3 3 7 2" xfId="7303" xr:uid="{693A9C7D-03EE-4EBF-910A-9BD24C68060B}"/>
    <cellStyle name="Comma 3 3 3 8" xfId="4417" xr:uid="{F6E7AA97-366B-4F33-A3D4-6310BE868CCB}"/>
    <cellStyle name="Comma 3 3 3 8 2" xfId="8600" xr:uid="{3AB1926E-4297-410E-90AB-15DE7F7FA111}"/>
    <cellStyle name="Comma 3 3 3 9" xfId="5984" xr:uid="{227D2BA8-64B8-4E46-8417-290846C1490C}"/>
    <cellStyle name="Comma 3 3 4" xfId="960" xr:uid="{70A13FEF-68EE-4CF3-A683-A445C7244E14}"/>
    <cellStyle name="Comma 3 3 4 2" xfId="961" xr:uid="{C084481D-7FB9-4408-81E6-779724BF532F}"/>
    <cellStyle name="Comma 3 3 4 2 2" xfId="2742" xr:uid="{F5E36636-28B5-47B4-944E-1929A32DC3CB}"/>
    <cellStyle name="Comma 3 3 4 2 2 2" xfId="4090" xr:uid="{8AE6BDFD-7C5E-419E-99CD-E02064349DB1}"/>
    <cellStyle name="Comma 3 3 4 2 2 2 2" xfId="8279" xr:uid="{D9859F82-317A-44A2-A328-1284A5DC5D06}"/>
    <cellStyle name="Comma 3 3 4 2 2 3" xfId="5411" xr:uid="{30B6A511-272C-40D2-A122-C1289893682C}"/>
    <cellStyle name="Comma 3 3 4 2 2 3 2" xfId="9582" xr:uid="{95B821C1-4711-4D65-9EC1-83120C9BBC98}"/>
    <cellStyle name="Comma 3 3 4 2 2 4" xfId="6972" xr:uid="{F3FCD5B6-69DD-46A2-B234-BC7CC5B4590F}"/>
    <cellStyle name="Comma 3 3 4 2 3" xfId="2502" xr:uid="{954B0D53-0B62-4CC5-A9E6-668058904A14}"/>
    <cellStyle name="Comma 3 3 4 2 3 2" xfId="3850" xr:uid="{F212817D-6A64-43D8-ACAB-0A433F79FB78}"/>
    <cellStyle name="Comma 3 3 4 2 3 2 2" xfId="8039" xr:uid="{38C5AF14-DABF-418F-A0F8-9D4E4637DA6A}"/>
    <cellStyle name="Comma 3 3 4 2 3 3" xfId="5171" xr:uid="{64533D35-4E24-44A6-91D4-3D5D7FAB872A}"/>
    <cellStyle name="Comma 3 3 4 2 3 3 2" xfId="9342" xr:uid="{3502DA55-E8A4-4A80-8B8F-2C40AB30BC2D}"/>
    <cellStyle name="Comma 3 3 4 2 3 4" xfId="6732" xr:uid="{94930158-39A4-4776-ACCE-5334115BD1F0}"/>
    <cellStyle name="Comma 3 3 4 2 4" xfId="3174" xr:uid="{674D1E28-3C45-4A75-851C-E4E13DFE4D3B}"/>
    <cellStyle name="Comma 3 3 4 2 4 2" xfId="7375" xr:uid="{C877C457-88EA-4586-AE5D-2B4B9BB627BE}"/>
    <cellStyle name="Comma 3 3 4 2 5" xfId="4490" xr:uid="{7F54F1C5-749B-409D-889F-B151C8683B9B}"/>
    <cellStyle name="Comma 3 3 4 2 5 2" xfId="8673" xr:uid="{95F4599E-CB29-4433-8CE4-C120B2047CED}"/>
    <cellStyle name="Comma 3 3 4 2 6" xfId="6058" xr:uid="{536B69F3-DAF8-41CB-A65F-5BB5F0207749}"/>
    <cellStyle name="Comma 3 3 4 3" xfId="2583" xr:uid="{D9BA937D-4DBD-4250-9744-B95872785649}"/>
    <cellStyle name="Comma 3 3 4 3 2" xfId="3931" xr:uid="{DDA037A5-D8AB-4D26-A3B4-119F7DEE915A}"/>
    <cellStyle name="Comma 3 3 4 3 2 2" xfId="8120" xr:uid="{3ABDB705-9A0F-4A22-BBAD-25FC64AE17FD}"/>
    <cellStyle name="Comma 3 3 4 3 3" xfId="5252" xr:uid="{7C2A0F1B-C4C0-400A-A40D-2BFD26CD6FB8}"/>
    <cellStyle name="Comma 3 3 4 3 3 2" xfId="9423" xr:uid="{20EAB758-3440-4E5A-ABD7-BB1755BAD0F0}"/>
    <cellStyle name="Comma 3 3 4 3 4" xfId="6813" xr:uid="{931A040B-3FC9-4B71-87D9-5C511216C4EE}"/>
    <cellStyle name="Comma 3 3 4 4" xfId="2337" xr:uid="{C6C54C89-9B22-46A2-805C-0EDAEB680AC4}"/>
    <cellStyle name="Comma 3 3 4 4 2" xfId="3691" xr:uid="{A4E97A3F-9B48-4500-A465-AA5BE9B2769E}"/>
    <cellStyle name="Comma 3 3 4 4 2 2" xfId="7880" xr:uid="{473086A7-ECEA-4EE4-91B9-AF0AE087342A}"/>
    <cellStyle name="Comma 3 3 4 4 3" xfId="5012" xr:uid="{B9FC807C-84E3-44EC-AB90-C687157EE9B9}"/>
    <cellStyle name="Comma 3 3 4 4 3 2" xfId="9183" xr:uid="{F2707889-F81E-49E1-9F5B-41476AD21683}"/>
    <cellStyle name="Comma 3 3 4 4 4" xfId="6573" xr:uid="{890155C1-922A-44A7-9874-1748DC187B68}"/>
    <cellStyle name="Comma 3 3 4 5" xfId="2224" xr:uid="{98E577EB-96A6-45A5-B763-AE318466280B}"/>
    <cellStyle name="Comma 3 3 4 5 2" xfId="3610" xr:uid="{814DBA8A-7BBF-498A-AD23-E695905F2C1F}"/>
    <cellStyle name="Comma 3 3 4 5 2 2" xfId="7799" xr:uid="{C4594014-DAA9-445A-9EC4-903FA2C1A22E}"/>
    <cellStyle name="Comma 3 3 4 5 3" xfId="4931" xr:uid="{521E4843-CE68-444C-BD0A-3C43ABDBA796}"/>
    <cellStyle name="Comma 3 3 4 5 3 2" xfId="9102" xr:uid="{054230F0-6454-4C7F-A4F8-29B7DE5BE7A3}"/>
    <cellStyle name="Comma 3 3 4 5 4" xfId="6492" xr:uid="{AE8961F6-AF57-464C-8D56-5865B801E25C}"/>
    <cellStyle name="Comma 3 3 4 6" xfId="3173" xr:uid="{FA44139A-3273-4C24-8B8D-188F32A6DEC8}"/>
    <cellStyle name="Comma 3 3 4 6 2" xfId="7374" xr:uid="{D56654F0-C3FA-44C6-853B-F5EF5126189F}"/>
    <cellStyle name="Comma 3 3 4 7" xfId="4489" xr:uid="{A34ADAD3-DFED-46FE-8A1C-66F8E2DCDD34}"/>
    <cellStyle name="Comma 3 3 4 7 2" xfId="8672" xr:uid="{062339C9-1D77-4350-B69C-087792EE3973}"/>
    <cellStyle name="Comma 3 3 4 8" xfId="6057" xr:uid="{6F0671FB-22ED-4957-B159-1A9944415544}"/>
    <cellStyle name="Comma 3 3 5" xfId="2411" xr:uid="{F9AED6E5-3659-4D8C-868E-BA89F1F0E8D4}"/>
    <cellStyle name="Comma 3 3 5 2" xfId="2651" xr:uid="{6436E810-5ACE-4732-9A37-6701A679098B}"/>
    <cellStyle name="Comma 3 3 5 2 2" xfId="3999" xr:uid="{39113E82-8895-4A03-80EA-9EA17E14E231}"/>
    <cellStyle name="Comma 3 3 5 2 2 2" xfId="8188" xr:uid="{4CA929DB-B6B1-41D0-9DDE-9ECCEBA685FC}"/>
    <cellStyle name="Comma 3 3 5 2 3" xfId="5320" xr:uid="{506886D3-8ECE-4087-B58A-C0BC92212EE2}"/>
    <cellStyle name="Comma 3 3 5 2 3 2" xfId="9491" xr:uid="{4E3F9DC9-D9C1-4428-AD07-11397ABDE476}"/>
    <cellStyle name="Comma 3 3 5 2 4" xfId="6881" xr:uid="{82298E67-D4A0-4DA7-909F-82041A1F3DCF}"/>
    <cellStyle name="Comma 3 3 5 3" xfId="3759" xr:uid="{57ED0F61-95A7-4CBC-A158-32FCF0C2B8E2}"/>
    <cellStyle name="Comma 3 3 5 3 2" xfId="7948" xr:uid="{B48F0A5F-4972-40A9-BF8F-9E6034BD6E26}"/>
    <cellStyle name="Comma 3 3 5 4" xfId="5080" xr:uid="{9D7C701E-A8C4-4C52-B136-70991FD74874}"/>
    <cellStyle name="Comma 3 3 5 4 2" xfId="9251" xr:uid="{DEFF3C94-DF87-4806-ACB7-243F97B4EC1C}"/>
    <cellStyle name="Comma 3 3 5 5" xfId="6641" xr:uid="{CC21E162-403D-4964-9784-658E1DB676BD}"/>
    <cellStyle name="Comma 3 3 6" xfId="2438" xr:uid="{49464D4F-736D-4254-8F99-81C4ACAD2D46}"/>
    <cellStyle name="Comma 3 3 6 2" xfId="2678" xr:uid="{A29A7BF1-C928-4BBF-97AB-023374A3EC2F}"/>
    <cellStyle name="Comma 3 3 6 2 2" xfId="4026" xr:uid="{C330A670-C2FF-40E3-81ED-295F3B63E974}"/>
    <cellStyle name="Comma 3 3 6 2 2 2" xfId="8215" xr:uid="{DD519D04-6DAF-4B2E-BFA1-B8A55DF9BDF2}"/>
    <cellStyle name="Comma 3 3 6 2 3" xfId="5347" xr:uid="{A80A807F-5249-4A11-80B6-A834A6CB70CF}"/>
    <cellStyle name="Comma 3 3 6 2 3 2" xfId="9518" xr:uid="{8582A3B0-3785-4C1D-99C9-7428551657A6}"/>
    <cellStyle name="Comma 3 3 6 2 4" xfId="6908" xr:uid="{7C3C1BE3-155A-408A-A306-EC2BE40CD883}"/>
    <cellStyle name="Comma 3 3 6 3" xfId="3786" xr:uid="{72EA6F80-0084-47D7-8C13-545BF6AAAB86}"/>
    <cellStyle name="Comma 3 3 6 3 2" xfId="7975" xr:uid="{17ADA029-4994-4A69-9A25-A0A537EE38E0}"/>
    <cellStyle name="Comma 3 3 6 4" xfId="5107" xr:uid="{14FE6834-141A-4E3C-B47D-3904909FBD1D}"/>
    <cellStyle name="Comma 3 3 6 4 2" xfId="9278" xr:uid="{4D1AC969-FF3B-49E4-BA18-731A6813DA78}"/>
    <cellStyle name="Comma 3 3 6 5" xfId="6668" xr:uid="{5A531D47-54B5-49CA-A430-FF46CC92033E}"/>
    <cellStyle name="Comma 3 3 7" xfId="2519" xr:uid="{07B07B64-F691-436B-BAB3-300A207C4F69}"/>
    <cellStyle name="Comma 3 3 7 2" xfId="3867" xr:uid="{4E8A944C-B267-4375-BCC1-77531B75703D}"/>
    <cellStyle name="Comma 3 3 7 2 2" xfId="8056" xr:uid="{5CAFEF78-8364-4084-8258-8CA40BC54618}"/>
    <cellStyle name="Comma 3 3 7 3" xfId="5188" xr:uid="{236E136D-2F5C-4CFD-964C-D514BC8BADF4}"/>
    <cellStyle name="Comma 3 3 7 3 2" xfId="9359" xr:uid="{113458E7-B039-4B73-AD3A-8EC3660F441D}"/>
    <cellStyle name="Comma 3 3 7 4" xfId="6749" xr:uid="{667F9522-B884-443E-B12C-84BCA8EF7213}"/>
    <cellStyle name="Comma 3 3 8" xfId="2273" xr:uid="{FB3133EB-8A1B-4481-8D53-D201C99D9476}"/>
    <cellStyle name="Comma 3 3 8 2" xfId="3627" xr:uid="{F0059FF8-DB82-43FA-B47F-CCA21C6DBF57}"/>
    <cellStyle name="Comma 3 3 8 2 2" xfId="7816" xr:uid="{35CCA2DF-0060-496E-ABDB-F0945C2C5344}"/>
    <cellStyle name="Comma 3 3 8 3" xfId="4948" xr:uid="{1A3F9D2A-C15C-4042-B6A6-3FF1321E2481}"/>
    <cellStyle name="Comma 3 3 8 3 2" xfId="9119" xr:uid="{14CB5B08-0DED-412A-92DE-3A53DD2A6A42}"/>
    <cellStyle name="Comma 3 3 8 4" xfId="6509" xr:uid="{973C96BF-C159-43E2-BCF8-E83E573ACDB2}"/>
    <cellStyle name="Comma 3 3 9" xfId="2109" xr:uid="{8F05727F-53C2-4BF2-8040-AC3CCF7FF395}"/>
    <cellStyle name="Comma 3 3 9 2" xfId="3546" xr:uid="{BF1A3F8F-A039-4086-A5FF-6CED026D7E81}"/>
    <cellStyle name="Comma 3 3 9 2 2" xfId="7735" xr:uid="{86F60C10-3B81-49D6-AFBB-C657F6D1C970}"/>
    <cellStyle name="Comma 3 3 9 3" xfId="4867" xr:uid="{2D837339-B983-4800-AF75-28FC7A407A6A}"/>
    <cellStyle name="Comma 3 3 9 3 2" xfId="9038" xr:uid="{7BE53C0E-BACB-4505-ADAA-6688221A9E56}"/>
    <cellStyle name="Comma 3 3 9 4" xfId="6428" xr:uid="{CBFAED6D-DB64-48DF-8E25-C1E99D3AF3EB}"/>
    <cellStyle name="Comma 3 4" xfId="624" xr:uid="{3F39EB39-E988-4C25-9C75-CB94790FDEBF}"/>
    <cellStyle name="Comma 3 4 10" xfId="4256" xr:uid="{F5847107-4F7E-40A4-805B-DA786231BDA6}"/>
    <cellStyle name="Comma 3 4 10 2" xfId="8441" xr:uid="{4961A07A-6216-4677-8393-93AE6C1FD631}"/>
    <cellStyle name="Comma 3 4 11" xfId="5825" xr:uid="{F2D12902-114C-4B21-81AD-B1DB5AB4CBDC}"/>
    <cellStyle name="Comma 3 4 2" xfId="699" xr:uid="{11ED882B-6F44-4E7D-87ED-0D7BF14B6E22}"/>
    <cellStyle name="Comma 3 4 2 2" xfId="1312" xr:uid="{D489846B-527F-43CD-8E50-D5F385C3DA80}"/>
    <cellStyle name="Comma 3 4 2 2 2" xfId="844" xr:uid="{2FFE55C0-81F6-497A-9097-6B948638F31F}"/>
    <cellStyle name="Comma 3 4 2 2 2 2" xfId="886" xr:uid="{75ED83D1-0E4A-4E9E-9482-2508C6412093}"/>
    <cellStyle name="Comma 3 4 2 2 2 2 2" xfId="3119" xr:uid="{FCDDCBFA-42B4-4A5A-A7E1-050D1A9C74F3}"/>
    <cellStyle name="Comma 3 4 2 2 2 2 2 2" xfId="7320" xr:uid="{32A15257-63C8-48C6-837D-4C156AE5E59A}"/>
    <cellStyle name="Comma 3 4 2 2 2 2 3" xfId="4434" xr:uid="{4CB0C24D-A330-4386-822E-D01E863AAB28}"/>
    <cellStyle name="Comma 3 4 2 2 2 2 3 2" xfId="8617" xr:uid="{7CEEB33E-D979-42B4-9901-3DED7838A259}"/>
    <cellStyle name="Comma 3 4 2 2 2 2 4" xfId="6001" xr:uid="{5B1AD28F-4498-4190-A174-21B66DB80EB5}"/>
    <cellStyle name="Comma 3 4 2 2 2 3" xfId="2623" xr:uid="{7DC36416-52DA-49FB-A066-4126B7113425}"/>
    <cellStyle name="Comma 3 4 2 2 2 3 2" xfId="3971" xr:uid="{0AB34E8A-3301-4504-9D44-6F673EEFB096}"/>
    <cellStyle name="Comma 3 4 2 2 2 3 2 2" xfId="8160" xr:uid="{3ED3A189-BE1C-4346-9CE3-5BAB6BCC3ECB}"/>
    <cellStyle name="Comma 3 4 2 2 2 3 3" xfId="5292" xr:uid="{0606DE66-0826-4A05-8FE0-AAE31E21451D}"/>
    <cellStyle name="Comma 3 4 2 2 2 3 3 2" xfId="9463" xr:uid="{BDF177EE-D221-4BC4-908B-817A260EDAA4}"/>
    <cellStyle name="Comma 3 4 2 2 2 3 4" xfId="6853" xr:uid="{8317CB20-AC61-4DD4-A050-CBC5A4ADBE2A}"/>
    <cellStyle name="Comma 3 4 2 2 2 4" xfId="3087" xr:uid="{82C237D0-AEBC-4BDC-BA07-99522FB6643D}"/>
    <cellStyle name="Comma 3 4 2 2 2 4 2" xfId="7288" xr:uid="{EDFFD000-24BC-43DD-8341-8BAE9366405B}"/>
    <cellStyle name="Comma 3 4 2 2 2 5" xfId="4402" xr:uid="{C5B36570-2A7F-4364-AB53-721BAB70B7CE}"/>
    <cellStyle name="Comma 3 4 2 2 2 5 2" xfId="8585" xr:uid="{655FF311-D3F1-45A2-9892-EE71761591B8}"/>
    <cellStyle name="Comma 3 4 2 2 2 6" xfId="5969" xr:uid="{9748E010-4048-495E-AB8E-F04FB69D2ACF}"/>
    <cellStyle name="Comma 3 4 2 2 3" xfId="679" xr:uid="{5D44C815-52A6-4F5C-8F2B-2631220BE6BE}"/>
    <cellStyle name="Comma 3 4 2 2 3 2" xfId="2979" xr:uid="{47F3F6C6-2EFF-467C-A179-ADAA5F90A814}"/>
    <cellStyle name="Comma 3 4 2 2 3 2 2" xfId="7182" xr:uid="{4C7BF4B7-CE08-48FD-973B-0409C72C8E8C}"/>
    <cellStyle name="Comma 3 4 2 2 3 3" xfId="4292" xr:uid="{943CE399-1865-4AC3-B9D7-4BD3F420DE45}"/>
    <cellStyle name="Comma 3 4 2 2 3 3 2" xfId="8477" xr:uid="{43DD30FA-F02E-427C-ACE4-3D25E02E76CD}"/>
    <cellStyle name="Comma 3 4 2 2 3 4" xfId="5861" xr:uid="{204015C5-0032-4C98-AEE3-47D222B74639}"/>
    <cellStyle name="Comma 3 4 2 2 4" xfId="2377" xr:uid="{AE2A5556-BE02-4147-A395-BC198F7E4E7B}"/>
    <cellStyle name="Comma 3 4 2 2 4 2" xfId="3731" xr:uid="{4BEA3805-B4E6-424B-B722-AEABCE03CDAC}"/>
    <cellStyle name="Comma 3 4 2 2 4 2 2" xfId="7920" xr:uid="{FE02F0FA-0C46-42A2-9341-BD8A11C0DFB8}"/>
    <cellStyle name="Comma 3 4 2 2 4 3" xfId="5052" xr:uid="{78FEB46D-7AE3-4FA8-BBA7-EDD74F4908C2}"/>
    <cellStyle name="Comma 3 4 2 2 4 3 2" xfId="9223" xr:uid="{581BE923-F5AF-4F56-AE21-2C753F91486D}"/>
    <cellStyle name="Comma 3 4 2 2 4 4" xfId="6613" xr:uid="{C3976D8F-EE08-4469-BCC4-13E2C7A86E87}"/>
    <cellStyle name="Comma 3 4 2 2 5" xfId="3488" xr:uid="{184CEEBB-B607-47E4-97D0-2840EF5940FD}"/>
    <cellStyle name="Comma 3 4 2 2 5 2" xfId="7685" xr:uid="{57B26991-74A0-4435-ADBF-0F3B24035969}"/>
    <cellStyle name="Comma 3 4 2 2 6" xfId="4807" xr:uid="{CFAE0EE8-A51B-403B-A0C5-2BB977BFE2EB}"/>
    <cellStyle name="Comma 3 4 2 2 6 2" xfId="8986" xr:uid="{B13FE6CD-61F6-4439-ACD9-9021BE051198}"/>
    <cellStyle name="Comma 3 4 2 2 7" xfId="6371" xr:uid="{BA2CABA6-FB06-49AF-A86F-9B1C0B793620}"/>
    <cellStyle name="Comma 3 4 2 3" xfId="698" xr:uid="{04343A43-9DD1-44B4-9103-0C4F685D64F1}"/>
    <cellStyle name="Comma 3 4 2 3 2" xfId="897" xr:uid="{F9631076-5560-48B4-AA96-5DDD9AA3AE50}"/>
    <cellStyle name="Comma 3 4 2 3 2 2" xfId="2718" xr:uid="{E7A266BF-C750-4189-98C2-DDB3592F76B8}"/>
    <cellStyle name="Comma 3 4 2 3 2 2 2" xfId="4066" xr:uid="{0E4C9536-37C7-4654-9F15-89FEA8E3E618}"/>
    <cellStyle name="Comma 3 4 2 3 2 2 2 2" xfId="8255" xr:uid="{E7DFD069-5E5D-4C66-9E51-850ABC1A5432}"/>
    <cellStyle name="Comma 3 4 2 3 2 2 3" xfId="5387" xr:uid="{329B17F7-1745-4375-87C8-08751A303C91}"/>
    <cellStyle name="Comma 3 4 2 3 2 2 3 2" xfId="9558" xr:uid="{346FFA20-C1E3-467A-B3FA-B1FFE863B8E8}"/>
    <cellStyle name="Comma 3 4 2 3 2 2 4" xfId="6948" xr:uid="{1CD6C5F7-BD72-4CF2-9C58-62920E2DA581}"/>
    <cellStyle name="Comma 3 4 2 3 2 3" xfId="3124" xr:uid="{43F52B71-7D99-4D01-B52B-233D51F403BE}"/>
    <cellStyle name="Comma 3 4 2 3 2 3 2" xfId="7325" xr:uid="{9678D974-A5B4-4C31-8C3F-CA40E8B5C5E0}"/>
    <cellStyle name="Comma 3 4 2 3 2 4" xfId="4440" xr:uid="{486E33EC-B5E9-4E1E-8DB2-FAFFBF472864}"/>
    <cellStyle name="Comma 3 4 2 3 2 4 2" xfId="8623" xr:uid="{0B19F3F5-53BC-46AB-A7B2-3CB4990E1AE1}"/>
    <cellStyle name="Comma 3 4 2 3 2 5" xfId="6008" xr:uid="{76BB3CF0-784F-4512-A330-B246E5CDFCD7}"/>
    <cellStyle name="Comma 3 4 2 3 3" xfId="2478" xr:uid="{5F9ACF14-174E-4316-9FD2-399BE7EE74E3}"/>
    <cellStyle name="Comma 3 4 2 3 3 2" xfId="3826" xr:uid="{ADC0EF65-A83A-48FC-8B8A-4C28540910D5}"/>
    <cellStyle name="Comma 3 4 2 3 3 2 2" xfId="8015" xr:uid="{10A74BCC-4BE0-4A96-B19E-BB7A4AD554F4}"/>
    <cellStyle name="Comma 3 4 2 3 3 3" xfId="5147" xr:uid="{CEA7F2D3-CCE3-4B0A-A406-4B9A1C8FF8E7}"/>
    <cellStyle name="Comma 3 4 2 3 3 3 2" xfId="9318" xr:uid="{D9990279-39FA-4E7A-95C2-F6BC43F94AF0}"/>
    <cellStyle name="Comma 3 4 2 3 3 4" xfId="6708" xr:uid="{2579DC36-8033-450F-A8F7-A00492A0A7D7}"/>
    <cellStyle name="Comma 3 4 2 3 4" xfId="2995" xr:uid="{019CE1DA-1205-41F3-BD69-9223C44596DF}"/>
    <cellStyle name="Comma 3 4 2 3 4 2" xfId="7198" xr:uid="{7E48F376-D891-42CC-A009-1F083287F038}"/>
    <cellStyle name="Comma 3 4 2 3 5" xfId="4309" xr:uid="{C8B097B1-72CB-4044-8B9D-1F991D5F105D}"/>
    <cellStyle name="Comma 3 4 2 3 5 2" xfId="8494" xr:uid="{B9E10555-75B2-4AF5-9686-80FCA80158A5}"/>
    <cellStyle name="Comma 3 4 2 3 6" xfId="5878" xr:uid="{6D968A88-3311-42C2-AE0E-6FC16903D784}"/>
    <cellStyle name="Comma 3 4 2 4" xfId="661" xr:uid="{F3D8D838-6D9B-4AE5-9004-1D0DC7E039C7}"/>
    <cellStyle name="Comma 3 4 2 4 2" xfId="2559" xr:uid="{0EA5FE97-1EB3-4E27-9E0E-E07010EF52C9}"/>
    <cellStyle name="Comma 3 4 2 4 2 2" xfId="3907" xr:uid="{2091AE81-4A34-4B63-986B-210E3232D1AC}"/>
    <cellStyle name="Comma 3 4 2 4 2 2 2" xfId="8096" xr:uid="{14B0964A-4EFC-4E7F-A57A-2AEEE0E0A67A}"/>
    <cellStyle name="Comma 3 4 2 4 2 3" xfId="5228" xr:uid="{D07751BC-DA0C-4878-8438-3CE8B328FBB1}"/>
    <cellStyle name="Comma 3 4 2 4 2 3 2" xfId="9399" xr:uid="{7510C84C-CF7D-407F-8597-95572F5AA6C9}"/>
    <cellStyle name="Comma 3 4 2 4 2 4" xfId="6789" xr:uid="{DA747209-50F6-4AF8-98BB-0764497B6F88}"/>
    <cellStyle name="Comma 3 4 2 4 3" xfId="2974" xr:uid="{35E67FE6-BBC6-4E9C-A3EE-BD5213B2AB29}"/>
    <cellStyle name="Comma 3 4 2 4 3 2" xfId="7177" xr:uid="{F9AEDDC3-8D84-4603-9040-890DB806EFA1}"/>
    <cellStyle name="Comma 3 4 2 4 4" xfId="4287" xr:uid="{CF8EEF84-46CE-4D34-A165-187789895AEB}"/>
    <cellStyle name="Comma 3 4 2 4 4 2" xfId="8472" xr:uid="{450F9726-9F9C-40FE-B3A5-A82E3BB1071B}"/>
    <cellStyle name="Comma 3 4 2 4 5" xfId="5856" xr:uid="{7C2DE815-961C-406D-B7D4-682F289D8A4B}"/>
    <cellStyle name="Comma 3 4 2 5" xfId="2313" xr:uid="{AAD18BFC-84AC-4A01-B48E-984831228311}"/>
    <cellStyle name="Comma 3 4 2 5 2" xfId="3667" xr:uid="{949C88CD-A94D-4E2F-9F0C-F92FA8A71568}"/>
    <cellStyle name="Comma 3 4 2 5 2 2" xfId="7856" xr:uid="{DA8BBA44-8D89-484E-BB34-96363B8F83C2}"/>
    <cellStyle name="Comma 3 4 2 5 3" xfId="4988" xr:uid="{BF3EC71D-1C45-4079-9889-413B5578D729}"/>
    <cellStyle name="Comma 3 4 2 5 3 2" xfId="9159" xr:uid="{2D9D1C10-B698-416E-AAA7-DBDC8D3233A4}"/>
    <cellStyle name="Comma 3 4 2 5 4" xfId="6549" xr:uid="{E3E90169-754C-47D4-82C6-7E6EAE856A26}"/>
    <cellStyle name="Comma 3 4 2 6" xfId="2152" xr:uid="{7DF04DF8-537A-4EE3-B54F-8F9AD6A84EAD}"/>
    <cellStyle name="Comma 3 4 2 6 2" xfId="3586" xr:uid="{5032A018-817A-400C-96D8-F4B62E50FBDE}"/>
    <cellStyle name="Comma 3 4 2 6 2 2" xfId="7775" xr:uid="{68610E8A-8D48-47C2-8887-53521DC47671}"/>
    <cellStyle name="Comma 3 4 2 6 3" xfId="4907" xr:uid="{E0D42DDB-10C6-4B03-A539-81D7D2DCD38E}"/>
    <cellStyle name="Comma 3 4 2 6 3 2" xfId="9078" xr:uid="{5605498C-790D-4749-A2EF-A0648AA564CB}"/>
    <cellStyle name="Comma 3 4 2 6 4" xfId="6468" xr:uid="{7321D67A-EA79-4C05-84BA-33BDC0D85AAA}"/>
    <cellStyle name="Comma 3 4 2 7" xfId="2996" xr:uid="{87EC276A-BAC2-4D7D-A8E0-ED9BFE2AB409}"/>
    <cellStyle name="Comma 3 4 2 7 2" xfId="7199" xr:uid="{5CEF4B37-7944-4CCC-99B0-725E56DFE904}"/>
    <cellStyle name="Comma 3 4 2 8" xfId="4310" xr:uid="{A98FF4A1-9CCF-454A-A0EE-0177EDB6D4BA}"/>
    <cellStyle name="Comma 3 4 2 8 2" xfId="8495" xr:uid="{8403F090-DCD3-4B37-903A-23DBCA2BAE45}"/>
    <cellStyle name="Comma 3 4 2 9" xfId="5879" xr:uid="{982428D7-34F2-401A-851A-59DBC7ACDB94}"/>
    <cellStyle name="Comma 3 4 3" xfId="884" xr:uid="{6F2D79B5-F7DF-45EC-86A4-BDA5AD057874}"/>
    <cellStyle name="Comma 3 4 3 2" xfId="843" xr:uid="{2C8BEF43-F339-4702-9342-6E1B883D8058}"/>
    <cellStyle name="Comma 3 4 3 2 2" xfId="1328" xr:uid="{7CA99D69-CD90-46BF-847D-4ED14C48C15B}"/>
    <cellStyle name="Comma 3 4 3 2 2 2" xfId="3502" xr:uid="{39023B8A-477F-4DA0-94F6-8CECB1CB0359}"/>
    <cellStyle name="Comma 3 4 3 2 2 2 2" xfId="7699" xr:uid="{D0559009-A9E0-42F4-8983-2D8B8F2908FA}"/>
    <cellStyle name="Comma 3 4 3 2 2 3" xfId="4821" xr:uid="{3847FBDB-60C5-432E-850E-A03DF799F969}"/>
    <cellStyle name="Comma 3 4 3 2 2 3 2" xfId="9000" xr:uid="{78556EE5-97E8-42BD-8466-049A2AFB6328}"/>
    <cellStyle name="Comma 3 4 3 2 2 4" xfId="6385" xr:uid="{9F5600B0-1B24-4DF6-9F27-E960C842EBC5}"/>
    <cellStyle name="Comma 3 4 3 2 3" xfId="2591" xr:uid="{9354DBD3-790D-4EAE-96A6-36052F98352E}"/>
    <cellStyle name="Comma 3 4 3 2 3 2" xfId="3939" xr:uid="{C3E8FC18-B226-4D48-8A26-6AE4558AEFE4}"/>
    <cellStyle name="Comma 3 4 3 2 3 2 2" xfId="8128" xr:uid="{FA4F8C02-CE29-4CE8-AF55-998D6398D7E1}"/>
    <cellStyle name="Comma 3 4 3 2 3 3" xfId="5260" xr:uid="{93957513-A69A-4A42-ACF4-D567D1BE7316}"/>
    <cellStyle name="Comma 3 4 3 2 3 3 2" xfId="9431" xr:uid="{73321C72-C189-4BAE-81D1-988EA06CD3FA}"/>
    <cellStyle name="Comma 3 4 3 2 3 4" xfId="6821" xr:uid="{BF3D9E90-1E72-4094-B84C-9E10DEF96808}"/>
    <cellStyle name="Comma 3 4 3 2 4" xfId="3086" xr:uid="{BB4528BB-1352-4816-9939-B3459B1470A5}"/>
    <cellStyle name="Comma 3 4 3 2 4 2" xfId="7287" xr:uid="{ECE44532-F757-4203-B493-69C437888194}"/>
    <cellStyle name="Comma 3 4 3 2 5" xfId="4401" xr:uid="{3E934E89-BF45-4CD6-8DE7-BB98BB2A1EC5}"/>
    <cellStyle name="Comma 3 4 3 2 5 2" xfId="8584" xr:uid="{B8ADD17F-51E2-44D5-A8FC-F409AAC07DC7}"/>
    <cellStyle name="Comma 3 4 3 2 6" xfId="5968" xr:uid="{B3E6C0F7-D1DF-4D52-8ADF-6058ABCBB80F}"/>
    <cellStyle name="Comma 3 4 3 3" xfId="1064" xr:uid="{FCA9003C-3155-49E0-9E88-213F95D1E2D5}"/>
    <cellStyle name="Comma 3 4 3 3 2" xfId="3266" xr:uid="{C0B0F188-8591-4C1D-9100-BA740D3A7AE0}"/>
    <cellStyle name="Comma 3 4 3 3 2 2" xfId="7464" xr:uid="{E21BCD14-1C03-4B94-8354-6FBCEA499447}"/>
    <cellStyle name="Comma 3 4 3 3 3" xfId="4583" xr:uid="{C27E2F36-3B23-4698-AEE6-411837E60747}"/>
    <cellStyle name="Comma 3 4 3 3 3 2" xfId="8763" xr:uid="{1DC9C4F9-674B-4C54-8241-7D51A8C4E4F6}"/>
    <cellStyle name="Comma 3 4 3 3 4" xfId="6148" xr:uid="{5A0D26DE-32BC-4FED-A6AF-8AEC6E835AD9}"/>
    <cellStyle name="Comma 3 4 3 4" xfId="2345" xr:uid="{9990BDD3-6638-4613-81B5-0CA51A8FE4CB}"/>
    <cellStyle name="Comma 3 4 3 4 2" xfId="3699" xr:uid="{3C43129C-7AE8-430B-A45E-6016691B4894}"/>
    <cellStyle name="Comma 3 4 3 4 2 2" xfId="7888" xr:uid="{0B03A0FB-CBBB-4633-8CAB-3BE1E09FEF66}"/>
    <cellStyle name="Comma 3 4 3 4 3" xfId="5020" xr:uid="{9C2F8651-63A8-4AEA-8676-CD93FF91A43B}"/>
    <cellStyle name="Comma 3 4 3 4 3 2" xfId="9191" xr:uid="{64661046-FB4C-4DF2-BCA3-453FECAA8EA5}"/>
    <cellStyle name="Comma 3 4 3 4 4" xfId="6581" xr:uid="{6F359E9A-E8C4-4DED-BA48-94A396CFD03B}"/>
    <cellStyle name="Comma 3 4 3 5" xfId="3117" xr:uid="{C490F5D6-CDAA-4EBE-A7E1-582CE5471E2A}"/>
    <cellStyle name="Comma 3 4 3 5 2" xfId="7318" xr:uid="{300E8209-6D7B-41AD-B01E-6010649D5952}"/>
    <cellStyle name="Comma 3 4 3 6" xfId="4432" xr:uid="{D22674D5-672D-4F26-A0D8-AEC5F51B822F}"/>
    <cellStyle name="Comma 3 4 3 6 2" xfId="8615" xr:uid="{9EA429C5-B069-4D37-AC8D-84AD59DE1013}"/>
    <cellStyle name="Comma 3 4 3 7" xfId="5999" xr:uid="{6A9622B9-6D55-447D-9C24-7849FC2DDF00}"/>
    <cellStyle name="Comma 3 4 4" xfId="873" xr:uid="{345591E8-3DF2-4665-A349-41D41A04ED7A}"/>
    <cellStyle name="Comma 3 4 4 2" xfId="1065" xr:uid="{28D2E1E8-9449-4534-A82E-C85C28E8E0A8}"/>
    <cellStyle name="Comma 3 4 4 2 2" xfId="2661" xr:uid="{E8E639D2-3126-4241-BEDE-74A44C6DA3F6}"/>
    <cellStyle name="Comma 3 4 4 2 2 2" xfId="4009" xr:uid="{F2D37E94-A469-4B29-8A41-4263C63F2745}"/>
    <cellStyle name="Comma 3 4 4 2 2 2 2" xfId="8198" xr:uid="{39034BB2-9B64-45EC-8A4F-0A7A95D9D407}"/>
    <cellStyle name="Comma 3 4 4 2 2 3" xfId="5330" xr:uid="{B2D0BB01-AD47-413E-B2E3-CFF3CE39F9E6}"/>
    <cellStyle name="Comma 3 4 4 2 2 3 2" xfId="9501" xr:uid="{3E28D70F-234D-437F-85B5-F5E761A0DF65}"/>
    <cellStyle name="Comma 3 4 4 2 2 4" xfId="6891" xr:uid="{413CD832-FD8E-4BCA-9656-EA3C5E80BE7F}"/>
    <cellStyle name="Comma 3 4 4 2 3" xfId="3267" xr:uid="{279D5C60-A91B-4336-A506-681912269783}"/>
    <cellStyle name="Comma 3 4 4 2 3 2" xfId="7465" xr:uid="{747D9CBF-6A0C-4B87-A543-5FEBC2ABD129}"/>
    <cellStyle name="Comma 3 4 4 2 4" xfId="4584" xr:uid="{D8059F43-5D5C-431F-BA3F-DD86673A8F57}"/>
    <cellStyle name="Comma 3 4 4 2 4 2" xfId="8764" xr:uid="{724CD796-2A7C-4410-9794-E60DCD11F997}"/>
    <cellStyle name="Comma 3 4 4 2 5" xfId="6149" xr:uid="{D7DDFC21-6F23-48F4-AA31-EE108DABAF13}"/>
    <cellStyle name="Comma 3 4 4 3" xfId="2421" xr:uid="{0CA0B62E-6966-4A5E-801B-2BAAC7F004B9}"/>
    <cellStyle name="Comma 3 4 4 3 2" xfId="3769" xr:uid="{4DAEBC2E-9A3A-4CC2-8AC3-12521EAD9577}"/>
    <cellStyle name="Comma 3 4 4 3 2 2" xfId="7958" xr:uid="{DCA2A493-E212-468F-A973-0C93DCFB4FB4}"/>
    <cellStyle name="Comma 3 4 4 3 3" xfId="5090" xr:uid="{ABFC49BC-12FA-4493-B824-44C0D881D99B}"/>
    <cellStyle name="Comma 3 4 4 3 3 2" xfId="9261" xr:uid="{D71BF89C-316D-4D37-B1FE-2C90344EC5EB}"/>
    <cellStyle name="Comma 3 4 4 3 4" xfId="6651" xr:uid="{5D09343D-A489-4250-908E-64394E2C5AB0}"/>
    <cellStyle name="Comma 3 4 4 4" xfId="3108" xr:uid="{940913F4-046F-4FE9-911C-ADC3D32240BA}"/>
    <cellStyle name="Comma 3 4 4 4 2" xfId="7309" xr:uid="{19ED0EFC-F43B-4F6A-ABAF-3F5101680ABD}"/>
    <cellStyle name="Comma 3 4 4 5" xfId="4423" xr:uid="{FDBCC849-8909-4F13-ABBE-4AA16A8DB0D6}"/>
    <cellStyle name="Comma 3 4 4 5 2" xfId="8606" xr:uid="{0FC54A84-4F3F-4947-8515-ECFF268AE2A4}"/>
    <cellStyle name="Comma 3 4 4 6" xfId="5990" xr:uid="{F0FCFB36-CDA2-4C54-90B5-D3A84DDF8890}"/>
    <cellStyle name="Comma 3 4 5" xfId="896" xr:uid="{92220E47-2692-4DFE-80EA-E77BE9B3ECF9}"/>
    <cellStyle name="Comma 3 4 5 2" xfId="2686" xr:uid="{3B6CE2CE-E397-40A6-B3AB-FAF8434B183D}"/>
    <cellStyle name="Comma 3 4 5 2 2" xfId="4034" xr:uid="{3C53BCAE-4C9F-440C-BD14-DF4EEA6EA6C6}"/>
    <cellStyle name="Comma 3 4 5 2 2 2" xfId="8223" xr:uid="{3C1D0101-215C-482B-9A4F-A16C59225A54}"/>
    <cellStyle name="Comma 3 4 5 2 3" xfId="5355" xr:uid="{FFA9560C-A2A1-4C79-9A91-ECB0EA466D7D}"/>
    <cellStyle name="Comma 3 4 5 2 3 2" xfId="9526" xr:uid="{79E4F72D-7163-402B-8AF8-0E16B2C2A1B3}"/>
    <cellStyle name="Comma 3 4 5 2 4" xfId="6916" xr:uid="{3842570B-6C63-4C57-BDDB-890C83D84545}"/>
    <cellStyle name="Comma 3 4 5 3" xfId="2446" xr:uid="{A92F2271-6CEA-4041-8D71-E6E06FA39B48}"/>
    <cellStyle name="Comma 3 4 5 3 2" xfId="3794" xr:uid="{43AFBDC9-12C8-42B5-A746-AD037453F783}"/>
    <cellStyle name="Comma 3 4 5 3 2 2" xfId="7983" xr:uid="{0A8EC900-A2ED-4238-B6BF-C2229E674CD5}"/>
    <cellStyle name="Comma 3 4 5 3 3" xfId="5115" xr:uid="{DCC35BFB-620B-4E82-AB3F-91F48B17E8BD}"/>
    <cellStyle name="Comma 3 4 5 3 3 2" xfId="9286" xr:uid="{8D59BAAB-C0E1-4B8A-B969-FE34E17F6926}"/>
    <cellStyle name="Comma 3 4 5 3 4" xfId="6676" xr:uid="{4CD1B527-36AC-4714-A579-530DE1B0E15B}"/>
    <cellStyle name="Comma 3 4 5 4" xfId="3123" xr:uid="{3340C3B5-5E3D-410D-A1EA-208D4A25A9CE}"/>
    <cellStyle name="Comma 3 4 5 4 2" xfId="7324" xr:uid="{B9DFE475-67BE-4D5B-BDC8-36FEC009ED63}"/>
    <cellStyle name="Comma 3 4 5 5" xfId="4439" xr:uid="{3C8BF81C-0881-46D0-8907-8C3155B8AB6B}"/>
    <cellStyle name="Comma 3 4 5 5 2" xfId="8622" xr:uid="{EF80CC2C-2E03-4E5A-A603-86B4C2179CC3}"/>
    <cellStyle name="Comma 3 4 5 6" xfId="6007" xr:uid="{32F959FC-F059-42F5-81BA-61B63CD6C445}"/>
    <cellStyle name="Comma 3 4 6" xfId="719" xr:uid="{9FACE8C3-0BDA-4ABB-9E6F-AAD76DEFE14C}"/>
    <cellStyle name="Comma 3 4 6 2" xfId="2527" xr:uid="{3469AD20-B857-4282-A664-62741357E551}"/>
    <cellStyle name="Comma 3 4 6 2 2" xfId="3875" xr:uid="{AED9B9A6-DBBB-4C3A-B5E3-AE5309980C78}"/>
    <cellStyle name="Comma 3 4 6 2 2 2" xfId="8064" xr:uid="{34EFBB8E-9B9B-4904-9FE4-39EE081C0B8A}"/>
    <cellStyle name="Comma 3 4 6 2 3" xfId="5196" xr:uid="{900CE527-79A1-497C-8F45-93FE99EBD3CE}"/>
    <cellStyle name="Comma 3 4 6 2 3 2" xfId="9367" xr:uid="{05D42508-AB34-4531-B7FC-BBF8F4B175D6}"/>
    <cellStyle name="Comma 3 4 6 2 4" xfId="6757" xr:uid="{9E1317BC-3351-473C-8EA7-6B7394AF17CA}"/>
    <cellStyle name="Comma 3 4 6 3" xfId="3005" xr:uid="{CD3BD1CB-F3DE-47DC-BF1A-64C1EA746FE6}"/>
    <cellStyle name="Comma 3 4 6 3 2" xfId="7208" xr:uid="{E9649E3C-7DA3-405B-A929-1364D711D507}"/>
    <cellStyle name="Comma 3 4 6 4" xfId="4320" xr:uid="{F359014B-AB9C-4259-BD91-808D900896E3}"/>
    <cellStyle name="Comma 3 4 6 4 2" xfId="8505" xr:uid="{DA675B67-C401-497F-9CFD-AB5E81573F36}"/>
    <cellStyle name="Comma 3 4 6 5" xfId="5889" xr:uid="{65ACA67E-AE03-4A1C-A711-90A445157312}"/>
    <cellStyle name="Comma 3 4 7" xfId="2281" xr:uid="{177F1DCF-EB24-45F3-8C04-EC2A1CA17F37}"/>
    <cellStyle name="Comma 3 4 7 2" xfId="3635" xr:uid="{6B6F94D0-5560-49FE-8C7B-65D41C7983DE}"/>
    <cellStyle name="Comma 3 4 7 2 2" xfId="7824" xr:uid="{8F09CC6C-4F82-4913-8AA4-4F0071B66266}"/>
    <cellStyle name="Comma 3 4 7 3" xfId="4956" xr:uid="{723D6368-21D5-4852-9004-FF9980F2AD56}"/>
    <cellStyle name="Comma 3 4 7 3 2" xfId="9127" xr:uid="{DA260A07-D9AE-43B5-95F4-0F419A123123}"/>
    <cellStyle name="Comma 3 4 7 4" xfId="6517" xr:uid="{AFDB0BC6-757E-49DC-9F1B-B26FF2D17A12}"/>
    <cellStyle name="Comma 3 4 8" xfId="2117" xr:uid="{6CC76DAE-3D0E-4BE8-A7AC-784DEBC87871}"/>
    <cellStyle name="Comma 3 4 8 2" xfId="3554" xr:uid="{2EEF8DDF-F215-49A0-B4F2-EEAB752111C9}"/>
    <cellStyle name="Comma 3 4 8 2 2" xfId="7743" xr:uid="{967FAC7B-369B-44FF-ACA7-B4869758F584}"/>
    <cellStyle name="Comma 3 4 8 3" xfId="4875" xr:uid="{068781E2-DE46-4B96-A185-7616023A1E31}"/>
    <cellStyle name="Comma 3 4 8 3 2" xfId="9046" xr:uid="{2C159CAF-147A-493A-81CC-D2FEE764B907}"/>
    <cellStyle name="Comma 3 4 8 4" xfId="6436" xr:uid="{735D73D6-95F4-40D5-BF0F-6D6BE7ED2CB7}"/>
    <cellStyle name="Comma 3 4 9" xfId="2945" xr:uid="{88C2B664-8368-46E7-839E-B287AB7B9277}"/>
    <cellStyle name="Comma 3 4 9 2" xfId="7148" xr:uid="{D18586C3-EB18-4CA1-BB41-E44C1879400C}"/>
    <cellStyle name="Comma 3 5" xfId="972" xr:uid="{03C598F9-1185-43FB-AC7F-805B3996BF99}"/>
    <cellStyle name="Comma 3 5 2" xfId="1324" xr:uid="{06BE2024-B5AC-459B-B1D6-95C4A120B2CF}"/>
    <cellStyle name="Comma 3 5 2 2" xfId="697" xr:uid="{D6C8ABF7-2736-4A36-8CAA-4E11A042C870}"/>
    <cellStyle name="Comma 3 5 2 2 2" xfId="1315" xr:uid="{DCF96B6A-0025-427A-AAC5-387C704CF457}"/>
    <cellStyle name="Comma 3 5 2 2 2 2" xfId="3491" xr:uid="{E118B02A-7DC4-467F-80D3-C7008033FC58}"/>
    <cellStyle name="Comma 3 5 2 2 2 2 2" xfId="7688" xr:uid="{771632A7-A190-4388-A5C1-BF67B9E4EC4B}"/>
    <cellStyle name="Comma 3 5 2 2 2 3" xfId="4810" xr:uid="{B01D56AA-2434-41C9-9C93-47A8884CBBC5}"/>
    <cellStyle name="Comma 3 5 2 2 2 3 2" xfId="8989" xr:uid="{636CED54-BEE0-4431-B650-D32A656C036D}"/>
    <cellStyle name="Comma 3 5 2 2 2 4" xfId="6374" xr:uid="{F2CF3F22-BF5D-45B8-8F8F-1BF4400547B7}"/>
    <cellStyle name="Comma 3 5 2 2 3" xfId="2607" xr:uid="{B1D93FD0-3FAD-4AC9-B9FB-2B6380A95D04}"/>
    <cellStyle name="Comma 3 5 2 2 3 2" xfId="3955" xr:uid="{16876DF5-4BF6-49F1-A5DD-AF3C25E5A975}"/>
    <cellStyle name="Comma 3 5 2 2 3 2 2" xfId="8144" xr:uid="{8596818B-1DE4-42C2-A72B-35B7162A556F}"/>
    <cellStyle name="Comma 3 5 2 2 3 3" xfId="5276" xr:uid="{D2DCD2E3-D80F-415E-87FA-A24BB0B0646D}"/>
    <cellStyle name="Comma 3 5 2 2 3 3 2" xfId="9447" xr:uid="{7F2F9859-94E9-4F6C-A554-5D3FEC0A92E5}"/>
    <cellStyle name="Comma 3 5 2 2 3 4" xfId="6837" xr:uid="{DC3A2E2C-DBBC-4B19-9B11-45A2E641FAC5}"/>
    <cellStyle name="Comma 3 5 2 2 4" xfId="2994" xr:uid="{49E1298C-447B-4A0A-9DB6-A408F46893E1}"/>
    <cellStyle name="Comma 3 5 2 2 4 2" xfId="7197" xr:uid="{6A833AE2-7F1E-4B2F-8B57-936C265CE0AA}"/>
    <cellStyle name="Comma 3 5 2 2 5" xfId="4308" xr:uid="{AEAB8547-991B-4585-B626-C981A0BFFBC2}"/>
    <cellStyle name="Comma 3 5 2 2 5 2" xfId="8493" xr:uid="{B5B847ED-9F5F-416A-852A-42BA3FC73F40}"/>
    <cellStyle name="Comma 3 5 2 2 6" xfId="5877" xr:uid="{52596490-F4D7-4885-B72B-407498282493}"/>
    <cellStyle name="Comma 3 5 2 3" xfId="742" xr:uid="{A1121758-E9D6-4508-8DDB-DCA411726A02}"/>
    <cellStyle name="Comma 3 5 2 3 2" xfId="3019" xr:uid="{9A0670B2-F5D6-4C26-91D6-9D75DA1C838B}"/>
    <cellStyle name="Comma 3 5 2 3 2 2" xfId="7222" xr:uid="{6FE2BC40-9450-4DC1-ACC8-1339B45F9021}"/>
    <cellStyle name="Comma 3 5 2 3 3" xfId="4334" xr:uid="{C232568B-334F-4E2D-B257-706945968E30}"/>
    <cellStyle name="Comma 3 5 2 3 3 2" xfId="8519" xr:uid="{589D2804-150E-49DA-8D8E-6B9FAC14EB03}"/>
    <cellStyle name="Comma 3 5 2 3 4" xfId="5903" xr:uid="{E480ECBD-E847-4E4A-8FCB-209AF235DFB3}"/>
    <cellStyle name="Comma 3 5 2 4" xfId="2361" xr:uid="{5689E16C-ADF2-461F-BDD7-1DBFEED0D4B1}"/>
    <cellStyle name="Comma 3 5 2 4 2" xfId="3715" xr:uid="{D6667D67-3927-4538-87A3-B99E27DC2F57}"/>
    <cellStyle name="Comma 3 5 2 4 2 2" xfId="7904" xr:uid="{D8C55B75-7CB9-4C39-868B-A3AE15061E3C}"/>
    <cellStyle name="Comma 3 5 2 4 3" xfId="5036" xr:uid="{DCFEFC93-1EDA-4A47-BA7F-F6448E5CA44F}"/>
    <cellStyle name="Comma 3 5 2 4 3 2" xfId="9207" xr:uid="{74F3E520-B5E6-4A2B-8E13-650DDED0CCDB}"/>
    <cellStyle name="Comma 3 5 2 4 4" xfId="6597" xr:uid="{AC96ABE6-49C0-47A8-80F1-905AA44E497A}"/>
    <cellStyle name="Comma 3 5 2 5" xfId="3500" xr:uid="{1A558D25-015B-451F-8EFE-37191CDC44DB}"/>
    <cellStyle name="Comma 3 5 2 5 2" xfId="7697" xr:uid="{81DF19B4-867A-4236-B947-5EE1681D5EF9}"/>
    <cellStyle name="Comma 3 5 2 6" xfId="4819" xr:uid="{CBE937DA-50A9-4074-AF60-D5E328621C2B}"/>
    <cellStyle name="Comma 3 5 2 6 2" xfId="8998" xr:uid="{5AD75F12-EC95-4E00-ABBF-F79C81043CFC}"/>
    <cellStyle name="Comma 3 5 2 7" xfId="6383" xr:uid="{0E28BF59-4691-449C-99A0-F2C35F7B4B18}"/>
    <cellStyle name="Comma 3 5 3" xfId="1313" xr:uid="{EC093974-B02D-4F63-9115-F8CB1E4018C8}"/>
    <cellStyle name="Comma 3 5 3 2" xfId="696" xr:uid="{36404D6E-8B1E-4B48-93CE-00F78CE91B02}"/>
    <cellStyle name="Comma 3 5 3 2 2" xfId="2702" xr:uid="{0EB40309-919F-47D2-A6FB-15ECAD2B14C1}"/>
    <cellStyle name="Comma 3 5 3 2 2 2" xfId="4050" xr:uid="{0024E9D3-7E56-4142-8E18-E065527A3AF7}"/>
    <cellStyle name="Comma 3 5 3 2 2 2 2" xfId="8239" xr:uid="{82F45D4E-5440-4F03-99F7-C66FD75D7878}"/>
    <cellStyle name="Comma 3 5 3 2 2 3" xfId="5371" xr:uid="{998CED75-DA27-4EF7-81B9-6151CC8FF3C9}"/>
    <cellStyle name="Comma 3 5 3 2 2 3 2" xfId="9542" xr:uid="{7D632300-25E8-4F33-9104-42648C65E316}"/>
    <cellStyle name="Comma 3 5 3 2 2 4" xfId="6932" xr:uid="{0C9C2221-AAC6-42E2-97C4-03C32E876BDD}"/>
    <cellStyle name="Comma 3 5 3 2 3" xfId="2993" xr:uid="{A3E670C5-2345-4D34-8E6B-A2B29EDF8C58}"/>
    <cellStyle name="Comma 3 5 3 2 3 2" xfId="7196" xr:uid="{949FA5A0-DF00-4D18-8E51-6FCBA586271A}"/>
    <cellStyle name="Comma 3 5 3 2 4" xfId="4307" xr:uid="{E20B3A07-9248-426D-969A-81F9796AD5F2}"/>
    <cellStyle name="Comma 3 5 3 2 4 2" xfId="8492" xr:uid="{7BF0880B-EB0C-4279-B8FF-8031B98DF759}"/>
    <cellStyle name="Comma 3 5 3 2 5" xfId="5876" xr:uid="{BA99A361-3A8B-430F-917D-D5969953EA74}"/>
    <cellStyle name="Comma 3 5 3 3" xfId="2462" xr:uid="{E8A91762-9187-4385-89F3-611B95B864BE}"/>
    <cellStyle name="Comma 3 5 3 3 2" xfId="3810" xr:uid="{285ED6FE-5D34-49FC-8B3A-0E4387ADF0F2}"/>
    <cellStyle name="Comma 3 5 3 3 2 2" xfId="7999" xr:uid="{2AD01C21-3152-4985-BB74-A69387433F47}"/>
    <cellStyle name="Comma 3 5 3 3 3" xfId="5131" xr:uid="{9D2B1053-07BE-46F6-ABCC-0D442B78B202}"/>
    <cellStyle name="Comma 3 5 3 3 3 2" xfId="9302" xr:uid="{1A47275F-108C-456D-94E0-D32D8C6C0018}"/>
    <cellStyle name="Comma 3 5 3 3 4" xfId="6692" xr:uid="{6E96326B-0884-410F-8D20-1F572E1C3C46}"/>
    <cellStyle name="Comma 3 5 3 4" xfId="3489" xr:uid="{86FDC839-8E08-4571-9D88-272CC0888EFB}"/>
    <cellStyle name="Comma 3 5 3 4 2" xfId="7686" xr:uid="{8024A232-12A7-4FB7-A139-FFA6E38601D0}"/>
    <cellStyle name="Comma 3 5 3 5" xfId="4808" xr:uid="{D3CD22AB-6285-4FC4-9BCA-2FFA72AC9D01}"/>
    <cellStyle name="Comma 3 5 3 5 2" xfId="8987" xr:uid="{F1F1ECEA-49FE-4CCA-B70B-C8118EA474D5}"/>
    <cellStyle name="Comma 3 5 3 6" xfId="6372" xr:uid="{262AC840-C8C6-4D02-8921-77882F9E87DF}"/>
    <cellStyle name="Comma 3 5 4" xfId="865" xr:uid="{EE9FFAC3-9DC7-412C-9570-70FAFA969876}"/>
    <cellStyle name="Comma 3 5 4 2" xfId="2543" xr:uid="{C56EBAC9-E53A-4229-825D-84F494198355}"/>
    <cellStyle name="Comma 3 5 4 2 2" xfId="3891" xr:uid="{969F27DC-05E2-4133-8E7D-DA50BF126C59}"/>
    <cellStyle name="Comma 3 5 4 2 2 2" xfId="8080" xr:uid="{2727364A-D636-41E2-A3BB-CFAADB08AC6E}"/>
    <cellStyle name="Comma 3 5 4 2 3" xfId="5212" xr:uid="{20B6BE5F-A5B8-4645-9225-1ABCF3848FA3}"/>
    <cellStyle name="Comma 3 5 4 2 3 2" xfId="9383" xr:uid="{64DAA54A-44C4-4997-BB88-A6F232997553}"/>
    <cellStyle name="Comma 3 5 4 2 4" xfId="6773" xr:uid="{F4FDFB14-1993-4790-ADFD-9EB11BBFCAFF}"/>
    <cellStyle name="Comma 3 5 4 3" xfId="3106" xr:uid="{FC69B22C-3367-4921-B2CA-C2EA334EC215}"/>
    <cellStyle name="Comma 3 5 4 3 2" xfId="7307" xr:uid="{7A866D61-D713-4B5A-8C1D-219A71652F41}"/>
    <cellStyle name="Comma 3 5 4 4" xfId="4421" xr:uid="{79BD3762-DCDD-40AF-88B4-6814805C7A9A}"/>
    <cellStyle name="Comma 3 5 4 4 2" xfId="8604" xr:uid="{B3218D5C-C1C7-4D25-8501-65CFCE7AE810}"/>
    <cellStyle name="Comma 3 5 4 5" xfId="5988" xr:uid="{270274C7-799B-46DA-8802-8D79C7995908}"/>
    <cellStyle name="Comma 3 5 5" xfId="1314" xr:uid="{DC5C3B66-FAD4-4E90-B30A-9B003609A65A}"/>
    <cellStyle name="Comma 3 5 5 2" xfId="2297" xr:uid="{33202244-55E8-4902-9929-0D921B9557E1}"/>
    <cellStyle name="Comma 3 5 5 2 2" xfId="3651" xr:uid="{CED29F79-0152-4CA7-BF8B-807C663A63F9}"/>
    <cellStyle name="Comma 3 5 5 2 2 2" xfId="7840" xr:uid="{FF8A3535-4890-4E28-B1F1-358756D31556}"/>
    <cellStyle name="Comma 3 5 5 2 3" xfId="4972" xr:uid="{21DF115E-BEE6-499B-B8D8-C7393CB77070}"/>
    <cellStyle name="Comma 3 5 5 2 3 2" xfId="9143" xr:uid="{3C087BA6-08BF-49B0-8D93-EBDF8457109E}"/>
    <cellStyle name="Comma 3 5 5 2 4" xfId="6533" xr:uid="{0F6A7237-174B-4F43-8C6E-075F421BC7AF}"/>
    <cellStyle name="Comma 3 5 5 3" xfId="3490" xr:uid="{B256DD95-5B3D-4A24-AADE-4E43A528894D}"/>
    <cellStyle name="Comma 3 5 5 3 2" xfId="7687" xr:uid="{047C96DE-602E-4D32-B667-D0AE378BD8CE}"/>
    <cellStyle name="Comma 3 5 5 4" xfId="4809" xr:uid="{DA4D3098-6EA3-476B-929C-AB719825D1A8}"/>
    <cellStyle name="Comma 3 5 5 4 2" xfId="8988" xr:uid="{C5E5B492-D170-43CC-A264-993CB6F181E1}"/>
    <cellStyle name="Comma 3 5 5 5" xfId="6373" xr:uid="{B3A13489-FE20-478B-8A9E-11EFB7725116}"/>
    <cellStyle name="Comma 3 5 6" xfId="2136" xr:uid="{74C96421-5ED8-4DE0-BB61-E0B97706BAC7}"/>
    <cellStyle name="Comma 3 5 6 2" xfId="3570" xr:uid="{33DEFE58-FBEF-457A-98F2-5B2495794DED}"/>
    <cellStyle name="Comma 3 5 6 2 2" xfId="7759" xr:uid="{0CE57EED-E113-4D32-B72F-380A62E36762}"/>
    <cellStyle name="Comma 3 5 6 3" xfId="4891" xr:uid="{02377D7B-D46A-4E95-B247-940D17301A70}"/>
    <cellStyle name="Comma 3 5 6 3 2" xfId="9062" xr:uid="{09AE4FE8-9597-476E-BB54-75D288ED80F1}"/>
    <cellStyle name="Comma 3 5 6 4" xfId="6452" xr:uid="{C147B4C4-F0A1-4B99-9C30-B2A610B5CFBD}"/>
    <cellStyle name="Comma 3 5 7" xfId="3182" xr:uid="{E5180F61-EBEF-46DC-8DF0-BAB7B32D4BEC}"/>
    <cellStyle name="Comma 3 5 7 2" xfId="7383" xr:uid="{2FF290E9-E136-43EB-8D73-EF79525AF501}"/>
    <cellStyle name="Comma 3 5 8" xfId="4499" xr:uid="{82772440-C5D8-41E8-9212-D8E7E1DA95FF}"/>
    <cellStyle name="Comma 3 5 8 2" xfId="8682" xr:uid="{DE38870B-1509-4A8E-BE88-451C52DDC2A0}"/>
    <cellStyle name="Comma 3 5 9" xfId="6067" xr:uid="{512F4BAC-58E1-44FF-A8C1-FB69283E911F}"/>
    <cellStyle name="Comma 3 6" xfId="959" xr:uid="{A92F809E-C23F-4D4E-AE3B-39326E4C3205}"/>
    <cellStyle name="Comma 3 6 2" xfId="949" xr:uid="{819E6835-574A-4648-A5A4-008A3C05BBE3}"/>
    <cellStyle name="Comma 3 6 2 2" xfId="885" xr:uid="{C983A11A-70E7-4C28-9C2F-72A8A9F5CB68}"/>
    <cellStyle name="Comma 3 6 2 2 2" xfId="2734" xr:uid="{720CAE39-5BDE-4D13-9819-0C597B0B4161}"/>
    <cellStyle name="Comma 3 6 2 2 2 2" xfId="4082" xr:uid="{EF9B0816-7708-47E3-B291-1FB2043780EF}"/>
    <cellStyle name="Comma 3 6 2 2 2 2 2" xfId="8271" xr:uid="{B761111A-9D81-4C16-B765-B631A29AEEAF}"/>
    <cellStyle name="Comma 3 6 2 2 2 3" xfId="5403" xr:uid="{B8FEF5B8-F642-4CA1-BB94-488F760B29C3}"/>
    <cellStyle name="Comma 3 6 2 2 2 3 2" xfId="9574" xr:uid="{6BB5D182-E428-4221-BF96-24201300B29C}"/>
    <cellStyle name="Comma 3 6 2 2 2 4" xfId="6964" xr:uid="{57B19D0A-4B20-4759-B91B-C3FC662EA336}"/>
    <cellStyle name="Comma 3 6 2 2 3" xfId="3118" xr:uid="{82CFE5D6-D800-4F81-A175-5472B07AB089}"/>
    <cellStyle name="Comma 3 6 2 2 3 2" xfId="7319" xr:uid="{CFA6A73E-B759-4F33-8536-FB6562D4721E}"/>
    <cellStyle name="Comma 3 6 2 2 4" xfId="4433" xr:uid="{F1A6424A-0A35-487E-9DE1-20E38CD90209}"/>
    <cellStyle name="Comma 3 6 2 2 4 2" xfId="8616" xr:uid="{AD8CF073-B98F-4BF1-8BBB-D16B3EF47E71}"/>
    <cellStyle name="Comma 3 6 2 2 5" xfId="6000" xr:uid="{D56FE4C8-C142-4338-B31C-2BD022AD9870}"/>
    <cellStyle name="Comma 3 6 2 3" xfId="2494" xr:uid="{039D44E0-1463-4144-B5C1-A2D347FB63B0}"/>
    <cellStyle name="Comma 3 6 2 3 2" xfId="3842" xr:uid="{F1F96C0F-FFBC-4C23-939A-CB27FAC37CFB}"/>
    <cellStyle name="Comma 3 6 2 3 2 2" xfId="8031" xr:uid="{66370F23-DE8A-4C8B-A658-20DF05833CC7}"/>
    <cellStyle name="Comma 3 6 2 3 3" xfId="5163" xr:uid="{A2812F39-D564-4292-82E3-84492227A675}"/>
    <cellStyle name="Comma 3 6 2 3 3 2" xfId="9334" xr:uid="{E2C8E60F-1E81-430B-8FA7-5BCE2C1D0ADD}"/>
    <cellStyle name="Comma 3 6 2 3 4" xfId="6724" xr:uid="{D3710603-77A2-4038-BD6D-35D0AB0A8846}"/>
    <cellStyle name="Comma 3 6 2 4" xfId="3164" xr:uid="{3B66F204-CAAA-495B-9238-99A49B6FF2F5}"/>
    <cellStyle name="Comma 3 6 2 4 2" xfId="7365" xr:uid="{546D598C-FA84-4BEB-AACF-025A029E9C0F}"/>
    <cellStyle name="Comma 3 6 2 5" xfId="4480" xr:uid="{4DC11EEA-6499-45A3-AED6-9C874107F13B}"/>
    <cellStyle name="Comma 3 6 2 5 2" xfId="8663" xr:uid="{06F244FE-92A3-4BB4-877F-FF66CF6C170D}"/>
    <cellStyle name="Comma 3 6 2 6" xfId="6048" xr:uid="{17910BE4-1724-45BF-BCB9-5617CC6D5B1D}"/>
    <cellStyle name="Comma 3 6 3" xfId="678" xr:uid="{F02883E4-B6A4-4544-9D9F-BE48D26D925F}"/>
    <cellStyle name="Comma 3 6 3 2" xfId="2575" xr:uid="{67F89321-A3B0-4289-B3A1-DBDA0B3EF0B2}"/>
    <cellStyle name="Comma 3 6 3 2 2" xfId="3923" xr:uid="{E48A8662-0393-4084-ADDF-1DE6C25ED9B3}"/>
    <cellStyle name="Comma 3 6 3 2 2 2" xfId="8112" xr:uid="{00D1951F-EE74-4FC3-9E20-3104D71452B2}"/>
    <cellStyle name="Comma 3 6 3 2 3" xfId="5244" xr:uid="{23CDCD55-4A00-439C-9B64-8E256071B413}"/>
    <cellStyle name="Comma 3 6 3 2 3 2" xfId="9415" xr:uid="{AE9C724B-A1C3-44BF-941C-2C2E6EE507D5}"/>
    <cellStyle name="Comma 3 6 3 2 4" xfId="6805" xr:uid="{67666060-4B99-45E1-8395-22DD78B0DD37}"/>
    <cellStyle name="Comma 3 6 3 3" xfId="2978" xr:uid="{28DE1528-331C-426D-8BC9-18E7E77AA7BA}"/>
    <cellStyle name="Comma 3 6 3 3 2" xfId="7181" xr:uid="{7805CF45-C285-4359-94E7-39FF0F40C093}"/>
    <cellStyle name="Comma 3 6 3 4" xfId="4291" xr:uid="{26F0E551-F2F1-4FC4-AF06-45C280775B15}"/>
    <cellStyle name="Comma 3 6 3 4 2" xfId="8476" xr:uid="{F68D2881-A570-474B-8186-A3CDBE8100F2}"/>
    <cellStyle name="Comma 3 6 3 5" xfId="5860" xr:uid="{3D9FB03C-95E7-482E-BE8B-9E8EE644825F}"/>
    <cellStyle name="Comma 3 6 4" xfId="2329" xr:uid="{B27CFEF8-BC14-4B02-9F57-FF1CBD83D2EB}"/>
    <cellStyle name="Comma 3 6 4 2" xfId="3683" xr:uid="{3F543CAC-10B0-4DFE-9EB0-01BD27756790}"/>
    <cellStyle name="Comma 3 6 4 2 2" xfId="7872" xr:uid="{D0D0644F-7F89-4FA1-A57D-D6E23690635F}"/>
    <cellStyle name="Comma 3 6 4 3" xfId="5004" xr:uid="{9E4A6525-7350-4E90-8571-2015AB3CDB96}"/>
    <cellStyle name="Comma 3 6 4 3 2" xfId="9175" xr:uid="{EAE7D23E-FF14-4880-AB26-6BC864001FF2}"/>
    <cellStyle name="Comma 3 6 4 4" xfId="6565" xr:uid="{815ADE3F-9BC4-43D3-BAD2-51A9763EA77F}"/>
    <cellStyle name="Comma 3 6 5" xfId="2216" xr:uid="{BC5B0A75-30D4-4DA8-AEA2-D63CC06AD0CD}"/>
    <cellStyle name="Comma 3 6 5 2" xfId="3602" xr:uid="{407EE95C-F0D2-4466-ACB0-C266D9B6066E}"/>
    <cellStyle name="Comma 3 6 5 2 2" xfId="7791" xr:uid="{303E983E-B67F-4D77-AE00-289089F7479E}"/>
    <cellStyle name="Comma 3 6 5 3" xfId="4923" xr:uid="{4120D8A6-AC4F-47EE-8ADD-2E944D2049E4}"/>
    <cellStyle name="Comma 3 6 5 3 2" xfId="9094" xr:uid="{45BDD444-5FC2-40E6-A8F5-7DCE302D68BB}"/>
    <cellStyle name="Comma 3 6 5 4" xfId="6484" xr:uid="{19E1499D-E627-4248-9F2F-815FC4AE27B4}"/>
    <cellStyle name="Comma 3 6 6" xfId="3172" xr:uid="{A3C30824-84B5-4253-B457-DB9F2BEC4D33}"/>
    <cellStyle name="Comma 3 6 6 2" xfId="7373" xr:uid="{FC52A7CA-18AE-4B45-AC17-6A8553D4EB0B}"/>
    <cellStyle name="Comma 3 6 7" xfId="4488" xr:uid="{443C58BD-3066-4180-9AD8-A3BC59C84421}"/>
    <cellStyle name="Comma 3 6 7 2" xfId="8671" xr:uid="{A1D9DEA0-69D5-48AA-A0CA-AC15BAB6BFB6}"/>
    <cellStyle name="Comma 3 6 8" xfId="6056" xr:uid="{EBE56816-B840-4447-8FEE-778570987424}"/>
    <cellStyle name="Comma 3 7" xfId="695" xr:uid="{91FEF39A-7780-430B-83AB-C0B3713E99C0}"/>
    <cellStyle name="Comma 3 7 2" xfId="956" xr:uid="{37140177-EF79-4C70-AECB-DCBC1764F4AF}"/>
    <cellStyle name="Comma 3 7 2 2" xfId="1355" xr:uid="{15F8DB20-B45C-4E9A-B51A-4D85AEE07668}"/>
    <cellStyle name="Comma 3 7 2 2 2" xfId="3513" xr:uid="{68709332-71C8-49D3-813C-543D65A1C008}"/>
    <cellStyle name="Comma 3 7 2 2 2 2" xfId="7710" xr:uid="{6637AD74-913B-498A-95F3-85D88B7019A8}"/>
    <cellStyle name="Comma 3 7 2 2 3" xfId="4833" xr:uid="{711B6849-4D8C-497E-A6DA-3C11D29CF6B5}"/>
    <cellStyle name="Comma 3 7 2 2 3 2" xfId="9012" xr:uid="{AFC836CB-FD44-4AE7-AC1D-5F32D405F6E1}"/>
    <cellStyle name="Comma 3 7 2 2 4" xfId="6397" xr:uid="{21692B32-8A51-4823-942B-6E8BE6C220C4}"/>
    <cellStyle name="Comma 3 7 2 3" xfId="2641" xr:uid="{AB55E4B4-EC79-43F3-B062-179A5DD2D10D}"/>
    <cellStyle name="Comma 3 7 2 3 2" xfId="3989" xr:uid="{6D965B54-83AD-42E2-9049-DBF00A79A7B4}"/>
    <cellStyle name="Comma 3 7 2 3 2 2" xfId="8178" xr:uid="{5EA77826-B76D-4FC0-B3C8-72D05B6F6D55}"/>
    <cellStyle name="Comma 3 7 2 3 3" xfId="5310" xr:uid="{8D0B077B-DE28-449C-9B49-8BCBE2C5C6A0}"/>
    <cellStyle name="Comma 3 7 2 3 3 2" xfId="9481" xr:uid="{FF041D86-E139-457D-A9D2-06D6EDB9B4CC}"/>
    <cellStyle name="Comma 3 7 2 3 4" xfId="6871" xr:uid="{667BA65E-09BF-4B4F-A5DF-AA71A778157E}"/>
    <cellStyle name="Comma 3 7 2 4" xfId="3169" xr:uid="{8205A851-4DB1-4A73-8137-5C8ADB074CFF}"/>
    <cellStyle name="Comma 3 7 2 4 2" xfId="7370" xr:uid="{CC6F698F-6F14-42CE-80A3-E75A9C433E0F}"/>
    <cellStyle name="Comma 3 7 2 5" xfId="4485" xr:uid="{3029C448-FAB9-454F-BDDD-BE4A16333932}"/>
    <cellStyle name="Comma 3 7 2 5 2" xfId="8668" xr:uid="{1DD581C1-F0AF-4080-94A2-93463E016ABA}"/>
    <cellStyle name="Comma 3 7 2 6" xfId="6053" xr:uid="{0E04E245-AA6B-4929-9322-B800FF881BFD}"/>
    <cellStyle name="Comma 3 7 3" xfId="733" xr:uid="{39DF837D-3BAC-42C9-95F2-639D16EF206C}"/>
    <cellStyle name="Comma 3 7 3 2" xfId="3015" xr:uid="{C5542431-430A-414D-824C-15620BA3EACA}"/>
    <cellStyle name="Comma 3 7 3 2 2" xfId="7218" xr:uid="{302EE090-8F48-4ACC-82D6-411E1C8179C4}"/>
    <cellStyle name="Comma 3 7 3 3" xfId="4330" xr:uid="{03939823-4134-495C-87C3-07B72E1FB69A}"/>
    <cellStyle name="Comma 3 7 3 3 2" xfId="8515" xr:uid="{F9F35DF0-6DCC-4C8C-ABB1-D1E3594DD6F6}"/>
    <cellStyle name="Comma 3 7 3 4" xfId="5899" xr:uid="{5B272FA2-E0FB-4898-A96E-D9A40D2284FB}"/>
    <cellStyle name="Comma 3 7 4" xfId="2401" xr:uid="{7B87065B-737D-47D6-B25D-2F4E5E3F5408}"/>
    <cellStyle name="Comma 3 7 4 2" xfId="3749" xr:uid="{53EBC909-0E8A-455B-B831-708ED8E91C68}"/>
    <cellStyle name="Comma 3 7 4 2 2" xfId="7938" xr:uid="{99BF071D-E13E-4C4C-8DF0-E79389CFC867}"/>
    <cellStyle name="Comma 3 7 4 3" xfId="5070" xr:uid="{905A7384-2DFF-45A4-8180-CD93B2349F70}"/>
    <cellStyle name="Comma 3 7 4 3 2" xfId="9241" xr:uid="{30E45B5F-C38E-4E8D-B4B0-CA2A9396EA73}"/>
    <cellStyle name="Comma 3 7 4 4" xfId="6631" xr:uid="{791D249C-E979-49B1-AC01-786AAF74BC3F}"/>
    <cellStyle name="Comma 3 7 5" xfId="2992" xr:uid="{7D98DACA-1880-470E-A7DA-6A9E8C89F98F}"/>
    <cellStyle name="Comma 3 7 5 2" xfId="7195" xr:uid="{D81522CC-832C-45D1-B076-4FB560CB8F8A}"/>
    <cellStyle name="Comma 3 7 6" xfId="4306" xr:uid="{E78C2A3C-6E8C-45CC-9B48-D1CA623EB660}"/>
    <cellStyle name="Comma 3 7 6 2" xfId="8491" xr:uid="{17282C0E-02DF-496A-8178-412B6E3F3D46}"/>
    <cellStyle name="Comma 3 7 7" xfId="5875" xr:uid="{FC63022C-3BD9-4F85-8A5D-619F18432F02}"/>
    <cellStyle name="Comma 3 8" xfId="2430" xr:uid="{90CDF5D4-4202-4160-8222-A42B54A6830C}"/>
    <cellStyle name="Comma 3 8 2" xfId="2670" xr:uid="{69C710B6-D9DA-4172-A01A-8D3251F362CF}"/>
    <cellStyle name="Comma 3 8 2 2" xfId="4018" xr:uid="{5DEBA6AC-A023-4E6C-A0B2-60F980CD8BA3}"/>
    <cellStyle name="Comma 3 8 2 2 2" xfId="8207" xr:uid="{7323175F-6059-4184-9529-A2E5CF487FE0}"/>
    <cellStyle name="Comma 3 8 2 3" xfId="5339" xr:uid="{E54D193E-3A56-48F3-9202-FB904ACA9D96}"/>
    <cellStyle name="Comma 3 8 2 3 2" xfId="9510" xr:uid="{9E5F00AE-FBEC-4274-BCBF-70B5387ACFC2}"/>
    <cellStyle name="Comma 3 8 2 4" xfId="6900" xr:uid="{36AEABC8-9991-44F9-931D-7DF698EC0795}"/>
    <cellStyle name="Comma 3 8 3" xfId="3778" xr:uid="{E30AD966-A58B-4459-BCF9-5985BC257C42}"/>
    <cellStyle name="Comma 3 8 3 2" xfId="7967" xr:uid="{264D0128-F0CC-4E6D-8416-EE6370683973}"/>
    <cellStyle name="Comma 3 8 4" xfId="5099" xr:uid="{E24A071E-44FA-4585-9786-57DC7D55AF39}"/>
    <cellStyle name="Comma 3 8 4 2" xfId="9270" xr:uid="{0B87D2F6-E8D7-49D2-8ECC-99EE833E7318}"/>
    <cellStyle name="Comma 3 8 5" xfId="6660" xr:uid="{39AAD95E-0D3B-40BF-8DA1-C789A3675320}"/>
    <cellStyle name="Comma 3 9" xfId="2511" xr:uid="{70522BF7-6098-4BF7-B0D2-07106ACE27B6}"/>
    <cellStyle name="Comma 3 9 2" xfId="2792" xr:uid="{F8F04294-2888-4549-A7BA-A6798C419D43}"/>
    <cellStyle name="Comma 3 9 2 2" xfId="7003" xr:uid="{69991E6F-0227-4B6B-83D7-B7FCD6B286EF}"/>
    <cellStyle name="Comma 3 9 3" xfId="3859" xr:uid="{07F5E1F9-6C03-4B8C-AC8A-D9C1FF6833DF}"/>
    <cellStyle name="Comma 3 9 3 2" xfId="8048" xr:uid="{BB757F75-67D4-44D7-899B-5F57E4CA4B3F}"/>
    <cellStyle name="Comma 3 9 4" xfId="5180" xr:uid="{AE3A307E-7059-4E54-B7B5-0F2829D4E766}"/>
    <cellStyle name="Comma 3 9 4 2" xfId="9351" xr:uid="{F4F2D9DF-C2B4-4EE0-B690-0A4A7EE9C3C1}"/>
    <cellStyle name="Comma 3 9 5" xfId="5460" xr:uid="{E1C72B02-9942-4AC1-9E95-1498D99579CB}"/>
    <cellStyle name="Comma 3 9 5 2" xfId="9595" xr:uid="{683C3E67-5A91-402A-8B3F-CE4CEE6B0B2D}"/>
    <cellStyle name="Comma 3 9 6" xfId="6741" xr:uid="{58D76D21-6213-4804-9A26-AD550B17D9D7}"/>
    <cellStyle name="Comma 4" xfId="178" xr:uid="{D9FDC2FA-B990-40BB-904A-A64D4F20F665}"/>
    <cellStyle name="Comma 4 10" xfId="2099" xr:uid="{80023CE6-BAAA-4D05-AD19-32F2EF870B3F}"/>
    <cellStyle name="Comma 4 10 2" xfId="3540" xr:uid="{08E6A434-F0B0-4926-9F15-FD9526556EA4}"/>
    <cellStyle name="Comma 4 10 2 2" xfId="7729" xr:uid="{F0178BD8-2BAB-45DD-9688-85E0A15D902C}"/>
    <cellStyle name="Comma 4 10 3" xfId="4861" xr:uid="{73FA5AEA-B41A-490F-B825-78147E1F9EBB}"/>
    <cellStyle name="Comma 4 10 3 2" xfId="9032" xr:uid="{50F9A157-8734-498A-9EA1-FEDC1ED3D1EB}"/>
    <cellStyle name="Comma 4 10 4" xfId="6422" xr:uid="{8EE38B7C-0B55-4CB4-877D-223D67F2D884}"/>
    <cellStyle name="Comma 4 11" xfId="4165" xr:uid="{99CE2604-31E2-4555-9F5C-E95869927670}"/>
    <cellStyle name="Comma 4 11 2" xfId="8354" xr:uid="{100A952D-9335-472F-A37B-9AAE3B5B5FD9}"/>
    <cellStyle name="Comma 4 12" xfId="5503" xr:uid="{AA7F14C4-31D2-4F6D-AF50-38E8C296F1CF}"/>
    <cellStyle name="Comma 4 12 2" xfId="9628" xr:uid="{13CB2CF4-913B-43E7-A72B-5AFAE8FC19EA}"/>
    <cellStyle name="Comma 4 13" xfId="5736" xr:uid="{1C5B8F6B-229C-4B70-9F78-2A74B39BC142}"/>
    <cellStyle name="Comma 4 2" xfId="627" xr:uid="{5A82B1C7-8D52-4738-BFA0-931028B80E7F}"/>
    <cellStyle name="Comma 4 2 10" xfId="2948" xr:uid="{B54A4A92-7A36-4351-85E2-96CB74CBF1C2}"/>
    <cellStyle name="Comma 4 2 10 2" xfId="7151" xr:uid="{2649559A-FBCD-4BC1-A4D9-DC9A11ABC37E}"/>
    <cellStyle name="Comma 4 2 11" xfId="4259" xr:uid="{8153070A-286F-4D91-A41B-337C79B64B04}"/>
    <cellStyle name="Comma 4 2 11 2" xfId="8444" xr:uid="{C924B8E5-C971-4463-8321-57949C6E2DBC}"/>
    <cellStyle name="Comma 4 2 12" xfId="5828" xr:uid="{CC23CB29-3A08-4F8F-B575-A034D1863945}"/>
    <cellStyle name="Comma 4 2 2" xfId="1300" xr:uid="{B63E94EF-2DCC-43A5-8CE1-484F4E61409A}"/>
    <cellStyle name="Comma 4 2 2 2" xfId="2162" xr:uid="{64103912-718F-4195-8B7B-BD20FA484EA2}"/>
    <cellStyle name="Comma 4 2 2 2 2" xfId="2387" xr:uid="{314255F0-89CA-4399-BB23-0A4E3E440B3F}"/>
    <cellStyle name="Comma 4 2 2 2 2 2" xfId="2633" xr:uid="{019471FE-5EB0-497B-AFAA-1689BFE8FCDC}"/>
    <cellStyle name="Comma 4 2 2 2 2 2 2" xfId="3981" xr:uid="{F4AD49AB-10F6-4DD2-9A26-299AF152B7D4}"/>
    <cellStyle name="Comma 4 2 2 2 2 2 2 2" xfId="8170" xr:uid="{8BABF1A1-890E-4328-B499-0F0B89955156}"/>
    <cellStyle name="Comma 4 2 2 2 2 2 3" xfId="5302" xr:uid="{93000CC3-6FBF-449E-8BD9-3C2EB611D09F}"/>
    <cellStyle name="Comma 4 2 2 2 2 2 3 2" xfId="9473" xr:uid="{97352FC8-1D54-46E2-AD37-F7DCE620A30E}"/>
    <cellStyle name="Comma 4 2 2 2 2 2 4" xfId="6863" xr:uid="{2B30D56B-AE6B-4363-8CA7-5792E310E8B3}"/>
    <cellStyle name="Comma 4 2 2 2 2 3" xfId="3741" xr:uid="{0B490C91-2C54-49F4-ABC9-0649C40A64F3}"/>
    <cellStyle name="Comma 4 2 2 2 2 3 2" xfId="7930" xr:uid="{2CD94735-D217-4A5E-B756-EF0B998C8704}"/>
    <cellStyle name="Comma 4 2 2 2 2 4" xfId="5062" xr:uid="{6A565902-5F7C-480E-A260-530E486BB742}"/>
    <cellStyle name="Comma 4 2 2 2 2 4 2" xfId="9233" xr:uid="{ACF6BB42-347A-4641-B420-EE3007E5D4EB}"/>
    <cellStyle name="Comma 4 2 2 2 2 5" xfId="6623" xr:uid="{06A11483-0D7E-458D-A167-92445BB2C33B}"/>
    <cellStyle name="Comma 4 2 2 2 3" xfId="2488" xr:uid="{9E2D8A8A-DE98-4374-BE02-FC7FAB51A56F}"/>
    <cellStyle name="Comma 4 2 2 2 3 2" xfId="2728" xr:uid="{85B59601-D73D-4D72-9800-1DADF6128FA1}"/>
    <cellStyle name="Comma 4 2 2 2 3 2 2" xfId="4076" xr:uid="{A6D8F880-9DC3-481F-8C94-21C9EA21AC44}"/>
    <cellStyle name="Comma 4 2 2 2 3 2 2 2" xfId="8265" xr:uid="{543C5C82-BD67-40E7-B2B8-35B6282E6B2B}"/>
    <cellStyle name="Comma 4 2 2 2 3 2 3" xfId="5397" xr:uid="{AA646FCF-C86F-4173-8114-F6E5E2D0C639}"/>
    <cellStyle name="Comma 4 2 2 2 3 2 3 2" xfId="9568" xr:uid="{33798CFB-7AA0-4E78-B8EF-40B14C38256F}"/>
    <cellStyle name="Comma 4 2 2 2 3 2 4" xfId="6958" xr:uid="{5692F53D-E199-4B1F-A520-7779D9585440}"/>
    <cellStyle name="Comma 4 2 2 2 3 3" xfId="3836" xr:uid="{67DC063A-78F0-43E3-95EC-E92A3EF92E56}"/>
    <cellStyle name="Comma 4 2 2 2 3 3 2" xfId="8025" xr:uid="{62425C83-D7AA-40EF-BBC3-92ECD558301B}"/>
    <cellStyle name="Comma 4 2 2 2 3 4" xfId="5157" xr:uid="{36C5B861-11F8-4F49-8B64-8EB52BB29D62}"/>
    <cellStyle name="Comma 4 2 2 2 3 4 2" xfId="9328" xr:uid="{C34156FC-FDBC-492E-AAF8-1B704436B669}"/>
    <cellStyle name="Comma 4 2 2 2 3 5" xfId="6718" xr:uid="{B66F0CE4-4C5D-4336-95E0-36E891F19DC2}"/>
    <cellStyle name="Comma 4 2 2 2 4" xfId="2569" xr:uid="{8F244B13-248F-4062-8007-92E9A14A0F84}"/>
    <cellStyle name="Comma 4 2 2 2 4 2" xfId="3917" xr:uid="{EEAFD48B-9804-4D14-8B8A-730213B501A6}"/>
    <cellStyle name="Comma 4 2 2 2 4 2 2" xfId="8106" xr:uid="{A4384F9E-7828-413A-95BA-C622586350B6}"/>
    <cellStyle name="Comma 4 2 2 2 4 3" xfId="5238" xr:uid="{05139206-ED15-4ED6-AC9F-0BF070E73B05}"/>
    <cellStyle name="Comma 4 2 2 2 4 3 2" xfId="9409" xr:uid="{71063DBF-97F8-4F5C-BC67-74394822D674}"/>
    <cellStyle name="Comma 4 2 2 2 4 4" xfId="6799" xr:uid="{3889A25B-55AF-4BCF-A639-33742A3AD439}"/>
    <cellStyle name="Comma 4 2 2 2 5" xfId="2323" xr:uid="{940A3067-612A-4B87-AB78-5D656EF31BFF}"/>
    <cellStyle name="Comma 4 2 2 2 5 2" xfId="3677" xr:uid="{40A6FF2A-96F7-4D22-9593-D8397E9991B4}"/>
    <cellStyle name="Comma 4 2 2 2 5 2 2" xfId="7866" xr:uid="{D2BD36FB-01C7-4199-A58A-4AA925E9BD88}"/>
    <cellStyle name="Comma 4 2 2 2 5 3" xfId="4998" xr:uid="{5AE1E590-5D4B-433B-B50A-0B4E2B27C70D}"/>
    <cellStyle name="Comma 4 2 2 2 5 3 2" xfId="9169" xr:uid="{A143F854-677D-4881-897C-1847CD834381}"/>
    <cellStyle name="Comma 4 2 2 2 5 4" xfId="6559" xr:uid="{D744B9BB-02F1-4837-9D46-965FB84464C7}"/>
    <cellStyle name="Comma 4 2 2 2 6" xfId="3596" xr:uid="{48FFA66C-626F-43B8-AB1E-2A2BA7ABB56C}"/>
    <cellStyle name="Comma 4 2 2 2 6 2" xfId="7785" xr:uid="{F64C0101-04BD-4778-AD3C-318E449E36B7}"/>
    <cellStyle name="Comma 4 2 2 2 7" xfId="4917" xr:uid="{F0AA4183-383B-46DE-A00C-6F3554C3490A}"/>
    <cellStyle name="Comma 4 2 2 2 7 2" xfId="9088" xr:uid="{74CA38B9-918F-4CCE-9BBC-D569551088C8}"/>
    <cellStyle name="Comma 4 2 2 2 8" xfId="6478" xr:uid="{3195BAE8-BE51-4ED0-B3CA-531AE053C5ED}"/>
    <cellStyle name="Comma 4 2 2 3" xfId="2355" xr:uid="{8ABD92DC-6B30-4A5E-BF3D-D77AAE84520F}"/>
    <cellStyle name="Comma 4 2 2 3 2" xfId="2601" xr:uid="{2D1B148E-4645-4CFD-BB05-27BBE016A59F}"/>
    <cellStyle name="Comma 4 2 2 3 2 2" xfId="3949" xr:uid="{14A656C8-02F6-4548-8DDB-62131A8E4DBF}"/>
    <cellStyle name="Comma 4 2 2 3 2 2 2" xfId="8138" xr:uid="{A1C40ABF-5436-4B01-88A6-1B1DA9D7AC4B}"/>
    <cellStyle name="Comma 4 2 2 3 2 3" xfId="5270" xr:uid="{5D197FC1-4108-4026-AFBF-B6852606893B}"/>
    <cellStyle name="Comma 4 2 2 3 2 3 2" xfId="9441" xr:uid="{D29FF1B8-8CEA-45BB-AB11-2A8DFB347E7C}"/>
    <cellStyle name="Comma 4 2 2 3 2 4" xfId="6831" xr:uid="{C6B0414A-0451-443F-A525-6543A6B17B4C}"/>
    <cellStyle name="Comma 4 2 2 3 3" xfId="3709" xr:uid="{3C939C0D-E8DC-4199-9E2F-2B106C2F64C8}"/>
    <cellStyle name="Comma 4 2 2 3 3 2" xfId="7898" xr:uid="{68A275DC-5733-4A75-8B49-14FA23BC705E}"/>
    <cellStyle name="Comma 4 2 2 3 4" xfId="5030" xr:uid="{B6ED529A-EC68-4749-8993-B9A3B233E414}"/>
    <cellStyle name="Comma 4 2 2 3 4 2" xfId="9201" xr:uid="{659E483C-F7F5-44D6-AB94-1989DB9A50A4}"/>
    <cellStyle name="Comma 4 2 2 3 5" xfId="6591" xr:uid="{CEB5C876-33AC-4E49-8DB7-A10850B35523}"/>
    <cellStyle name="Comma 4 2 2 4" xfId="2456" xr:uid="{5E7E24F7-0795-4D5B-B133-A57F02CB219B}"/>
    <cellStyle name="Comma 4 2 2 4 2" xfId="2696" xr:uid="{CF2AECF3-565C-4B6A-98C5-A197B92F3D05}"/>
    <cellStyle name="Comma 4 2 2 4 2 2" xfId="4044" xr:uid="{06B95DF2-5B99-4E28-B61E-15DFC80D1B9C}"/>
    <cellStyle name="Comma 4 2 2 4 2 2 2" xfId="8233" xr:uid="{A7DA71FD-D134-48AD-97A0-2EF7BE2A3257}"/>
    <cellStyle name="Comma 4 2 2 4 2 3" xfId="5365" xr:uid="{527C8503-C52E-4F65-83C0-1EA08BDBD6FB}"/>
    <cellStyle name="Comma 4 2 2 4 2 3 2" xfId="9536" xr:uid="{9E1B44EC-468F-4EE5-8872-057B1C40C4D6}"/>
    <cellStyle name="Comma 4 2 2 4 2 4" xfId="6926" xr:uid="{152823B5-3DCA-4651-86FB-171AC731665C}"/>
    <cellStyle name="Comma 4 2 2 4 3" xfId="3804" xr:uid="{9781816A-8980-436D-A469-C7B31D8D17BC}"/>
    <cellStyle name="Comma 4 2 2 4 3 2" xfId="7993" xr:uid="{BA8F6AC3-3969-4164-B6D0-C0D7FB23BADD}"/>
    <cellStyle name="Comma 4 2 2 4 4" xfId="5125" xr:uid="{B9270621-0DF8-43CB-8EFF-E865B058EDE4}"/>
    <cellStyle name="Comma 4 2 2 4 4 2" xfId="9296" xr:uid="{B94ACAB1-6878-4230-8C62-037B379684CC}"/>
    <cellStyle name="Comma 4 2 2 4 5" xfId="6686" xr:uid="{07E062D7-2A5B-416C-9CDA-BEB40F9C3F8E}"/>
    <cellStyle name="Comma 4 2 2 5" xfId="2537" xr:uid="{39DDE2DA-1F18-4836-948A-3046357BAD39}"/>
    <cellStyle name="Comma 4 2 2 5 2" xfId="3885" xr:uid="{E6784588-7049-4A5D-AEB1-17475E981725}"/>
    <cellStyle name="Comma 4 2 2 5 2 2" xfId="8074" xr:uid="{C7B60E75-A3B4-4FA1-8533-E883CBEFE689}"/>
    <cellStyle name="Comma 4 2 2 5 3" xfId="5206" xr:uid="{1E4CBA79-B232-4AEF-9503-2C63DDF90C5C}"/>
    <cellStyle name="Comma 4 2 2 5 3 2" xfId="9377" xr:uid="{C5997F44-1CCC-4944-B51B-C90B290C5FBD}"/>
    <cellStyle name="Comma 4 2 2 5 4" xfId="6767" xr:uid="{01998D92-EA66-4F5F-880D-3A33E77C96FE}"/>
    <cellStyle name="Comma 4 2 2 6" xfId="2291" xr:uid="{1D6636A4-8799-4536-8EA1-8D613A5594D2}"/>
    <cellStyle name="Comma 4 2 2 6 2" xfId="3645" xr:uid="{3F9B868E-314E-465B-B3B2-11755293CEE6}"/>
    <cellStyle name="Comma 4 2 2 6 2 2" xfId="7834" xr:uid="{E1233017-7B77-4659-B207-7719B181A8A4}"/>
    <cellStyle name="Comma 4 2 2 6 3" xfId="4966" xr:uid="{34C1FB2E-14E9-4F98-B4BD-5864E2BDB966}"/>
    <cellStyle name="Comma 4 2 2 6 3 2" xfId="9137" xr:uid="{A80CAD79-CBBF-496F-97CB-3214296EAB90}"/>
    <cellStyle name="Comma 4 2 2 6 4" xfId="6527" xr:uid="{188F0686-1081-43E0-8CC4-EEB3D2B7CE7D}"/>
    <cellStyle name="Comma 4 2 2 7" xfId="2127" xr:uid="{6008F088-5C70-41C9-9C37-72BC0AB19B0D}"/>
    <cellStyle name="Comma 4 2 2 7 2" xfId="3564" xr:uid="{3EF74565-DF4D-4195-BC83-49D708967E62}"/>
    <cellStyle name="Comma 4 2 2 7 2 2" xfId="7753" xr:uid="{1AC7CC17-DCD1-414D-8888-0B1366C01CDE}"/>
    <cellStyle name="Comma 4 2 2 7 3" xfId="4885" xr:uid="{21FBBF61-FE5E-464A-9DBE-09BCB66E1084}"/>
    <cellStyle name="Comma 4 2 2 7 3 2" xfId="9056" xr:uid="{DBC9EE97-ABDC-45ED-B394-FAE2E04ABF5B}"/>
    <cellStyle name="Comma 4 2 2 7 4" xfId="6446" xr:uid="{96BFBE2B-E86D-4CF1-80F8-7E93A9FB7392}"/>
    <cellStyle name="Comma 4 2 2 8" xfId="4800" xr:uid="{9C91A416-A5F0-478E-A0CE-351BD42979CC}"/>
    <cellStyle name="Comma 4 2 2 8 2" xfId="8979" xr:uid="{D73D589E-8AF3-4DCD-A63C-8F81519945B5}"/>
    <cellStyle name="Comma 4 2 2 9" xfId="6364" xr:uid="{0AD824C1-1374-4E85-AE24-D3484BEB8FCA}"/>
    <cellStyle name="Comma 4 2 3" xfId="2146" xr:uid="{A7886193-4EFB-4DB3-AC21-5D8F2DAF70C1}"/>
    <cellStyle name="Comma 4 2 3 2" xfId="2371" xr:uid="{0147B462-05CD-4462-AB90-081AA0FC0C7B}"/>
    <cellStyle name="Comma 4 2 3 2 2" xfId="2617" xr:uid="{383A8B06-6453-49CB-B308-6BFFF713172E}"/>
    <cellStyle name="Comma 4 2 3 2 2 2" xfId="3965" xr:uid="{506671D2-5753-4012-AC6A-FB445DF92180}"/>
    <cellStyle name="Comma 4 2 3 2 2 2 2" xfId="8154" xr:uid="{24D64771-DAD3-49A2-8A08-7358F8F64A8F}"/>
    <cellStyle name="Comma 4 2 3 2 2 3" xfId="5286" xr:uid="{B06D3144-8055-4033-92A1-674F8A1D8C57}"/>
    <cellStyle name="Comma 4 2 3 2 2 3 2" xfId="9457" xr:uid="{B752B71C-B402-4FC2-833B-14BE11C0CC2A}"/>
    <cellStyle name="Comma 4 2 3 2 2 4" xfId="6847" xr:uid="{D102C9EF-E891-4FFB-A425-A5F396ECA4C0}"/>
    <cellStyle name="Comma 4 2 3 2 3" xfId="3725" xr:uid="{2D40D87D-E4C6-40E5-BD4E-2322D7E99C59}"/>
    <cellStyle name="Comma 4 2 3 2 3 2" xfId="7914" xr:uid="{A67E1412-AAE3-47AC-997E-0CAB4378AF01}"/>
    <cellStyle name="Comma 4 2 3 2 4" xfId="5046" xr:uid="{C18B5653-E244-48B1-9031-002DAB2C5696}"/>
    <cellStyle name="Comma 4 2 3 2 4 2" xfId="9217" xr:uid="{512F7740-FBE1-427A-BEA7-63881A88C76D}"/>
    <cellStyle name="Comma 4 2 3 2 5" xfId="6607" xr:uid="{C17A9E64-358D-436B-A27E-51BB2C607858}"/>
    <cellStyle name="Comma 4 2 3 3" xfId="2472" xr:uid="{94374F2D-7C95-486C-B375-CBD5FF880F12}"/>
    <cellStyle name="Comma 4 2 3 3 2" xfId="2712" xr:uid="{8794090B-B7A1-49D4-91FB-B8D6C8D14248}"/>
    <cellStyle name="Comma 4 2 3 3 2 2" xfId="4060" xr:uid="{F00A0591-3EBE-465A-850E-3D8740592042}"/>
    <cellStyle name="Comma 4 2 3 3 2 2 2" xfId="8249" xr:uid="{4BFC1DC3-E3D7-4B55-8B49-B6F25FC6640D}"/>
    <cellStyle name="Comma 4 2 3 3 2 3" xfId="5381" xr:uid="{DA10D8B4-26BD-4CF3-B828-0F5AE32F93E9}"/>
    <cellStyle name="Comma 4 2 3 3 2 3 2" xfId="9552" xr:uid="{D5C9F03E-9FB4-445D-B0C9-41E9B28C8358}"/>
    <cellStyle name="Comma 4 2 3 3 2 4" xfId="6942" xr:uid="{615D885F-5302-4032-AAB9-948A08C6E62F}"/>
    <cellStyle name="Comma 4 2 3 3 3" xfId="3820" xr:uid="{F9D82010-8057-4121-9866-D9F48EC4A679}"/>
    <cellStyle name="Comma 4 2 3 3 3 2" xfId="8009" xr:uid="{5693E99B-4C39-4253-822B-70C35E5627D2}"/>
    <cellStyle name="Comma 4 2 3 3 4" xfId="5141" xr:uid="{E149691C-7F78-4431-99CD-474D8090DAD9}"/>
    <cellStyle name="Comma 4 2 3 3 4 2" xfId="9312" xr:uid="{CAF60F8C-4ED6-4711-9AB3-DC9B56B018AA}"/>
    <cellStyle name="Comma 4 2 3 3 5" xfId="6702" xr:uid="{CEBDFD27-E5EE-4662-BC3F-690A47BC2DD9}"/>
    <cellStyle name="Comma 4 2 3 4" xfId="2553" xr:uid="{0BF55424-9EA4-4216-BD3D-56D0F55F1918}"/>
    <cellStyle name="Comma 4 2 3 4 2" xfId="3901" xr:uid="{F002A7D0-301F-42EF-85CD-41E6FBC0ACA1}"/>
    <cellStyle name="Comma 4 2 3 4 2 2" xfId="8090" xr:uid="{9A42DEB3-2675-4C12-AF70-77F960072B5F}"/>
    <cellStyle name="Comma 4 2 3 4 3" xfId="5222" xr:uid="{2B3CBE41-9344-46ED-A5DE-3F89F7998B32}"/>
    <cellStyle name="Comma 4 2 3 4 3 2" xfId="9393" xr:uid="{4CCCE594-4FC7-4157-A8AA-9CC980A75FF3}"/>
    <cellStyle name="Comma 4 2 3 4 4" xfId="6783" xr:uid="{17388057-FAB7-4D75-AEAA-A5DFF8E382E3}"/>
    <cellStyle name="Comma 4 2 3 5" xfId="2307" xr:uid="{8AB8FDCD-7A1B-4AE1-A4A0-416C065C538E}"/>
    <cellStyle name="Comma 4 2 3 5 2" xfId="3661" xr:uid="{3B23BCA5-1A79-44B2-A130-74B81A285ABC}"/>
    <cellStyle name="Comma 4 2 3 5 2 2" xfId="7850" xr:uid="{6E132B99-5A59-4501-8276-0D19E9427A80}"/>
    <cellStyle name="Comma 4 2 3 5 3" xfId="4982" xr:uid="{3EC472C1-67A5-4B5E-85DD-F3248A393BF4}"/>
    <cellStyle name="Comma 4 2 3 5 3 2" xfId="9153" xr:uid="{F04613E8-4FE4-4F9E-9857-52B3C74B6E48}"/>
    <cellStyle name="Comma 4 2 3 5 4" xfId="6543" xr:uid="{F79918BB-A7D8-41F7-9743-938C777CC1E2}"/>
    <cellStyle name="Comma 4 2 3 6" xfId="3580" xr:uid="{88C4E3EC-2071-4A12-801C-CE5F39633647}"/>
    <cellStyle name="Comma 4 2 3 6 2" xfId="7769" xr:uid="{F165F0CD-18DF-49FA-88C4-16978B3CEDB7}"/>
    <cellStyle name="Comma 4 2 3 7" xfId="4901" xr:uid="{56A387B0-5005-4165-BD67-281E72BED140}"/>
    <cellStyle name="Comma 4 2 3 7 2" xfId="9072" xr:uid="{CAFE470D-981B-45D4-B263-65AE4E21DE12}"/>
    <cellStyle name="Comma 4 2 3 8" xfId="6462" xr:uid="{7651AB9E-3428-40BA-995C-FEA665A8CCB7}"/>
    <cellStyle name="Comma 4 2 4" xfId="2226" xr:uid="{EF105209-E7F2-44A2-91A8-2D73F3B55919}"/>
    <cellStyle name="Comma 4 2 4 2" xfId="2504" xr:uid="{12D34CCB-AE63-4F2F-9EEA-73D6A255012A}"/>
    <cellStyle name="Comma 4 2 4 2 2" xfId="2744" xr:uid="{1371D79C-FA1E-4098-BB82-99AF041363F0}"/>
    <cellStyle name="Comma 4 2 4 2 2 2" xfId="4092" xr:uid="{F7554B54-F5B3-4C25-9C5C-20FB762E72C4}"/>
    <cellStyle name="Comma 4 2 4 2 2 2 2" xfId="8281" xr:uid="{A3C5B31B-CC85-4824-AEA5-1AFABB7DAFDA}"/>
    <cellStyle name="Comma 4 2 4 2 2 3" xfId="5413" xr:uid="{C38BCC73-CA57-4033-BAF4-89217F91B329}"/>
    <cellStyle name="Comma 4 2 4 2 2 3 2" xfId="9584" xr:uid="{37792770-3519-42E9-A7CC-07F8A7EE8C6D}"/>
    <cellStyle name="Comma 4 2 4 2 2 4" xfId="6974" xr:uid="{9D2C4D70-BF0F-4DF3-ABF1-90C1AB6F0A0A}"/>
    <cellStyle name="Comma 4 2 4 2 3" xfId="3852" xr:uid="{973530AC-5204-4AC0-8A6B-65DE4E88C850}"/>
    <cellStyle name="Comma 4 2 4 2 3 2" xfId="8041" xr:uid="{35DC311F-AABD-4037-BF3D-E6D84115F653}"/>
    <cellStyle name="Comma 4 2 4 2 4" xfId="5173" xr:uid="{74D46E30-4903-4985-9458-149E56561309}"/>
    <cellStyle name="Comma 4 2 4 2 4 2" xfId="9344" xr:uid="{079F7570-CBC2-4CF8-A8C5-1A04F950529E}"/>
    <cellStyle name="Comma 4 2 4 2 5" xfId="6734" xr:uid="{B30A247F-9A16-4172-922B-9193AB52EF1C}"/>
    <cellStyle name="Comma 4 2 4 3" xfId="2585" xr:uid="{23EE7BD7-B238-4EB1-87A9-84B5EA20C332}"/>
    <cellStyle name="Comma 4 2 4 3 2" xfId="3933" xr:uid="{76309CDC-46A9-45B1-83DD-3C56FC58BE9B}"/>
    <cellStyle name="Comma 4 2 4 3 2 2" xfId="8122" xr:uid="{C065E989-CB54-4E1B-8CA3-ED660EC79E36}"/>
    <cellStyle name="Comma 4 2 4 3 3" xfId="5254" xr:uid="{89CC5FED-5693-4EDD-88FE-2608B00F7231}"/>
    <cellStyle name="Comma 4 2 4 3 3 2" xfId="9425" xr:uid="{0EC6D552-5392-4A7F-99C4-2D87F3D6EBB7}"/>
    <cellStyle name="Comma 4 2 4 3 4" xfId="6815" xr:uid="{E0BF35BC-EE0B-4A2C-BA4A-8DE13DB03F1D}"/>
    <cellStyle name="Comma 4 2 4 4" xfId="2339" xr:uid="{2CB72305-29A4-4AB0-8479-2F14EA58DA3E}"/>
    <cellStyle name="Comma 4 2 4 4 2" xfId="3693" xr:uid="{19CE6513-087D-488F-A52A-04D06D74DA6B}"/>
    <cellStyle name="Comma 4 2 4 4 2 2" xfId="7882" xr:uid="{ECF9F931-AE87-4EC2-8198-471CA7070368}"/>
    <cellStyle name="Comma 4 2 4 4 3" xfId="5014" xr:uid="{D6190E86-52F3-4EF7-9901-60A09A300D48}"/>
    <cellStyle name="Comma 4 2 4 4 3 2" xfId="9185" xr:uid="{9581874A-0156-4988-ABA1-E9EE79E791C1}"/>
    <cellStyle name="Comma 4 2 4 4 4" xfId="6575" xr:uid="{7200ED1D-8EA7-42E5-873E-A8944FADFD65}"/>
    <cellStyle name="Comma 4 2 4 5" xfId="3612" xr:uid="{844C11BF-15CC-45BB-8B66-087B370344C8}"/>
    <cellStyle name="Comma 4 2 4 5 2" xfId="7801" xr:uid="{89E25A85-9ADF-4BBA-A9D1-6ACB0399719D}"/>
    <cellStyle name="Comma 4 2 4 6" xfId="4933" xr:uid="{D792E422-11EC-400C-9D21-D5999A378822}"/>
    <cellStyle name="Comma 4 2 4 6 2" xfId="9104" xr:uid="{B312E14E-35CB-44AE-9C46-0981E502B179}"/>
    <cellStyle name="Comma 4 2 4 7" xfId="6494" xr:uid="{C64EA4D9-0940-47E7-B957-0D76C1EEB0FE}"/>
    <cellStyle name="Comma 4 2 5" xfId="2413" xr:uid="{64BDC536-6AC5-4722-87FD-4291C53BC994}"/>
    <cellStyle name="Comma 4 2 5 2" xfId="2653" xr:uid="{A390710C-9A7F-468A-87B4-74F222F136DA}"/>
    <cellStyle name="Comma 4 2 5 2 2" xfId="4001" xr:uid="{E2C5D882-CF06-4120-B31A-95479DB53546}"/>
    <cellStyle name="Comma 4 2 5 2 2 2" xfId="8190" xr:uid="{6262B74F-2447-44A1-A078-BA6B2BE53229}"/>
    <cellStyle name="Comma 4 2 5 2 3" xfId="5322" xr:uid="{506B9E02-4B3B-4B62-81BC-7581F5138BE6}"/>
    <cellStyle name="Comma 4 2 5 2 3 2" xfId="9493" xr:uid="{1B8A536C-4E5E-4DE5-8193-D7394421D222}"/>
    <cellStyle name="Comma 4 2 5 2 4" xfId="6883" xr:uid="{377575AB-5238-4385-BE64-806E773AD1C0}"/>
    <cellStyle name="Comma 4 2 5 3" xfId="3761" xr:uid="{3F6A4ED9-FC87-4987-9598-1398E3CE4336}"/>
    <cellStyle name="Comma 4 2 5 3 2" xfId="7950" xr:uid="{3AD7988D-4737-4E77-9876-6FFE90EC0082}"/>
    <cellStyle name="Comma 4 2 5 4" xfId="5082" xr:uid="{7F8F47A8-A814-415F-8178-5C3EDAF840D2}"/>
    <cellStyle name="Comma 4 2 5 4 2" xfId="9253" xr:uid="{C9E93FA7-240D-42EE-BECB-703ECACC0902}"/>
    <cellStyle name="Comma 4 2 5 5" xfId="6643" xr:uid="{CF0168CF-E564-4C38-A7A1-2E32BBE4601D}"/>
    <cellStyle name="Comma 4 2 6" xfId="2440" xr:uid="{5217EE19-6659-41C9-8B3A-7BFBAB1066AE}"/>
    <cellStyle name="Comma 4 2 6 2" xfId="2680" xr:uid="{46C23B54-85D3-4C6A-949E-960B28AF68B5}"/>
    <cellStyle name="Comma 4 2 6 2 2" xfId="4028" xr:uid="{F5356B24-D005-4DBD-B7E0-06156A952084}"/>
    <cellStyle name="Comma 4 2 6 2 2 2" xfId="8217" xr:uid="{B3CDB84C-02EF-4FB7-91F7-064273F31282}"/>
    <cellStyle name="Comma 4 2 6 2 3" xfId="5349" xr:uid="{2B403A42-A6BF-48F9-9ABB-6F4B9B175ED7}"/>
    <cellStyle name="Comma 4 2 6 2 3 2" xfId="9520" xr:uid="{3FA21DB5-0B67-493D-A0A1-BFDE833EED1D}"/>
    <cellStyle name="Comma 4 2 6 2 4" xfId="6910" xr:uid="{A1382536-A020-453F-AFEE-0F69CF0AF125}"/>
    <cellStyle name="Comma 4 2 6 3" xfId="3788" xr:uid="{911DE749-81B6-4809-8DCC-0831B199DD04}"/>
    <cellStyle name="Comma 4 2 6 3 2" xfId="7977" xr:uid="{BADEDC01-D326-4201-B48A-5FC18F9CB18C}"/>
    <cellStyle name="Comma 4 2 6 4" xfId="5109" xr:uid="{3C963CE1-5592-4BBE-80DE-21AD847F917B}"/>
    <cellStyle name="Comma 4 2 6 4 2" xfId="9280" xr:uid="{0F3C0118-1083-4784-A880-411A699FA5BC}"/>
    <cellStyle name="Comma 4 2 6 5" xfId="6670" xr:uid="{B78104DC-DAEC-4127-B3A5-E4B66F549CC5}"/>
    <cellStyle name="Comma 4 2 7" xfId="2521" xr:uid="{EE5EA01B-E495-4B22-90D9-6D01433E4FCF}"/>
    <cellStyle name="Comma 4 2 7 2" xfId="3869" xr:uid="{A5881BFD-22E1-45A0-B3BD-892DA3633976}"/>
    <cellStyle name="Comma 4 2 7 2 2" xfId="8058" xr:uid="{7FDE9C18-2BC3-45BA-B5E6-EA54F6F88659}"/>
    <cellStyle name="Comma 4 2 7 3" xfId="5190" xr:uid="{302509CF-204F-4E69-A876-8D8EBE115E48}"/>
    <cellStyle name="Comma 4 2 7 3 2" xfId="9361" xr:uid="{70420BE3-0E84-484C-BD98-88E796F277EF}"/>
    <cellStyle name="Comma 4 2 7 4" xfId="6751" xr:uid="{C129ED6E-58FB-439C-B215-5CFEEBFDA302}"/>
    <cellStyle name="Comma 4 2 8" xfId="2275" xr:uid="{B9837BB9-D706-4AD6-A336-850446FA859F}"/>
    <cellStyle name="Comma 4 2 8 2" xfId="3629" xr:uid="{4026AEA0-CD73-4301-855D-0B7055060408}"/>
    <cellStyle name="Comma 4 2 8 2 2" xfId="7818" xr:uid="{78F021C6-6BF3-4209-BBB5-2856A8CFCB43}"/>
    <cellStyle name="Comma 4 2 8 3" xfId="4950" xr:uid="{747E9E9B-0724-412E-B2F5-5B7655999562}"/>
    <cellStyle name="Comma 4 2 8 3 2" xfId="9121" xr:uid="{08B7E6AF-BDEB-493B-BAA8-DB48EC5BFEC6}"/>
    <cellStyle name="Comma 4 2 8 4" xfId="6511" xr:uid="{A03E96B4-0754-462C-B215-A71B07F7ABB6}"/>
    <cellStyle name="Comma 4 2 9" xfId="2111" xr:uid="{CE43E96C-2A73-4338-9DDE-F9DFF621AC56}"/>
    <cellStyle name="Comma 4 2 9 2" xfId="3548" xr:uid="{59EA1197-B002-4081-BD32-AB3166F69DF5}"/>
    <cellStyle name="Comma 4 2 9 2 2" xfId="7737" xr:uid="{70A77608-DA1E-4727-A914-429B560D9595}"/>
    <cellStyle name="Comma 4 2 9 3" xfId="4869" xr:uid="{7A96F1C8-40D6-4805-934B-789502DC6C30}"/>
    <cellStyle name="Comma 4 2 9 3 2" xfId="9040" xr:uid="{1D49E73F-08F5-492F-9F7F-C7815A5F2BDE}"/>
    <cellStyle name="Comma 4 2 9 4" xfId="6430" xr:uid="{B70B62AE-5818-46D1-8327-E693E791DFAE}"/>
    <cellStyle name="Comma 4 3" xfId="1835" xr:uid="{A0A2DC37-4AD2-467F-92E6-E4123FD499C5}"/>
    <cellStyle name="Comma 4 3 10" xfId="4853" xr:uid="{07A84895-DE65-45D8-9F7E-B83DDCD9A587}"/>
    <cellStyle name="Comma 4 3 10 2" xfId="9024" xr:uid="{0E4C9CD1-0025-44AC-8826-45B804DDE35E}"/>
    <cellStyle name="Comma 4 3 11" xfId="6410" xr:uid="{E2704FEE-CC0F-411B-ACAD-984AE46C2C39}"/>
    <cellStyle name="Comma 4 3 2" xfId="2154" xr:uid="{58AD588B-B16F-415E-A92B-2681857B77FD}"/>
    <cellStyle name="Comma 4 3 2 2" xfId="2379" xr:uid="{71948AA5-52A4-497C-97BE-5E65BEBED827}"/>
    <cellStyle name="Comma 4 3 2 2 2" xfId="2625" xr:uid="{C46F942C-4FD8-44CF-B255-7D0E95A4018C}"/>
    <cellStyle name="Comma 4 3 2 2 2 2" xfId="3973" xr:uid="{5B71BCDD-CB72-4859-8ED4-C7167FDF1D5F}"/>
    <cellStyle name="Comma 4 3 2 2 2 2 2" xfId="8162" xr:uid="{2636D9CD-4910-447C-B891-430807365748}"/>
    <cellStyle name="Comma 4 3 2 2 2 3" xfId="5294" xr:uid="{D6AF57AB-EF9F-4115-8BA5-80EC26373039}"/>
    <cellStyle name="Comma 4 3 2 2 2 3 2" xfId="9465" xr:uid="{EB0DC00A-EEA2-4A61-B37A-DF39282B6C4F}"/>
    <cellStyle name="Comma 4 3 2 2 2 4" xfId="6855" xr:uid="{1F645609-79C9-4ED6-8A57-D5F2E54A24BA}"/>
    <cellStyle name="Comma 4 3 2 2 3" xfId="3733" xr:uid="{5C6715DB-FC9E-4EE8-9875-0E3EA90A3ACB}"/>
    <cellStyle name="Comma 4 3 2 2 3 2" xfId="7922" xr:uid="{2505F3AE-F568-4177-B658-99D6BC1A310B}"/>
    <cellStyle name="Comma 4 3 2 2 4" xfId="5054" xr:uid="{3005152C-598D-4393-B701-63AE243506F4}"/>
    <cellStyle name="Comma 4 3 2 2 4 2" xfId="9225" xr:uid="{B2B506B7-D2B8-4F68-8B05-7EB278B25879}"/>
    <cellStyle name="Comma 4 3 2 2 5" xfId="6615" xr:uid="{268F3D6D-B13B-46A5-9F6C-4135B32D3E40}"/>
    <cellStyle name="Comma 4 3 2 3" xfId="2480" xr:uid="{6D122FA9-7D54-4EF4-AE85-49A3ADA23A87}"/>
    <cellStyle name="Comma 4 3 2 3 2" xfId="2720" xr:uid="{66FE8B2F-AE46-4512-AA2D-90E3C64B7AAB}"/>
    <cellStyle name="Comma 4 3 2 3 2 2" xfId="4068" xr:uid="{6B4D233E-A9E4-4FEB-B402-51880BE2B458}"/>
    <cellStyle name="Comma 4 3 2 3 2 2 2" xfId="8257" xr:uid="{BBA91E06-271F-418F-B2E2-7C5F72A064C9}"/>
    <cellStyle name="Comma 4 3 2 3 2 3" xfId="5389" xr:uid="{4FEDD060-7C17-4D3E-84BB-E10B869A4EC5}"/>
    <cellStyle name="Comma 4 3 2 3 2 3 2" xfId="9560" xr:uid="{70CD8D0F-0C29-493F-BE06-F3F1A4F9E1B5}"/>
    <cellStyle name="Comma 4 3 2 3 2 4" xfId="6950" xr:uid="{3C7C6ADC-4796-4AAF-88DA-FBC53D6EF0BF}"/>
    <cellStyle name="Comma 4 3 2 3 3" xfId="3828" xr:uid="{FB74927C-E64E-4C70-AE07-012E2FEE0E05}"/>
    <cellStyle name="Comma 4 3 2 3 3 2" xfId="8017" xr:uid="{DA2D3FDD-035C-4531-97C7-8AC1DE9A5237}"/>
    <cellStyle name="Comma 4 3 2 3 4" xfId="5149" xr:uid="{69095A86-C5F2-4F73-B5C1-276FF3871934}"/>
    <cellStyle name="Comma 4 3 2 3 4 2" xfId="9320" xr:uid="{C237F92A-4776-49B1-9B9C-FAA67031FBF2}"/>
    <cellStyle name="Comma 4 3 2 3 5" xfId="6710" xr:uid="{9A9492E6-6E8D-432C-BBC3-646397AA3518}"/>
    <cellStyle name="Comma 4 3 2 4" xfId="2561" xr:uid="{AE838CF8-405E-4405-A0E3-2457B7FE2A02}"/>
    <cellStyle name="Comma 4 3 2 4 2" xfId="3909" xr:uid="{F59F9AC5-A042-42E1-AC4F-14F659AF9502}"/>
    <cellStyle name="Comma 4 3 2 4 2 2" xfId="8098" xr:uid="{B1D97646-0F7D-4D56-97B4-E685EB6809BA}"/>
    <cellStyle name="Comma 4 3 2 4 3" xfId="5230" xr:uid="{E65340A1-49B0-46D1-97E7-278246171652}"/>
    <cellStyle name="Comma 4 3 2 4 3 2" xfId="9401" xr:uid="{F033BEAC-1077-46D1-8DFD-225A54A46F2F}"/>
    <cellStyle name="Comma 4 3 2 4 4" xfId="6791" xr:uid="{518A85B4-9543-4E72-8B8B-A5964ACAD954}"/>
    <cellStyle name="Comma 4 3 2 5" xfId="2315" xr:uid="{EB24ACBF-F6F1-4218-9463-8948181FC795}"/>
    <cellStyle name="Comma 4 3 2 5 2" xfId="3669" xr:uid="{309F50D5-FC03-4D0C-80A1-3B48B3BAD221}"/>
    <cellStyle name="Comma 4 3 2 5 2 2" xfId="7858" xr:uid="{3EA64C89-BE77-4869-885C-E5F45B70383F}"/>
    <cellStyle name="Comma 4 3 2 5 3" xfId="4990" xr:uid="{B3F0CD75-3280-42C2-973C-8DEB2DE47AD3}"/>
    <cellStyle name="Comma 4 3 2 5 3 2" xfId="9161" xr:uid="{795D4959-E645-44BE-9690-E19769BDB5CB}"/>
    <cellStyle name="Comma 4 3 2 5 4" xfId="6551" xr:uid="{0639D3B0-2CF9-4094-BFEC-953D8C03F8E9}"/>
    <cellStyle name="Comma 4 3 2 6" xfId="3588" xr:uid="{0351FB00-A7BA-452B-89F8-3C0A5F717358}"/>
    <cellStyle name="Comma 4 3 2 6 2" xfId="7777" xr:uid="{57E96CB4-457D-4461-B6EC-24CED19B6617}"/>
    <cellStyle name="Comma 4 3 2 7" xfId="4909" xr:uid="{5729A3F3-7133-4CE8-8207-B7FB7815E2E4}"/>
    <cellStyle name="Comma 4 3 2 7 2" xfId="9080" xr:uid="{27C7C30A-A7C4-4E4C-B23F-870B8FE5D684}"/>
    <cellStyle name="Comma 4 3 2 8" xfId="6470" xr:uid="{DBEDC12C-27A4-478E-A3CD-08FFA8524C5E}"/>
    <cellStyle name="Comma 4 3 3" xfId="2347" xr:uid="{965C4E3A-FFBD-45C3-96C8-7EEFE4EE43C9}"/>
    <cellStyle name="Comma 4 3 3 2" xfId="2593" xr:uid="{28EB1C3E-5563-41E0-81FB-7E3498587328}"/>
    <cellStyle name="Comma 4 3 3 2 2" xfId="3941" xr:uid="{28177573-91A3-4001-9320-F3D661DA64A0}"/>
    <cellStyle name="Comma 4 3 3 2 2 2" xfId="8130" xr:uid="{57C277D2-7E91-44FE-9BFA-1A153AE73090}"/>
    <cellStyle name="Comma 4 3 3 2 3" xfId="5262" xr:uid="{93C18B97-1C81-4844-8209-0F2A185379B4}"/>
    <cellStyle name="Comma 4 3 3 2 3 2" xfId="9433" xr:uid="{B9DC0B2A-39FD-40FF-B13B-EEAFD0BE05C7}"/>
    <cellStyle name="Comma 4 3 3 2 4" xfId="6823" xr:uid="{8C1090B3-1AB0-4CC6-B3A0-CCA74924E39B}"/>
    <cellStyle name="Comma 4 3 3 3" xfId="3701" xr:uid="{5610EFAD-7490-4826-9666-119D18A06E07}"/>
    <cellStyle name="Comma 4 3 3 3 2" xfId="7890" xr:uid="{6D19920C-F2D4-403F-ADD6-C40740C8DA91}"/>
    <cellStyle name="Comma 4 3 3 4" xfId="5022" xr:uid="{7A6A8328-3582-4889-BF5C-3D2F922FF05F}"/>
    <cellStyle name="Comma 4 3 3 4 2" xfId="9193" xr:uid="{3DD4DF30-F04F-4741-A7D5-3DBF6928D01D}"/>
    <cellStyle name="Comma 4 3 3 5" xfId="6583" xr:uid="{C1635C4C-8DFD-41C3-93FC-76CF836FAB69}"/>
    <cellStyle name="Comma 4 3 4" xfId="2423" xr:uid="{0145A1E3-7026-46A7-8E54-CCEE85DAE685}"/>
    <cellStyle name="Comma 4 3 4 2" xfId="2663" xr:uid="{149877BC-0960-450C-935B-53D7A733FB95}"/>
    <cellStyle name="Comma 4 3 4 2 2" xfId="4011" xr:uid="{EB61A7FF-DEB1-4A9E-9C43-F595895947A1}"/>
    <cellStyle name="Comma 4 3 4 2 2 2" xfId="8200" xr:uid="{D01C94D5-12A5-498E-A127-65F87411DF33}"/>
    <cellStyle name="Comma 4 3 4 2 3" xfId="5332" xr:uid="{F6EC7D21-36AF-40C3-88D9-F1F8D580C730}"/>
    <cellStyle name="Comma 4 3 4 2 3 2" xfId="9503" xr:uid="{01EE5150-BEC3-4CD4-AC88-35A5DA51A7B3}"/>
    <cellStyle name="Comma 4 3 4 2 4" xfId="6893" xr:uid="{BB50F940-DFC6-4BC8-9A11-DC899BFBF24E}"/>
    <cellStyle name="Comma 4 3 4 3" xfId="3771" xr:uid="{7B1C3D48-8DEA-4133-B464-1CCF436552CD}"/>
    <cellStyle name="Comma 4 3 4 3 2" xfId="7960" xr:uid="{A4824DE8-2B97-4EB7-8F6B-C1815866D61C}"/>
    <cellStyle name="Comma 4 3 4 4" xfId="5092" xr:uid="{B8F7CE62-11F9-49E0-A784-8D4709933EA1}"/>
    <cellStyle name="Comma 4 3 4 4 2" xfId="9263" xr:uid="{4C1F4458-619A-4AB6-9BD6-FF4BC78335A4}"/>
    <cellStyle name="Comma 4 3 4 5" xfId="6653" xr:uid="{60CD359E-B05D-453A-AB06-9BD770A18267}"/>
    <cellStyle name="Comma 4 3 5" xfId="2448" xr:uid="{E1622D0F-CF24-495A-B109-282C82604EBC}"/>
    <cellStyle name="Comma 4 3 5 2" xfId="2688" xr:uid="{DF8AE42F-2397-44C1-9E7E-078F72342EB3}"/>
    <cellStyle name="Comma 4 3 5 2 2" xfId="4036" xr:uid="{1B7BA8A3-5BEB-45C0-988A-038C4A0ECEAF}"/>
    <cellStyle name="Comma 4 3 5 2 2 2" xfId="8225" xr:uid="{71E8F03B-394B-44B6-9DB9-068E9BD5BAC6}"/>
    <cellStyle name="Comma 4 3 5 2 3" xfId="5357" xr:uid="{897C0EBB-C630-496D-BF88-9C43816769C0}"/>
    <cellStyle name="Comma 4 3 5 2 3 2" xfId="9528" xr:uid="{4CD99757-432B-4D38-9992-C9269D3ED530}"/>
    <cellStyle name="Comma 4 3 5 2 4" xfId="6918" xr:uid="{C4F2BEDC-3BFE-4DA1-9B04-1EDD82BB075B}"/>
    <cellStyle name="Comma 4 3 5 3" xfId="3796" xr:uid="{71966761-6F42-4A73-A232-302F2013331F}"/>
    <cellStyle name="Comma 4 3 5 3 2" xfId="7985" xr:uid="{43AC680C-3AEA-4423-9662-30E7AF9F207E}"/>
    <cellStyle name="Comma 4 3 5 4" xfId="5117" xr:uid="{04A466F7-3837-4D86-B033-1464421BE072}"/>
    <cellStyle name="Comma 4 3 5 4 2" xfId="9288" xr:uid="{1D6112E2-9777-414C-96F8-4164F1103E76}"/>
    <cellStyle name="Comma 4 3 5 5" xfId="6678" xr:uid="{21F7AC1A-F926-4FA0-8C09-11166832BD99}"/>
    <cellStyle name="Comma 4 3 6" xfId="2529" xr:uid="{23B93499-4E11-4EC4-9532-66484EEAEC03}"/>
    <cellStyle name="Comma 4 3 6 2" xfId="3877" xr:uid="{87F79460-46BE-4731-83A6-39715DCB4BDE}"/>
    <cellStyle name="Comma 4 3 6 2 2" xfId="8066" xr:uid="{C783AA40-621D-437A-A559-FE292B58C051}"/>
    <cellStyle name="Comma 4 3 6 3" xfId="5198" xr:uid="{5688A268-84BD-4525-A722-6240D45BDCFF}"/>
    <cellStyle name="Comma 4 3 6 3 2" xfId="9369" xr:uid="{CAA9759D-85B0-4220-892A-7B14BB075613}"/>
    <cellStyle name="Comma 4 3 6 4" xfId="6759" xr:uid="{5C43CF45-B04D-45B8-8AEB-B9975CDF8006}"/>
    <cellStyle name="Comma 4 3 7" xfId="2283" xr:uid="{522D8622-1AC7-4ED5-9B16-4A28FB32F88B}"/>
    <cellStyle name="Comma 4 3 7 2" xfId="3637" xr:uid="{95FB1FB5-9669-4D0D-86C6-17DE7D1E2F06}"/>
    <cellStyle name="Comma 4 3 7 2 2" xfId="7826" xr:uid="{999642F7-BF5A-4916-B53D-6A23FD8D5A7C}"/>
    <cellStyle name="Comma 4 3 7 3" xfId="4958" xr:uid="{A1C900E1-9252-42D8-950D-57E248FD9EEF}"/>
    <cellStyle name="Comma 4 3 7 3 2" xfId="9129" xr:uid="{12913DCA-A1CC-4BEE-97D3-30CC84159850}"/>
    <cellStyle name="Comma 4 3 7 4" xfId="6519" xr:uid="{4005A652-6731-42E0-8053-8F48A8F0DDFA}"/>
    <cellStyle name="Comma 4 3 8" xfId="2119" xr:uid="{A51A9460-2DBB-4FEC-A895-6D782A023F4B}"/>
    <cellStyle name="Comma 4 3 8 2" xfId="3556" xr:uid="{AFA1A356-BB6E-4F04-921F-3AFD3763D22B}"/>
    <cellStyle name="Comma 4 3 8 2 2" xfId="7745" xr:uid="{04C8BB68-295B-4AFF-99FD-C34950BCCB88}"/>
    <cellStyle name="Comma 4 3 8 3" xfId="4877" xr:uid="{877622AE-9201-47BD-9B87-360A450C35C7}"/>
    <cellStyle name="Comma 4 3 8 3 2" xfId="9048" xr:uid="{C49A3D18-DE90-4439-A128-942F3E4F5E7A}"/>
    <cellStyle name="Comma 4 3 8 4" xfId="6438" xr:uid="{3EF17C7A-D04D-4CFF-B9D3-B5418C6C9476}"/>
    <cellStyle name="Comma 4 3 9" xfId="3533" xr:uid="{7CF740A6-4DE6-41B3-B78F-2AFF8F88B063}"/>
    <cellStyle name="Comma 4 3 9 2" xfId="7722" xr:uid="{F47F6214-C8B7-4348-88C8-E72E011880CF}"/>
    <cellStyle name="Comma 4 4" xfId="2138" xr:uid="{E72E75BB-B18D-4036-87C6-265EDE8F0678}"/>
    <cellStyle name="Comma 4 4 2" xfId="2363" xr:uid="{419E6B39-96C6-4774-BE58-C028F9C10047}"/>
    <cellStyle name="Comma 4 4 2 2" xfId="2609" xr:uid="{E1008FB4-C4BC-42B5-AE20-D02DFA9C169F}"/>
    <cellStyle name="Comma 4 4 2 2 2" xfId="3957" xr:uid="{4AA72960-7A46-4661-A27A-431705D8692D}"/>
    <cellStyle name="Comma 4 4 2 2 2 2" xfId="8146" xr:uid="{9B63022D-3374-498A-8755-D160F9C1E74E}"/>
    <cellStyle name="Comma 4 4 2 2 3" xfId="5278" xr:uid="{38D9DB18-97A1-478E-86A8-C2B4E68FC467}"/>
    <cellStyle name="Comma 4 4 2 2 3 2" xfId="9449" xr:uid="{D7BF585C-9083-46FB-B4AD-2EE5D37ABDB9}"/>
    <cellStyle name="Comma 4 4 2 2 4" xfId="6839" xr:uid="{D424D34A-88AD-44AD-A093-DDB490E089AF}"/>
    <cellStyle name="Comma 4 4 2 3" xfId="3717" xr:uid="{11237318-9612-493B-BEBA-041685640AC5}"/>
    <cellStyle name="Comma 4 4 2 3 2" xfId="7906" xr:uid="{E1372E79-674E-4CEC-8D1B-11B398319CFD}"/>
    <cellStyle name="Comma 4 4 2 4" xfId="5038" xr:uid="{1120314C-4D3F-4E14-9893-48AE6B3DC5EF}"/>
    <cellStyle name="Comma 4 4 2 4 2" xfId="9209" xr:uid="{4DA6C56C-928F-43D2-A05E-0225703C1A99}"/>
    <cellStyle name="Comma 4 4 2 5" xfId="6599" xr:uid="{EC7C722A-6212-4214-92FF-24F0AFBF22E8}"/>
    <cellStyle name="Comma 4 4 3" xfId="2464" xr:uid="{AC9E9C5B-C99A-4CD8-836E-4153F2BABD9F}"/>
    <cellStyle name="Comma 4 4 3 2" xfId="2704" xr:uid="{B878E026-8FCE-47DB-B4F3-F8BFDA58CD67}"/>
    <cellStyle name="Comma 4 4 3 2 2" xfId="4052" xr:uid="{CDE8FCCC-9515-4769-8016-F3C3876FFE5F}"/>
    <cellStyle name="Comma 4 4 3 2 2 2" xfId="8241" xr:uid="{E219B7FD-2C5C-4E6C-93F5-280395832418}"/>
    <cellStyle name="Comma 4 4 3 2 3" xfId="5373" xr:uid="{6F566AF6-B150-48CE-97E1-A12F95DBE16F}"/>
    <cellStyle name="Comma 4 4 3 2 3 2" xfId="9544" xr:uid="{BF15EEEF-1222-4043-B608-A86D223B8C10}"/>
    <cellStyle name="Comma 4 4 3 2 4" xfId="6934" xr:uid="{F419F887-E8A0-45C1-A8B7-6383CC0C6C0C}"/>
    <cellStyle name="Comma 4 4 3 3" xfId="3812" xr:uid="{EFE2E63E-420E-41D6-9953-931677D9E47C}"/>
    <cellStyle name="Comma 4 4 3 3 2" xfId="8001" xr:uid="{8C01B09F-2BD6-4C0C-88A9-5FDD9C9AB187}"/>
    <cellStyle name="Comma 4 4 3 4" xfId="5133" xr:uid="{93DA7A21-6BBE-4FE7-955E-4D486A29AC88}"/>
    <cellStyle name="Comma 4 4 3 4 2" xfId="9304" xr:uid="{60E3DC17-1841-47EC-A446-A7DA28631D3B}"/>
    <cellStyle name="Comma 4 4 3 5" xfId="6694" xr:uid="{19F2B138-7DD8-402B-8EC7-449158F16533}"/>
    <cellStyle name="Comma 4 4 4" xfId="2545" xr:uid="{BB999115-DA4A-4416-9F7E-D48CA5B9C55A}"/>
    <cellStyle name="Comma 4 4 4 2" xfId="3893" xr:uid="{5D3D798B-7657-46BF-918B-E1D42494C2E5}"/>
    <cellStyle name="Comma 4 4 4 2 2" xfId="8082" xr:uid="{6AEFC284-BA87-4D36-A046-89A8AB5BF4AC}"/>
    <cellStyle name="Comma 4 4 4 3" xfId="5214" xr:uid="{4D125FE7-B619-4ECA-A273-89A01FCFCF1C}"/>
    <cellStyle name="Comma 4 4 4 3 2" xfId="9385" xr:uid="{AA13F256-A68D-48FA-A0A8-9EC270821231}"/>
    <cellStyle name="Comma 4 4 4 4" xfId="6775" xr:uid="{AF236402-1BD2-40FE-8FE1-D1B50FF985C6}"/>
    <cellStyle name="Comma 4 4 5" xfId="2299" xr:uid="{255A508D-62B1-4314-9DA6-AEC30E8BAB42}"/>
    <cellStyle name="Comma 4 4 5 2" xfId="3653" xr:uid="{A463F5AB-67F9-46D1-8FE5-AA9A46008046}"/>
    <cellStyle name="Comma 4 4 5 2 2" xfId="7842" xr:uid="{AB2C1231-73F7-4882-909A-2EBD3805B96E}"/>
    <cellStyle name="Comma 4 4 5 3" xfId="4974" xr:uid="{65CF6CE0-47A0-4358-996E-0C8EA5B3A0A9}"/>
    <cellStyle name="Comma 4 4 5 3 2" xfId="9145" xr:uid="{05663B25-F0A5-421E-9A09-251F00E0D797}"/>
    <cellStyle name="Comma 4 4 5 4" xfId="6535" xr:uid="{074EB637-548C-4817-B54F-5F1DD7E42AC6}"/>
    <cellStyle name="Comma 4 4 6" xfId="3572" xr:uid="{838EAE8B-1BB1-45FE-92C6-AB7B04DC4286}"/>
    <cellStyle name="Comma 4 4 6 2" xfId="7761" xr:uid="{A3FAB96E-EB4D-422D-A162-4AFCD2366611}"/>
    <cellStyle name="Comma 4 4 7" xfId="4893" xr:uid="{DE4EED65-AB3F-4850-BAA5-08FFCEF6DFB4}"/>
    <cellStyle name="Comma 4 4 7 2" xfId="9064" xr:uid="{34DCB3A1-6B8B-4A7D-9FF1-63763230F706}"/>
    <cellStyle name="Comma 4 4 8" xfId="6454" xr:uid="{6F88834D-70DC-4094-8712-B8AA199A0DF4}"/>
    <cellStyle name="Comma 4 5" xfId="2218" xr:uid="{71D5075F-619D-4C1E-9CE2-C0D649A02C60}"/>
    <cellStyle name="Comma 4 5 2" xfId="2496" xr:uid="{ED6FBAC2-ED7F-4898-87A7-DEF00409F7EA}"/>
    <cellStyle name="Comma 4 5 2 2" xfId="2736" xr:uid="{5B4BE821-E19C-48CD-97B8-13F6EE59CE2C}"/>
    <cellStyle name="Comma 4 5 2 2 2" xfId="4084" xr:uid="{9DB21E9A-30C4-4277-A31D-3404F8AD1EC9}"/>
    <cellStyle name="Comma 4 5 2 2 2 2" xfId="8273" xr:uid="{8FEDD298-29C0-495E-9CD1-4045308483A4}"/>
    <cellStyle name="Comma 4 5 2 2 3" xfId="5405" xr:uid="{0D872010-524E-4B2D-8C36-25962BB3D092}"/>
    <cellStyle name="Comma 4 5 2 2 3 2" xfId="9576" xr:uid="{5B4EFF1E-38FE-46F0-89D1-D772867F31A9}"/>
    <cellStyle name="Comma 4 5 2 2 4" xfId="6966" xr:uid="{5E5EEAA4-F7FD-4CA1-9922-C67BDF17A48E}"/>
    <cellStyle name="Comma 4 5 2 3" xfId="3844" xr:uid="{8261CF33-2FE4-4A74-8BC4-B84933EF6F6E}"/>
    <cellStyle name="Comma 4 5 2 3 2" xfId="8033" xr:uid="{88A61E10-5031-420A-8648-39359DB2B352}"/>
    <cellStyle name="Comma 4 5 2 4" xfId="5165" xr:uid="{A9CA466E-870D-4005-8D16-DC3B000A7954}"/>
    <cellStyle name="Comma 4 5 2 4 2" xfId="9336" xr:uid="{D7523397-CCFB-49F2-8232-2D9B24EC985F}"/>
    <cellStyle name="Comma 4 5 2 5" xfId="6726" xr:uid="{76874C5C-5D7F-4B11-978C-75A422F31A5C}"/>
    <cellStyle name="Comma 4 5 3" xfId="2577" xr:uid="{3520465A-94F6-4B44-998F-57132571D66E}"/>
    <cellStyle name="Comma 4 5 3 2" xfId="3925" xr:uid="{399D3050-3453-407E-8351-954BBE2D5D2D}"/>
    <cellStyle name="Comma 4 5 3 2 2" xfId="8114" xr:uid="{88924D4D-37F5-4392-A28E-CDA42398DA9A}"/>
    <cellStyle name="Comma 4 5 3 3" xfId="5246" xr:uid="{5537DCA7-A60A-4E5F-9E15-DE6D96435BCE}"/>
    <cellStyle name="Comma 4 5 3 3 2" xfId="9417" xr:uid="{48787875-A0D9-47C8-9AF4-2D532E133E12}"/>
    <cellStyle name="Comma 4 5 3 4" xfId="6807" xr:uid="{FA708B87-A9BD-4E93-B4C4-0E9F8AB5D1F2}"/>
    <cellStyle name="Comma 4 5 4" xfId="2331" xr:uid="{31AC760B-8108-47FD-8D80-0A7EE9AF0FA8}"/>
    <cellStyle name="Comma 4 5 4 2" xfId="3685" xr:uid="{812189F4-3712-45DC-9F46-71461C63CC5A}"/>
    <cellStyle name="Comma 4 5 4 2 2" xfId="7874" xr:uid="{A3695742-B4FD-48E4-A4E2-FFC560AA3837}"/>
    <cellStyle name="Comma 4 5 4 3" xfId="5006" xr:uid="{D124E9F2-04E8-4670-BE12-F16FA41A0DCF}"/>
    <cellStyle name="Comma 4 5 4 3 2" xfId="9177" xr:uid="{C3AC9808-3FCB-4751-8B7D-9908762CB6CA}"/>
    <cellStyle name="Comma 4 5 4 4" xfId="6567" xr:uid="{06D0D49B-C656-4AC9-B406-C632E60AB88B}"/>
    <cellStyle name="Comma 4 5 5" xfId="3604" xr:uid="{7D150554-8A2D-4E45-B763-637310B9B697}"/>
    <cellStyle name="Comma 4 5 5 2" xfId="7793" xr:uid="{C18CEDFE-8AA2-44C6-AD82-0B597A13524B}"/>
    <cellStyle name="Comma 4 5 6" xfId="4925" xr:uid="{BA90F6FE-546E-446A-8D58-5288BE7AA486}"/>
    <cellStyle name="Comma 4 5 6 2" xfId="9096" xr:uid="{3E69862D-6C13-47FE-A18D-52273EBDD4F6}"/>
    <cellStyle name="Comma 4 5 7" xfId="6486" xr:uid="{9055528C-EC14-4E16-9883-18AA72B5B318}"/>
    <cellStyle name="Comma 4 6" xfId="2403" xr:uid="{E136B781-7543-49C6-AE6F-13A3B70B8155}"/>
    <cellStyle name="Comma 4 6 2" xfId="2643" xr:uid="{C30CB25B-2A39-4F1D-ADEA-02971A89C608}"/>
    <cellStyle name="Comma 4 6 2 2" xfId="3991" xr:uid="{5E3CFAC0-345F-44AE-9645-277CF922BF62}"/>
    <cellStyle name="Comma 4 6 2 2 2" xfId="8180" xr:uid="{F09D3785-356B-4B79-82AD-3C623C1C7FA9}"/>
    <cellStyle name="Comma 4 6 2 3" xfId="5312" xr:uid="{17A7FD71-9023-4F86-98B4-C756AC91F3E1}"/>
    <cellStyle name="Comma 4 6 2 3 2" xfId="9483" xr:uid="{30E0ADD4-0896-4DCB-9A50-2475D9477E9A}"/>
    <cellStyle name="Comma 4 6 2 4" xfId="6873" xr:uid="{104A3D17-198E-4F36-A21F-776DE72221C3}"/>
    <cellStyle name="Comma 4 6 3" xfId="3751" xr:uid="{95A69159-5D0E-4105-9748-1C6321F6B856}"/>
    <cellStyle name="Comma 4 6 3 2" xfId="7940" xr:uid="{2DCA9E47-2ABE-4ECC-8D11-55A14CB4FF07}"/>
    <cellStyle name="Comma 4 6 4" xfId="5072" xr:uid="{57E24A7A-04D6-4363-BA86-9B4313A24AC8}"/>
    <cellStyle name="Comma 4 6 4 2" xfId="9243" xr:uid="{40395454-CB96-49CC-B180-2A6D059013BF}"/>
    <cellStyle name="Comma 4 6 5" xfId="6633" xr:uid="{DD83874C-34A2-4A5E-A48B-585E331A3E06}"/>
    <cellStyle name="Comma 4 7" xfId="2432" xr:uid="{23EB6CB9-454E-4C35-B0D2-8F63F50C1365}"/>
    <cellStyle name="Comma 4 7 2" xfId="2672" xr:uid="{08DA8BAA-A877-45C4-9A97-31B72926CF3D}"/>
    <cellStyle name="Comma 4 7 2 2" xfId="4020" xr:uid="{4E6BB403-341F-4574-BC28-72878AE6258B}"/>
    <cellStyle name="Comma 4 7 2 2 2" xfId="8209" xr:uid="{D43909B2-D459-4BD6-8335-3291E053A4DA}"/>
    <cellStyle name="Comma 4 7 2 3" xfId="5341" xr:uid="{5BA0F9E4-0F37-4885-B7A8-A6159E5B2A5C}"/>
    <cellStyle name="Comma 4 7 2 3 2" xfId="9512" xr:uid="{F077ED08-57DE-496C-9759-EBE932B639AD}"/>
    <cellStyle name="Comma 4 7 2 4" xfId="6902" xr:uid="{990C525D-A1FD-4B8B-B974-2A188C17060B}"/>
    <cellStyle name="Comma 4 7 3" xfId="3780" xr:uid="{12080BFB-FE76-4655-BD9F-56D757B190D7}"/>
    <cellStyle name="Comma 4 7 3 2" xfId="7969" xr:uid="{FE71B764-42FC-4E48-B7F3-41D4E83BF8C0}"/>
    <cellStyle name="Comma 4 7 4" xfId="5101" xr:uid="{E6DA58F5-0535-4A59-A215-CCA9CED0FFE3}"/>
    <cellStyle name="Comma 4 7 4 2" xfId="9272" xr:uid="{F8036124-3561-4CB0-A554-B8E551D3781A}"/>
    <cellStyle name="Comma 4 7 5" xfId="6662" xr:uid="{7C34D848-BEFA-48E9-8EDC-95A5A25BC385}"/>
    <cellStyle name="Comma 4 8" xfId="2513" xr:uid="{4097C4AC-85E4-4A38-9E61-3A8A6842B3F0}"/>
    <cellStyle name="Comma 4 8 2" xfId="3861" xr:uid="{49F2FEFF-B277-4EA9-B4B5-1498B02782F2}"/>
    <cellStyle name="Comma 4 8 2 2" xfId="8050" xr:uid="{3C828FF6-8DA7-4D7D-9FBC-A95C0D41CCC9}"/>
    <cellStyle name="Comma 4 8 3" xfId="5182" xr:uid="{947C2066-AC87-499C-9D18-94F47A50F739}"/>
    <cellStyle name="Comma 4 8 3 2" xfId="9353" xr:uid="{75988DDB-3CFC-40A8-9DFA-4B5E00779BA6}"/>
    <cellStyle name="Comma 4 8 4" xfId="6743" xr:uid="{7113EE4E-9BD0-41AB-BCBC-0E0606AF3FB8}"/>
    <cellStyle name="Comma 4 9" xfId="2267" xr:uid="{3241BCBB-4D7B-4526-A8BD-36700EF48907}"/>
    <cellStyle name="Comma 4 9 2" xfId="3621" xr:uid="{6924C898-CE61-4277-AE39-82DB95E873A7}"/>
    <cellStyle name="Comma 4 9 2 2" xfId="7810" xr:uid="{D62751A8-DB02-4A88-AEDF-60F42123EB9A}"/>
    <cellStyle name="Comma 4 9 3" xfId="4942" xr:uid="{E3402423-EF43-485C-8B5A-1642FAE18E3F}"/>
    <cellStyle name="Comma 4 9 3 2" xfId="9113" xr:uid="{EE37A8C1-AF56-419D-B5CF-ED981C910B4D}"/>
    <cellStyle name="Comma 4 9 4" xfId="6503" xr:uid="{42AA8D7B-3293-4B1C-9E2C-3C94D2150973}"/>
    <cellStyle name="Comma 5" xfId="179" xr:uid="{31549E03-7A03-44B1-90B5-794C080B7CCE}"/>
    <cellStyle name="Comma 5 10" xfId="2771" xr:uid="{BE26D453-1E62-42F6-8A41-A5C067018C5E}"/>
    <cellStyle name="Comma 5 10 2" xfId="6985" xr:uid="{763B0BEE-6D2A-49CB-B71B-37A73E7B9196}"/>
    <cellStyle name="Comma 5 11" xfId="4166" xr:uid="{9B416B12-0AA7-429C-80B1-F9119268A540}"/>
    <cellStyle name="Comma 5 11 2" xfId="8355" xr:uid="{0BC721BC-8300-4690-82E0-1D3A5C748B52}"/>
    <cellStyle name="Comma 5 12" xfId="5737" xr:uid="{E6665616-B3D2-4E89-9614-B0E186E2A888}"/>
    <cellStyle name="Comma 5 2" xfId="31" xr:uid="{1029F86C-6997-4E89-800D-B9B1EE1028F8}"/>
    <cellStyle name="Comma 5 2 10" xfId="4167" xr:uid="{8F930202-44C8-4EED-BAAD-A1C618A9F7FA}"/>
    <cellStyle name="Comma 5 2 10 2" xfId="8356" xr:uid="{CB9523AE-B4FB-4F75-91C3-98666304644D}"/>
    <cellStyle name="Comma 5 2 11" xfId="180" xr:uid="{36798D01-1BB3-4D86-A8FF-D32ADBB1ACE1}"/>
    <cellStyle name="Comma 5 2 12" xfId="5738" xr:uid="{F95FBFBC-A113-4436-AF68-A671DA377320}"/>
    <cellStyle name="Comma 5 2 2" xfId="628" xr:uid="{60D1F225-E05E-45CA-BC95-9BDE39F30766}"/>
    <cellStyle name="Comma 5 2 2 2" xfId="2383" xr:uid="{48A6538E-D0D6-4D9C-8A2E-295220286CD7}"/>
    <cellStyle name="Comma 5 2 2 2 2" xfId="2629" xr:uid="{2FC012D9-5D4E-49E1-91B0-A1A214781393}"/>
    <cellStyle name="Comma 5 2 2 2 2 2" xfId="3977" xr:uid="{7F27D084-9F58-4F98-AAEE-E2F209C84C57}"/>
    <cellStyle name="Comma 5 2 2 2 2 2 2" xfId="8166" xr:uid="{7E7D4816-AFC7-432F-AFE7-BAE9126DF12C}"/>
    <cellStyle name="Comma 5 2 2 2 2 3" xfId="5298" xr:uid="{462E313F-F74B-4EE8-9C13-9450E7F27631}"/>
    <cellStyle name="Comma 5 2 2 2 2 3 2" xfId="9469" xr:uid="{3E36B643-CC60-4C9B-B8E8-0CC710474DCD}"/>
    <cellStyle name="Comma 5 2 2 2 2 4" xfId="6859" xr:uid="{EEA71B12-FDBD-4896-AA0C-250104442958}"/>
    <cellStyle name="Comma 5 2 2 2 3" xfId="3737" xr:uid="{CF6502D9-959D-4C18-B86C-9121E84F5D75}"/>
    <cellStyle name="Comma 5 2 2 2 3 2" xfId="7926" xr:uid="{34A11CC8-846A-4441-9ABC-985618C3C84F}"/>
    <cellStyle name="Comma 5 2 2 2 4" xfId="5058" xr:uid="{13BC6C83-9153-42CD-A788-401CCF74331C}"/>
    <cellStyle name="Comma 5 2 2 2 4 2" xfId="9229" xr:uid="{DB6B934E-66E5-4388-BC1A-D1BAB6CC06C1}"/>
    <cellStyle name="Comma 5 2 2 2 5" xfId="6619" xr:uid="{53A37F8F-F5F9-44D8-96D3-A8E3059CDA10}"/>
    <cellStyle name="Comma 5 2 2 3" xfId="2484" xr:uid="{8DCCB4A1-0CE4-40BC-93E9-E657A09C6C8E}"/>
    <cellStyle name="Comma 5 2 2 3 2" xfId="2724" xr:uid="{D40B9E18-474F-4400-AE6E-8C991F32179C}"/>
    <cellStyle name="Comma 5 2 2 3 2 2" xfId="4072" xr:uid="{CCE09F31-54CB-475E-A043-842A711F65D8}"/>
    <cellStyle name="Comma 5 2 2 3 2 2 2" xfId="8261" xr:uid="{AFE73104-5109-462C-93F0-40C91CFAE89F}"/>
    <cellStyle name="Comma 5 2 2 3 2 3" xfId="5393" xr:uid="{A1AF15E0-88A2-47E1-9A89-54AC348F4A41}"/>
    <cellStyle name="Comma 5 2 2 3 2 3 2" xfId="9564" xr:uid="{C2FA719E-C827-4E44-9F24-DF67ADCE40F8}"/>
    <cellStyle name="Comma 5 2 2 3 2 4" xfId="6954" xr:uid="{4C35DAD7-4F39-4D30-A61C-DE8F3C6CC001}"/>
    <cellStyle name="Comma 5 2 2 3 3" xfId="3832" xr:uid="{57BE872E-E0B1-4DAA-9212-00686DFB01C4}"/>
    <cellStyle name="Comma 5 2 2 3 3 2" xfId="8021" xr:uid="{7B30D0B1-882A-4358-876B-61D7436EF35D}"/>
    <cellStyle name="Comma 5 2 2 3 4" xfId="5153" xr:uid="{E6061F50-89E9-4D89-83A6-32066EC3C357}"/>
    <cellStyle name="Comma 5 2 2 3 4 2" xfId="9324" xr:uid="{4E33B9FE-B33F-44C6-906F-10800E15D2AD}"/>
    <cellStyle name="Comma 5 2 2 3 5" xfId="6714" xr:uid="{AAFFCCCF-14A9-4705-BDD1-796792D9CC52}"/>
    <cellStyle name="Comma 5 2 2 4" xfId="2565" xr:uid="{E1480805-EB25-49D0-86B5-84EE63FD83F9}"/>
    <cellStyle name="Comma 5 2 2 4 2" xfId="3913" xr:uid="{26F98B6A-0A10-4491-94F2-7A3D77D993B4}"/>
    <cellStyle name="Comma 5 2 2 4 2 2" xfId="8102" xr:uid="{649CBDBC-8AF7-4DA1-BFB4-16AE6701A40C}"/>
    <cellStyle name="Comma 5 2 2 4 3" xfId="5234" xr:uid="{E8B1B2CC-44EC-447C-8BDD-C8E7AA80EDF3}"/>
    <cellStyle name="Comma 5 2 2 4 3 2" xfId="9405" xr:uid="{8D06B56D-869C-454C-8AA6-D8F5CE1EB8B1}"/>
    <cellStyle name="Comma 5 2 2 4 4" xfId="6795" xr:uid="{840265FC-A040-467D-AC4E-58847543546B}"/>
    <cellStyle name="Comma 5 2 2 5" xfId="2319" xr:uid="{183E92D3-5B0D-441F-A8CC-5863415EDE90}"/>
    <cellStyle name="Comma 5 2 2 5 2" xfId="3673" xr:uid="{2C25BEC5-CEF3-41C6-B2EE-95B86799259D}"/>
    <cellStyle name="Comma 5 2 2 5 2 2" xfId="7862" xr:uid="{A7E628CB-D9B4-4089-B2C0-264F01BF3DEA}"/>
    <cellStyle name="Comma 5 2 2 5 3" xfId="4994" xr:uid="{22901839-2601-43C8-B2B9-A6517521E374}"/>
    <cellStyle name="Comma 5 2 2 5 3 2" xfId="9165" xr:uid="{3D1EF47C-F741-4E9E-9D05-081B9266CEEE}"/>
    <cellStyle name="Comma 5 2 2 5 4" xfId="6555" xr:uid="{B9DBEDE3-BBA6-4719-A96C-2D9A6971EC7E}"/>
    <cellStyle name="Comma 5 2 2 6" xfId="2158" xr:uid="{D3F51486-D912-4CBB-AC82-3C4FFDFD4407}"/>
    <cellStyle name="Comma 5 2 2 6 2" xfId="3592" xr:uid="{F830C0B6-1C85-49B5-93A5-D3762B6FF12F}"/>
    <cellStyle name="Comma 5 2 2 6 2 2" xfId="7781" xr:uid="{42C34FD0-8F17-4C08-BED0-BB19F4E7EDED}"/>
    <cellStyle name="Comma 5 2 2 6 3" xfId="4913" xr:uid="{64B0A006-9104-49E5-9863-E3448676E6DA}"/>
    <cellStyle name="Comma 5 2 2 6 3 2" xfId="9084" xr:uid="{6FBD44CB-FE06-4B1C-A2DA-0005FC7AE1C7}"/>
    <cellStyle name="Comma 5 2 2 6 4" xfId="6474" xr:uid="{4BEABF8D-6157-4A93-A440-060FD2C52856}"/>
    <cellStyle name="Comma 5 2 2 7" xfId="2949" xr:uid="{B06A0028-98A0-4557-B022-4EBEC6087741}"/>
    <cellStyle name="Comma 5 2 2 7 2" xfId="7152" xr:uid="{30531167-5133-466C-97DF-C206F7AC27B6}"/>
    <cellStyle name="Comma 5 2 2 8" xfId="4260" xr:uid="{5B558C21-4A82-41F1-BE83-4CC3C8B4CD84}"/>
    <cellStyle name="Comma 5 2 2 8 2" xfId="8445" xr:uid="{52F3BB51-D1FF-4BDF-A502-F6C8286F6DC4}"/>
    <cellStyle name="Comma 5 2 2 9" xfId="5829" xr:uid="{626459B1-BBF4-4EA1-B8B7-A361CA6C8ADB}"/>
    <cellStyle name="Comma 5 2 3" xfId="2351" xr:uid="{C2C55A38-9A97-4FD3-92FC-1B17D9C3ACD5}"/>
    <cellStyle name="Comma 5 2 3 2" xfId="2597" xr:uid="{FD6F15C9-ABC0-4103-889A-3BEBA4819A4D}"/>
    <cellStyle name="Comma 5 2 3 2 2" xfId="3945" xr:uid="{100972E6-EC37-4D3A-B6A2-F2807659C5C6}"/>
    <cellStyle name="Comma 5 2 3 2 2 2" xfId="8134" xr:uid="{FC32FAFE-F4B6-41F7-8198-76232071D7F9}"/>
    <cellStyle name="Comma 5 2 3 2 3" xfId="5266" xr:uid="{35647FDE-C77B-45D0-B528-CF1946C74BD2}"/>
    <cellStyle name="Comma 5 2 3 2 3 2" xfId="9437" xr:uid="{D6915334-035B-4FA7-AC06-0C04495E7F0D}"/>
    <cellStyle name="Comma 5 2 3 2 4" xfId="6827" xr:uid="{5F43ECE6-EF51-43FE-A56B-0130B3F7D535}"/>
    <cellStyle name="Comma 5 2 3 3" xfId="3705" xr:uid="{8DA7E995-6EA5-464D-A13A-F5B8A735C428}"/>
    <cellStyle name="Comma 5 2 3 3 2" xfId="7894" xr:uid="{C1ADD37F-5406-4B18-BC50-5E47E12F34FD}"/>
    <cellStyle name="Comma 5 2 3 4" xfId="5026" xr:uid="{CADEBFBE-8153-4FEC-BF29-73B9EA27F292}"/>
    <cellStyle name="Comma 5 2 3 4 2" xfId="9197" xr:uid="{24D96632-A2FB-4795-AE56-005D89F767A4}"/>
    <cellStyle name="Comma 5 2 3 5" xfId="6587" xr:uid="{221C9159-6562-44BC-85CB-960265271CFF}"/>
    <cellStyle name="Comma 5 2 4" xfId="2409" xr:uid="{E5F8276C-E2C5-4FD0-BF77-BFE5E40F958F}"/>
    <cellStyle name="Comma 5 2 4 2" xfId="2649" xr:uid="{A4089931-DA0E-443F-9C1B-D8A12D5E44B6}"/>
    <cellStyle name="Comma 5 2 4 2 2" xfId="3997" xr:uid="{9B90BC67-2B6E-418F-951E-D2D0FDACB7F0}"/>
    <cellStyle name="Comma 5 2 4 2 2 2" xfId="8186" xr:uid="{FE2BE518-0C3F-43E4-A6A6-85326D22362E}"/>
    <cellStyle name="Comma 5 2 4 2 3" xfId="5318" xr:uid="{65A76E88-A687-48B0-8DD4-9A72C093FACF}"/>
    <cellStyle name="Comma 5 2 4 2 3 2" xfId="9489" xr:uid="{18BEF77E-63AA-410D-9A2D-056E19015C95}"/>
    <cellStyle name="Comma 5 2 4 2 4" xfId="6879" xr:uid="{AB247594-C28F-4840-885C-55B247C42EF0}"/>
    <cellStyle name="Comma 5 2 4 3" xfId="3757" xr:uid="{B66E2FB3-36AE-468E-A61D-78F20FC699B0}"/>
    <cellStyle name="Comma 5 2 4 3 2" xfId="7946" xr:uid="{54F41F21-954B-488F-84D6-45830F1C6975}"/>
    <cellStyle name="Comma 5 2 4 4" xfId="5078" xr:uid="{6EE2B4ED-5465-40E7-8495-79F2DCB8EA0F}"/>
    <cellStyle name="Comma 5 2 4 4 2" xfId="9249" xr:uid="{FACCE07C-F766-4DC3-97A5-84BD057A0767}"/>
    <cellStyle name="Comma 5 2 4 5" xfId="6639" xr:uid="{654EBCBC-4752-4613-B4BA-BB92AAEE2E8B}"/>
    <cellStyle name="Comma 5 2 5" xfId="2452" xr:uid="{F4600399-38FB-424B-A169-5EF0FAC542D1}"/>
    <cellStyle name="Comma 5 2 5 2" xfId="2692" xr:uid="{1C5E43A0-1BC4-490E-B669-A7BDC3E7CDD5}"/>
    <cellStyle name="Comma 5 2 5 2 2" xfId="4040" xr:uid="{C1405575-3552-46F6-8FB3-36539C21C325}"/>
    <cellStyle name="Comma 5 2 5 2 2 2" xfId="8229" xr:uid="{E27AAF62-7D18-4B7C-BF7B-3049D0572B44}"/>
    <cellStyle name="Comma 5 2 5 2 3" xfId="5361" xr:uid="{20200CFD-690E-40B0-A97E-410432BC293A}"/>
    <cellStyle name="Comma 5 2 5 2 3 2" xfId="9532" xr:uid="{3D377EA2-84D5-4597-8C58-F0092DEA051E}"/>
    <cellStyle name="Comma 5 2 5 2 4" xfId="6922" xr:uid="{3E23DE40-7A5E-4CDB-A9AE-7C0DB7BA6BE7}"/>
    <cellStyle name="Comma 5 2 5 3" xfId="3800" xr:uid="{F3631A93-8A76-4EAF-AB60-750D76CF9697}"/>
    <cellStyle name="Comma 5 2 5 3 2" xfId="7989" xr:uid="{AA015261-69A1-4FE0-832A-A1BBE092F464}"/>
    <cellStyle name="Comma 5 2 5 4" xfId="5121" xr:uid="{2522309C-56AE-4C4D-AE96-7B8E40C133FF}"/>
    <cellStyle name="Comma 5 2 5 4 2" xfId="9292" xr:uid="{9D2A8A4F-7CD6-42E4-BE59-635957CA08FB}"/>
    <cellStyle name="Comma 5 2 5 5" xfId="6682" xr:uid="{E297371C-758E-4ED6-9D17-1FEC522B1753}"/>
    <cellStyle name="Comma 5 2 6" xfId="2533" xr:uid="{FEC90C6B-4E35-4C9B-B48C-8FEFF2882601}"/>
    <cellStyle name="Comma 5 2 6 2" xfId="3881" xr:uid="{E838151A-A4FF-4761-A883-37F27421C0E8}"/>
    <cellStyle name="Comma 5 2 6 2 2" xfId="8070" xr:uid="{5A83F7A7-B0A7-40EE-A81E-2E4B23F0BCDB}"/>
    <cellStyle name="Comma 5 2 6 3" xfId="5202" xr:uid="{4880E513-9272-451D-8173-B8C715C37EFD}"/>
    <cellStyle name="Comma 5 2 6 3 2" xfId="9373" xr:uid="{45A12212-6960-48AE-86E6-F1986037CEAC}"/>
    <cellStyle name="Comma 5 2 6 4" xfId="6763" xr:uid="{07F891D8-EADB-46C0-913B-1FCECC482BE8}"/>
    <cellStyle name="Comma 5 2 7" xfId="2287" xr:uid="{DF8CD6E8-743F-466D-BE60-C299E73D3BC3}"/>
    <cellStyle name="Comma 5 2 7 2" xfId="3641" xr:uid="{801BCDB3-FB49-4B9E-8EDA-B842EC0ECBEF}"/>
    <cellStyle name="Comma 5 2 7 2 2" xfId="7830" xr:uid="{D834460C-A17F-4D9A-92F3-7086D28390CD}"/>
    <cellStyle name="Comma 5 2 7 3" xfId="4962" xr:uid="{531A48D2-9C91-4B67-9BD9-2DF53DEDD47A}"/>
    <cellStyle name="Comma 5 2 7 3 2" xfId="9133" xr:uid="{3FF0C3F4-B619-4AEE-8503-E416AE581717}"/>
    <cellStyle name="Comma 5 2 7 4" xfId="6523" xr:uid="{9E150076-A5E6-4E98-9B79-B50579345199}"/>
    <cellStyle name="Comma 5 2 8" xfId="2123" xr:uid="{B28C5C97-92D6-48DE-AB4F-90E80401A712}"/>
    <cellStyle name="Comma 5 2 8 2" xfId="3560" xr:uid="{207B94EF-42EC-4321-8A14-7EEF82183A3F}"/>
    <cellStyle name="Comma 5 2 8 2 2" xfId="7749" xr:uid="{677F78C6-796D-4BF1-A7EC-E5C8EF759F21}"/>
    <cellStyle name="Comma 5 2 8 3" xfId="4881" xr:uid="{EFC7047C-96CA-4847-89C2-F62623F51F63}"/>
    <cellStyle name="Comma 5 2 8 3 2" xfId="9052" xr:uid="{6028015B-9B9B-4B1E-9522-C0E11C6DD320}"/>
    <cellStyle name="Comma 5 2 8 4" xfId="6442" xr:uid="{6AF5C2EF-78C8-4DA1-BE2F-5B4B8A1A3226}"/>
    <cellStyle name="Comma 5 2 9" xfId="2853" xr:uid="{FD1BDB72-2675-4EE6-A8E8-5AE0D7FD81E5}"/>
    <cellStyle name="Comma 5 2 9 2" xfId="7064" xr:uid="{DFD15173-3FF0-4EB9-B8F1-CACEA4CA40DC}"/>
    <cellStyle name="Comma 5 3" xfId="1341" xr:uid="{64AAD008-FB05-4B39-B293-E8E9AD5C9F74}"/>
    <cellStyle name="Comma 5 3 2" xfId="2367" xr:uid="{FC70EAA6-7DC6-422A-9458-F2D4C4A78E31}"/>
    <cellStyle name="Comma 5 3 2 2" xfId="2613" xr:uid="{1D0FCEA7-A690-4CE2-8EFC-99C90891C6AC}"/>
    <cellStyle name="Comma 5 3 2 2 2" xfId="3961" xr:uid="{008CE3F9-3E56-4CCF-9D35-1B3C9C2D9EC8}"/>
    <cellStyle name="Comma 5 3 2 2 2 2" xfId="8150" xr:uid="{B6C230E1-0BE8-4749-8A35-29A34249D6C1}"/>
    <cellStyle name="Comma 5 3 2 2 3" xfId="5282" xr:uid="{03538169-6443-441F-B720-C02F03B8FF60}"/>
    <cellStyle name="Comma 5 3 2 2 3 2" xfId="9453" xr:uid="{F176CD5D-C9E6-49B7-873E-B95DE4DCC691}"/>
    <cellStyle name="Comma 5 3 2 2 4" xfId="6843" xr:uid="{DBBF40D9-4F92-4A0D-BB23-C5E455310CE2}"/>
    <cellStyle name="Comma 5 3 2 3" xfId="3721" xr:uid="{335479DD-8AF6-40ED-8ACE-5CCC2E07AA5C}"/>
    <cellStyle name="Comma 5 3 2 3 2" xfId="7910" xr:uid="{5B7C321E-E10E-49A2-9765-3E21E8D5A0CE}"/>
    <cellStyle name="Comma 5 3 2 4" xfId="5042" xr:uid="{03E003AE-4436-4E52-BBAA-AEAC84FAC7EC}"/>
    <cellStyle name="Comma 5 3 2 4 2" xfId="9213" xr:uid="{51E5E463-75A2-46B8-A9F1-A6D8DDF9E29E}"/>
    <cellStyle name="Comma 5 3 2 5" xfId="6603" xr:uid="{B14A36B6-F24A-4348-8A23-FF518281B725}"/>
    <cellStyle name="Comma 5 3 3" xfId="2419" xr:uid="{B3E6BB83-8CCF-4922-93A4-34028306C9AC}"/>
    <cellStyle name="Comma 5 3 3 2" xfId="2659" xr:uid="{F9A18F79-2797-44C4-BFA0-029FD6344924}"/>
    <cellStyle name="Comma 5 3 3 2 2" xfId="4007" xr:uid="{EA10DA60-C560-4872-863B-4FC8EA615E7B}"/>
    <cellStyle name="Comma 5 3 3 2 2 2" xfId="8196" xr:uid="{C610D44E-B176-4B5C-BD5B-948207232093}"/>
    <cellStyle name="Comma 5 3 3 2 3" xfId="5328" xr:uid="{4B04D51C-C614-4914-BAFF-0FB839EEC62D}"/>
    <cellStyle name="Comma 5 3 3 2 3 2" xfId="9499" xr:uid="{5DBC370B-1044-4A19-8D55-6927F032BEF7}"/>
    <cellStyle name="Comma 5 3 3 2 4" xfId="6889" xr:uid="{61429EDF-2E93-4B08-ABD5-BE8B8AB79B33}"/>
    <cellStyle name="Comma 5 3 3 3" xfId="3767" xr:uid="{462807F4-5843-4872-8E68-AF251BF698AD}"/>
    <cellStyle name="Comma 5 3 3 3 2" xfId="7956" xr:uid="{05356693-EF72-41EB-B36B-B3A9AE1FB437}"/>
    <cellStyle name="Comma 5 3 3 4" xfId="5088" xr:uid="{5D911286-BC43-490C-AF6F-9FB0D34B092D}"/>
    <cellStyle name="Comma 5 3 3 4 2" xfId="9259" xr:uid="{A0C14939-DFE2-4873-9F4D-25CAEE90FDEE}"/>
    <cellStyle name="Comma 5 3 3 5" xfId="6649" xr:uid="{9CB76FB0-5F9E-4EAD-A2F2-19E1634C513C}"/>
    <cellStyle name="Comma 5 3 4" xfId="2468" xr:uid="{C3D4844E-C560-4095-8226-9EBF2B979DBC}"/>
    <cellStyle name="Comma 5 3 4 2" xfId="2708" xr:uid="{504A08A7-1CFC-4A7D-9E0A-6F9A5A19EE63}"/>
    <cellStyle name="Comma 5 3 4 2 2" xfId="4056" xr:uid="{3EC19E7D-2C00-4204-9F4A-61607E371317}"/>
    <cellStyle name="Comma 5 3 4 2 2 2" xfId="8245" xr:uid="{6B775EDA-4FB4-4CD1-8479-4EAA8BA18C2F}"/>
    <cellStyle name="Comma 5 3 4 2 3" xfId="5377" xr:uid="{0AE63326-8312-4300-8116-47FE53B00489}"/>
    <cellStyle name="Comma 5 3 4 2 3 2" xfId="9548" xr:uid="{B0896919-5885-46B7-AD9A-D08D3B2DAB0E}"/>
    <cellStyle name="Comma 5 3 4 2 4" xfId="6938" xr:uid="{35D3F739-9788-4B89-9D26-281FBA9E5A15}"/>
    <cellStyle name="Comma 5 3 4 3" xfId="3816" xr:uid="{50260532-1CD5-4258-8D46-251588D15953}"/>
    <cellStyle name="Comma 5 3 4 3 2" xfId="8005" xr:uid="{41C8EB6A-AC1A-4536-BF40-05424D2BCD45}"/>
    <cellStyle name="Comma 5 3 4 4" xfId="5137" xr:uid="{0198F711-4741-42B0-8A9C-F505B1E5E0F4}"/>
    <cellStyle name="Comma 5 3 4 4 2" xfId="9308" xr:uid="{AD2D234C-396C-4E92-9F98-EACE60E2FF00}"/>
    <cellStyle name="Comma 5 3 4 5" xfId="6698" xr:uid="{6E5B346F-334A-44F7-98B2-A7CD0EA6FDD5}"/>
    <cellStyle name="Comma 5 3 5" xfId="2549" xr:uid="{1F02F749-8685-4C8E-8EBD-4D79481CEF73}"/>
    <cellStyle name="Comma 5 3 5 2" xfId="3897" xr:uid="{7260D819-0AF6-4E9F-B738-D7194017F849}"/>
    <cellStyle name="Comma 5 3 5 2 2" xfId="8086" xr:uid="{90F68105-C321-4B67-95B9-FE6E3B7C5704}"/>
    <cellStyle name="Comma 5 3 5 3" xfId="5218" xr:uid="{6F743C9B-A538-4B5C-9B37-E724F386ECE4}"/>
    <cellStyle name="Comma 5 3 5 3 2" xfId="9389" xr:uid="{332A8117-5C6F-4ADC-957A-73271F5576A7}"/>
    <cellStyle name="Comma 5 3 5 4" xfId="6779" xr:uid="{B9302532-8EFF-4B8B-8A8D-41A521C142F2}"/>
    <cellStyle name="Comma 5 3 6" xfId="2303" xr:uid="{D13B173A-DC0E-45AA-BE5F-72AA65079716}"/>
    <cellStyle name="Comma 5 3 6 2" xfId="3657" xr:uid="{F80A0369-C556-4A1D-9A15-110286507AC6}"/>
    <cellStyle name="Comma 5 3 6 2 2" xfId="7846" xr:uid="{53EAD4F6-834F-4794-A88C-4CAB083D1F47}"/>
    <cellStyle name="Comma 5 3 6 3" xfId="4978" xr:uid="{2390AA49-E988-4C2A-BDCC-5B391B87E0C9}"/>
    <cellStyle name="Comma 5 3 6 3 2" xfId="9149" xr:uid="{0E38EC4C-6D95-4D1B-BB1A-EBB1A5325D8E}"/>
    <cellStyle name="Comma 5 3 6 4" xfId="6539" xr:uid="{3EC6EAF6-E8D8-4B30-99DE-FEC8AEE3708C}"/>
    <cellStyle name="Comma 5 3 7" xfId="2142" xr:uid="{229303CE-0C69-48BB-BAAF-C89742B8C343}"/>
    <cellStyle name="Comma 5 3 7 2" xfId="3576" xr:uid="{4A368F65-1BCB-4EE9-8A07-5F1293C07C6F}"/>
    <cellStyle name="Comma 5 3 7 2 2" xfId="7765" xr:uid="{8F3D784F-581E-4EA6-862B-DF6B52B5E58F}"/>
    <cellStyle name="Comma 5 3 7 3" xfId="4897" xr:uid="{32049D39-F108-4D89-B082-2B7E540A449E}"/>
    <cellStyle name="Comma 5 3 7 3 2" xfId="9068" xr:uid="{B0D939A3-D307-4DD7-A040-082EDB584D0B}"/>
    <cellStyle name="Comma 5 3 7 4" xfId="6458" xr:uid="{D47206D3-B2CE-4057-8EED-8D29661340E8}"/>
    <cellStyle name="Comma 5 3 8" xfId="4828" xr:uid="{99C4F055-ED41-418F-85BA-98BACF9A6988}"/>
    <cellStyle name="Comma 5 3 8 2" xfId="9007" xr:uid="{6089A1F3-F1C2-4F85-8922-4E7CF3D0A09B}"/>
    <cellStyle name="Comma 5 3 9" xfId="6392" xr:uid="{FE9C66CA-F6D1-47A0-AD11-B0294CEF124B}"/>
    <cellStyle name="Comma 5 4" xfId="2222" xr:uid="{2CBD8940-BCBC-44FD-92FC-DCC4F064841A}"/>
    <cellStyle name="Comma 5 4 2" xfId="2500" xr:uid="{7B7C60A8-DD9C-49E3-85F9-81D9F39CE381}"/>
    <cellStyle name="Comma 5 4 2 2" xfId="2740" xr:uid="{4350090E-E371-4583-BFEF-D7EDB3A7BB25}"/>
    <cellStyle name="Comma 5 4 2 2 2" xfId="4088" xr:uid="{B45FD85A-2806-425E-8479-F77E351FD1DC}"/>
    <cellStyle name="Comma 5 4 2 2 2 2" xfId="8277" xr:uid="{D55A2017-89F0-488E-8DA3-9A9972FD4BE5}"/>
    <cellStyle name="Comma 5 4 2 2 3" xfId="5409" xr:uid="{FB9A9DE3-3F8E-4A15-B140-97D3D88010C8}"/>
    <cellStyle name="Comma 5 4 2 2 3 2" xfId="9580" xr:uid="{263FEFB7-D4D2-4723-A441-7B14DDE02C4F}"/>
    <cellStyle name="Comma 5 4 2 2 4" xfId="6970" xr:uid="{C9D15090-4756-4534-B2CC-9C4770C46338}"/>
    <cellStyle name="Comma 5 4 2 3" xfId="3848" xr:uid="{9B7CA015-3E66-438A-B992-79F1C15C2F71}"/>
    <cellStyle name="Comma 5 4 2 3 2" xfId="8037" xr:uid="{CF127CEC-F683-4F64-ACE7-12DDEEC9B61C}"/>
    <cellStyle name="Comma 5 4 2 4" xfId="5169" xr:uid="{1026EC9E-F3BC-44CF-882C-90931A869182}"/>
    <cellStyle name="Comma 5 4 2 4 2" xfId="9340" xr:uid="{3D90FE5D-8A9C-4F79-BDE9-87B5D210519D}"/>
    <cellStyle name="Comma 5 4 2 5" xfId="6730" xr:uid="{A79710CD-ED78-4F8B-A829-56761C625AEC}"/>
    <cellStyle name="Comma 5 4 3" xfId="2581" xr:uid="{9DEEAB26-4A31-4089-AA2D-3FAE9121048B}"/>
    <cellStyle name="Comma 5 4 3 2" xfId="3929" xr:uid="{E902E04B-0E2C-422E-8EDB-3F72B249A2A0}"/>
    <cellStyle name="Comma 5 4 3 2 2" xfId="8118" xr:uid="{086F1861-EFF7-4CF4-BC1F-E2FFC807A7FA}"/>
    <cellStyle name="Comma 5 4 3 3" xfId="5250" xr:uid="{10450176-ACB8-4DA9-B51E-7AC5AB21F00C}"/>
    <cellStyle name="Comma 5 4 3 3 2" xfId="9421" xr:uid="{7DFC1E5F-CA11-4C37-9EF6-4BC21F2BDAA2}"/>
    <cellStyle name="Comma 5 4 3 4" xfId="6811" xr:uid="{FF859904-C44A-42C1-8568-06D2B8F65735}"/>
    <cellStyle name="Comma 5 4 4" xfId="2335" xr:uid="{10FC78AA-FE7E-4C7F-AD1C-1F65D54857FA}"/>
    <cellStyle name="Comma 5 4 4 2" xfId="3689" xr:uid="{DF26DC32-A2C1-4D08-A9A2-AEEE1CE77A77}"/>
    <cellStyle name="Comma 5 4 4 2 2" xfId="7878" xr:uid="{42C13B1E-1F87-4C68-B54A-960AE4F2784D}"/>
    <cellStyle name="Comma 5 4 4 3" xfId="5010" xr:uid="{C05BCAFE-B991-483C-BC10-E14E5A01D5B8}"/>
    <cellStyle name="Comma 5 4 4 3 2" xfId="9181" xr:uid="{A816792B-B7F0-49EF-B3F4-0072E1D6FB7F}"/>
    <cellStyle name="Comma 5 4 4 4" xfId="6571" xr:uid="{5FB1CEDE-9842-4514-948A-7D96A384ACB8}"/>
    <cellStyle name="Comma 5 4 5" xfId="3608" xr:uid="{434D523D-E5A3-41A3-A18F-BE19ABF45D3E}"/>
    <cellStyle name="Comma 5 4 5 2" xfId="7797" xr:uid="{3E106F39-C320-4C7A-B514-9211F58382E8}"/>
    <cellStyle name="Comma 5 4 6" xfId="4929" xr:uid="{437B6FA2-7359-46A4-B4C0-3224078DDFF2}"/>
    <cellStyle name="Comma 5 4 6 2" xfId="9100" xr:uid="{42661EC8-EACC-4FE2-AB48-469BADE9C50C}"/>
    <cellStyle name="Comma 5 4 7" xfId="6490" xr:uid="{8CE36DD2-6198-4925-9A56-64D2765EFA09}"/>
    <cellStyle name="Comma 5 5" xfId="2399" xr:uid="{8C97B4B8-6499-4C37-9385-90DD03DB0DDE}"/>
    <cellStyle name="Comma 5 5 2" xfId="2639" xr:uid="{5E1686A0-DEEE-42DF-86C0-EA45782DDF7A}"/>
    <cellStyle name="Comma 5 5 2 2" xfId="3987" xr:uid="{06D04B9C-8372-4107-AAC0-F700CE76EFB7}"/>
    <cellStyle name="Comma 5 5 2 2 2" xfId="8176" xr:uid="{1D648AB5-5157-4625-86B4-50683113D122}"/>
    <cellStyle name="Comma 5 5 2 3" xfId="5308" xr:uid="{848FF5B8-FAC2-471F-85FE-D142C0CF65FA}"/>
    <cellStyle name="Comma 5 5 2 3 2" xfId="9479" xr:uid="{0DCF031A-4F6C-49F0-85CA-AC83DFD972C0}"/>
    <cellStyle name="Comma 5 5 2 4" xfId="6869" xr:uid="{15127110-FC45-4987-A7CE-16F0938E3983}"/>
    <cellStyle name="Comma 5 5 3" xfId="3747" xr:uid="{9579ABE5-0099-4FC6-8D4B-7A843ED85FFB}"/>
    <cellStyle name="Comma 5 5 3 2" xfId="7936" xr:uid="{DEA4CEFF-BE3A-473F-9ACD-D086C1EFF7B8}"/>
    <cellStyle name="Comma 5 5 4" xfId="5068" xr:uid="{4F9040DB-5452-422D-BBFD-5799744B3D8F}"/>
    <cellStyle name="Comma 5 5 4 2" xfId="9239" xr:uid="{11DC55FB-2C0D-4131-8A6B-95DA532CE475}"/>
    <cellStyle name="Comma 5 5 5" xfId="6629" xr:uid="{96954E5F-3544-4AD6-B327-86BC99E75AFD}"/>
    <cellStyle name="Comma 5 6" xfId="2436" xr:uid="{E2EC5AB5-FB95-431C-B7E2-98C283508730}"/>
    <cellStyle name="Comma 5 6 2" xfId="2676" xr:uid="{E8A66F89-2FC5-4E4B-96E9-53DD2EC1F0C9}"/>
    <cellStyle name="Comma 5 6 2 2" xfId="4024" xr:uid="{C2879B1F-CAD9-4C0E-936B-4D76362199DA}"/>
    <cellStyle name="Comma 5 6 2 2 2" xfId="8213" xr:uid="{53A715F6-2611-4079-AD28-CF83A897EF1A}"/>
    <cellStyle name="Comma 5 6 2 3" xfId="5345" xr:uid="{91B7EC16-8C6D-4A30-B214-2491495EB9A0}"/>
    <cellStyle name="Comma 5 6 2 3 2" xfId="9516" xr:uid="{AA04DDF2-322F-407F-90AB-21C7E8429E03}"/>
    <cellStyle name="Comma 5 6 2 4" xfId="6906" xr:uid="{20B18547-5803-4DFE-A75F-10AEE3AAA7BE}"/>
    <cellStyle name="Comma 5 6 3" xfId="3784" xr:uid="{BDFE25DF-1FBA-4587-84C0-FCB7B9B530F8}"/>
    <cellStyle name="Comma 5 6 3 2" xfId="7973" xr:uid="{83D2DCB1-7778-49B0-9B66-DFBC5C78D035}"/>
    <cellStyle name="Comma 5 6 4" xfId="5105" xr:uid="{747DBD20-6128-4C77-977D-C937573D840F}"/>
    <cellStyle name="Comma 5 6 4 2" xfId="9276" xr:uid="{8804C2FB-B274-4C69-A236-0E21BB87CB08}"/>
    <cellStyle name="Comma 5 6 5" xfId="6666" xr:uid="{01CB3FA8-3E6B-48AE-986B-7A6F118A4BEC}"/>
    <cellStyle name="Comma 5 7" xfId="2517" xr:uid="{0B7D093D-41B9-46B6-873A-5E5C851FDBDF}"/>
    <cellStyle name="Comma 5 7 2" xfId="3865" xr:uid="{AEFAE429-9FDF-4BD2-A34F-C3CC65060A0A}"/>
    <cellStyle name="Comma 5 7 2 2" xfId="8054" xr:uid="{4C2F69DA-0F1B-4F99-BA9A-F33B0A73396C}"/>
    <cellStyle name="Comma 5 7 3" xfId="5186" xr:uid="{D7551906-D3DE-4321-8715-D394EBDACDC0}"/>
    <cellStyle name="Comma 5 7 3 2" xfId="9357" xr:uid="{728D5376-D825-4583-B776-9195E00D9966}"/>
    <cellStyle name="Comma 5 7 4" xfId="6747" xr:uid="{112F4000-0BA4-4976-B54F-3894915510F5}"/>
    <cellStyle name="Comma 5 8" xfId="2271" xr:uid="{56E6BF84-F368-48A4-9099-120E3EFAF80E}"/>
    <cellStyle name="Comma 5 8 2" xfId="3625" xr:uid="{A73BCC59-3A73-4EA1-840B-CA6EAEB2C63A}"/>
    <cellStyle name="Comma 5 8 2 2" xfId="7814" xr:uid="{61B0579F-D4C6-414C-8A1B-1DA2743ADE1E}"/>
    <cellStyle name="Comma 5 8 3" xfId="4946" xr:uid="{C36ECF17-2D48-4DBF-95E5-9812A4003ACB}"/>
    <cellStyle name="Comma 5 8 3 2" xfId="9117" xr:uid="{5C240BE6-FFA6-458A-8A20-665E39B521B4}"/>
    <cellStyle name="Comma 5 8 4" xfId="6507" xr:uid="{C5209E78-6EC2-482E-9C76-76DE797F54BC}"/>
    <cellStyle name="Comma 5 9" xfId="2107" xr:uid="{B7B53AF9-F5D9-42B5-841E-EB908D8C0C5D}"/>
    <cellStyle name="Comma 5 9 2" xfId="3544" xr:uid="{2ED7F489-23EF-4603-8CF0-59FE9900A5A1}"/>
    <cellStyle name="Comma 5 9 2 2" xfId="7733" xr:uid="{F5219CF1-1577-464C-9824-E6E12B7880BB}"/>
    <cellStyle name="Comma 5 9 3" xfId="4865" xr:uid="{ED2AE209-6D06-45D1-B94A-0840708CE41C}"/>
    <cellStyle name="Comma 5 9 3 2" xfId="9036" xr:uid="{3E9290A7-E6DF-4952-8F07-20CE8DB0880B}"/>
    <cellStyle name="Comma 5 9 4" xfId="6426" xr:uid="{D178139D-4121-4E26-90A4-05C764CA8794}"/>
    <cellStyle name="Comma 6" xfId="181" xr:uid="{9C975C1A-F382-4FF8-9A5A-A7B94CCE4E68}"/>
    <cellStyle name="Comma 6 10" xfId="5481" xr:uid="{7D5C6E63-6372-4766-BE37-3C1B36040198}"/>
    <cellStyle name="Comma 6 11" xfId="5739" xr:uid="{ECE91140-CB1C-40FB-AF6D-1AAB579BB481}"/>
    <cellStyle name="Comma 6 2" xfId="629" xr:uid="{5F11F437-1806-4C69-A2F9-DC54438D3777}"/>
    <cellStyle name="Comma 6 2 10" xfId="5830" xr:uid="{9A3A7A18-29B5-46C8-A0F0-7D66AC8A0618}"/>
    <cellStyle name="Comma 6 2 2" xfId="694" xr:uid="{2C7BAE51-BBBE-44BB-8AEA-F79C60D7EA7B}"/>
    <cellStyle name="Comma 6 2 2 2" xfId="2621" xr:uid="{FF7372FA-8719-41AA-8028-0940B2A48DFC}"/>
    <cellStyle name="Comma 6 2 2 2 2" xfId="3969" xr:uid="{000D1173-BE5A-4362-BB73-8FCA8103BE84}"/>
    <cellStyle name="Comma 6 2 2 2 2 2" xfId="8158" xr:uid="{6E256E5B-0152-4D72-B5C2-CEB0E184737A}"/>
    <cellStyle name="Comma 6 2 2 2 3" xfId="5290" xr:uid="{E58CCACE-0738-4B5B-8897-5627BD1CA449}"/>
    <cellStyle name="Comma 6 2 2 2 3 2" xfId="9461" xr:uid="{261A7306-0D07-400F-8346-E24B4D65AC1A}"/>
    <cellStyle name="Comma 6 2 2 2 4" xfId="6851" xr:uid="{E151AB62-983E-4BBB-8E4E-9529D0BA5902}"/>
    <cellStyle name="Comma 6 2 2 3" xfId="2375" xr:uid="{D40B2F0D-6EC4-4439-BD75-AB4950B9F8A6}"/>
    <cellStyle name="Comma 6 2 2 3 2" xfId="3729" xr:uid="{486E43DE-02FF-4E8E-8639-50669A78B9BF}"/>
    <cellStyle name="Comma 6 2 2 3 2 2" xfId="7918" xr:uid="{E19B1A7E-256A-471C-9AB9-7D6542594187}"/>
    <cellStyle name="Comma 6 2 2 3 3" xfId="5050" xr:uid="{9B304440-C1C0-4CC7-A200-E0C8CC2C562B}"/>
    <cellStyle name="Comma 6 2 2 3 3 2" xfId="9221" xr:uid="{7A494B0F-2281-45AD-B0E7-B58499D82BBD}"/>
    <cellStyle name="Comma 6 2 2 3 4" xfId="6611" xr:uid="{EDA515BD-3350-4E99-86AC-2754A4355EDC}"/>
    <cellStyle name="Comma 6 2 2 4" xfId="4305" xr:uid="{68EDCB38-8200-4E2A-9D2C-7D55C5DFA353}"/>
    <cellStyle name="Comma 6 2 2 4 2" xfId="8490" xr:uid="{55AD5F1A-D21D-4EF0-A6A5-E47603F9E5BA}"/>
    <cellStyle name="Comma 6 2 2 5" xfId="5874" xr:uid="{C9A5A399-9FFB-40A7-ACA9-B9ACB3875955}"/>
    <cellStyle name="Comma 6 2 3" xfId="2417" xr:uid="{8DFD4309-238D-4B89-B4B9-AD2BC809FCDA}"/>
    <cellStyle name="Comma 6 2 3 2" xfId="2657" xr:uid="{23F03672-9A51-4862-92C1-0CF311D95D08}"/>
    <cellStyle name="Comma 6 2 3 2 2" xfId="4005" xr:uid="{8657AB6C-1466-400A-A971-91D681FF7A54}"/>
    <cellStyle name="Comma 6 2 3 2 2 2" xfId="8194" xr:uid="{03A9A2BC-13DE-441D-A33B-0CDC6A08C458}"/>
    <cellStyle name="Comma 6 2 3 2 3" xfId="5326" xr:uid="{E04627C7-DA47-4D64-BC1F-5071125BC192}"/>
    <cellStyle name="Comma 6 2 3 2 3 2" xfId="9497" xr:uid="{2BB21971-EB43-4AD1-B7F1-731261D39C1C}"/>
    <cellStyle name="Comma 6 2 3 2 4" xfId="6887" xr:uid="{3349B020-F6C8-447A-8C7D-680EB6BA55B0}"/>
    <cellStyle name="Comma 6 2 3 3" xfId="3765" xr:uid="{4B5D0E7D-4855-4B5B-9F36-C56C93C242E5}"/>
    <cellStyle name="Comma 6 2 3 3 2" xfId="7954" xr:uid="{51A7EE00-4413-476F-94CE-ADE78EE2F8BC}"/>
    <cellStyle name="Comma 6 2 3 4" xfId="5086" xr:uid="{75DF9D3B-C74F-4305-8FB7-F321ABC2C3A7}"/>
    <cellStyle name="Comma 6 2 3 4 2" xfId="9257" xr:uid="{2764C67B-1C2A-4D69-B959-91264A850BC3}"/>
    <cellStyle name="Comma 6 2 3 5" xfId="6647" xr:uid="{0628D2E5-27E8-411B-B282-A3FE81FCCEA7}"/>
    <cellStyle name="Comma 6 2 4" xfId="2476" xr:uid="{47961B68-5E44-47EF-9452-CF38AB994C1B}"/>
    <cellStyle name="Comma 6 2 4 2" xfId="2716" xr:uid="{24F6ECA6-165B-4AC4-8F8A-83C3952FDFBF}"/>
    <cellStyle name="Comma 6 2 4 2 2" xfId="4064" xr:uid="{49ADFE64-A60A-4AA8-B5C1-9F5E2843FA06}"/>
    <cellStyle name="Comma 6 2 4 2 2 2" xfId="8253" xr:uid="{836ABC1B-C241-417A-B9B6-54EF79FBBC48}"/>
    <cellStyle name="Comma 6 2 4 2 3" xfId="5385" xr:uid="{FDFD8DA4-5D39-4423-A103-1DA8C32D1C05}"/>
    <cellStyle name="Comma 6 2 4 2 3 2" xfId="9556" xr:uid="{F874BEBB-EAA6-4F0F-ACBF-15CA67648A84}"/>
    <cellStyle name="Comma 6 2 4 2 4" xfId="6946" xr:uid="{B08AD1AB-6E50-4B98-B181-884177C1D0F5}"/>
    <cellStyle name="Comma 6 2 4 3" xfId="3824" xr:uid="{3E5AE6B2-886A-42EA-9271-048C215E5CA2}"/>
    <cellStyle name="Comma 6 2 4 3 2" xfId="8013" xr:uid="{B86656B7-EB7D-4C63-9E43-00AF08D02C4F}"/>
    <cellStyle name="Comma 6 2 4 4" xfId="5145" xr:uid="{F168BE72-9DA7-4E8E-A334-2A72C9A611F1}"/>
    <cellStyle name="Comma 6 2 4 4 2" xfId="9316" xr:uid="{FD88B4FC-7DD9-4C5B-8250-5237A30BDD0B}"/>
    <cellStyle name="Comma 6 2 4 5" xfId="6706" xr:uid="{7B107F71-ED02-43CF-9FE7-D541C2DC6BD8}"/>
    <cellStyle name="Comma 6 2 5" xfId="2557" xr:uid="{96615E94-8F98-44C2-B3A8-F71EDEC4646B}"/>
    <cellStyle name="Comma 6 2 5 2" xfId="3905" xr:uid="{4943D14F-43FE-4089-AAAB-E8E91C29F140}"/>
    <cellStyle name="Comma 6 2 5 2 2" xfId="8094" xr:uid="{6E82B4A5-BEF5-44F6-B727-3B2A438DB7F0}"/>
    <cellStyle name="Comma 6 2 5 3" xfId="5226" xr:uid="{1E2628B6-36A4-4960-9C52-CA0744D5E662}"/>
    <cellStyle name="Comma 6 2 5 3 2" xfId="9397" xr:uid="{8BBAB6A0-6C7A-4910-9CCB-1E9AEEA29795}"/>
    <cellStyle name="Comma 6 2 5 4" xfId="6787" xr:uid="{7050AD76-35D9-4AD4-B4BB-1A5F6E43F0F4}"/>
    <cellStyle name="Comma 6 2 6" xfId="2311" xr:uid="{F9CB6D79-F1F5-4FEB-907D-4BAFF2527CD3}"/>
    <cellStyle name="Comma 6 2 6 2" xfId="3665" xr:uid="{EC8667F7-9A07-48E8-BFE6-1B5C6A074D01}"/>
    <cellStyle name="Comma 6 2 6 2 2" xfId="7854" xr:uid="{C2BE13E1-124C-47AD-8B9F-568B4F572B08}"/>
    <cellStyle name="Comma 6 2 6 3" xfId="4986" xr:uid="{E86E09CD-638A-4F08-92F7-7371C867D702}"/>
    <cellStyle name="Comma 6 2 6 3 2" xfId="9157" xr:uid="{5482820C-A689-4C70-9B60-B4E9AF09FBD6}"/>
    <cellStyle name="Comma 6 2 6 4" xfId="6547" xr:uid="{F3DD2A50-42EE-4C40-A517-903BA2F9425B}"/>
    <cellStyle name="Comma 6 2 7" xfId="2150" xr:uid="{6C3AA767-F2D6-4EA4-8E3F-F760EE8150DC}"/>
    <cellStyle name="Comma 6 2 7 2" xfId="3584" xr:uid="{8799F6DA-C4F5-4124-AA45-B5EC273432B5}"/>
    <cellStyle name="Comma 6 2 7 2 2" xfId="7773" xr:uid="{B95409FC-842B-4CCE-BE1A-DE139C165B2B}"/>
    <cellStyle name="Comma 6 2 7 3" xfId="4905" xr:uid="{5EFD3F34-423C-4911-A344-D077D573AD9F}"/>
    <cellStyle name="Comma 6 2 7 3 2" xfId="9076" xr:uid="{9C20A3FE-0183-4F1D-ABC1-03662E6FCEBC}"/>
    <cellStyle name="Comma 6 2 7 4" xfId="6466" xr:uid="{1F29E671-3E67-4B1B-95A9-EF0C5B2FBDB1}"/>
    <cellStyle name="Comma 6 2 8" xfId="2950" xr:uid="{1B2D5B60-8CA5-4249-8A1C-6BFC3A73C5C8}"/>
    <cellStyle name="Comma 6 2 8 2" xfId="7153" xr:uid="{880901A8-6795-4C06-9F5C-92023F8883D0}"/>
    <cellStyle name="Comma 6 2 9" xfId="4261" xr:uid="{163769C9-0B93-41B2-8AD1-E1162EC9E7E3}"/>
    <cellStyle name="Comma 6 2 9 2" xfId="8446" xr:uid="{264F66E5-A110-4193-B547-DD138FA221E6}"/>
    <cellStyle name="Comma 6 3" xfId="2343" xr:uid="{440D0EFA-4069-4E8B-A0AF-4CD69E133F58}"/>
    <cellStyle name="Comma 6 3 2" xfId="2427" xr:uid="{2628443A-DF77-415A-9434-AC7E250EDCE7}"/>
    <cellStyle name="Comma 6 3 2 2" xfId="2667" xr:uid="{DAAA6835-40BC-4192-8C13-9FB3D9DBB9F5}"/>
    <cellStyle name="Comma 6 3 2 2 2" xfId="4015" xr:uid="{2C67C580-4539-4C04-AB08-1F1EA9E39597}"/>
    <cellStyle name="Comma 6 3 2 2 2 2" xfId="8204" xr:uid="{899D67A1-0AE2-4700-B49D-2C049DC46536}"/>
    <cellStyle name="Comma 6 3 2 2 3" xfId="5336" xr:uid="{3E44DD04-D43C-46DD-8424-5F290FA9A211}"/>
    <cellStyle name="Comma 6 3 2 2 3 2" xfId="9507" xr:uid="{D6C9EFD0-2E44-4DF4-A3EA-1051C399EB04}"/>
    <cellStyle name="Comma 6 3 2 2 4" xfId="6897" xr:uid="{D5CE7EF2-0C1A-4409-92EE-155E1405A1E9}"/>
    <cellStyle name="Comma 6 3 2 3" xfId="3775" xr:uid="{EC499EDB-01E4-4004-881E-8EECA9832D91}"/>
    <cellStyle name="Comma 6 3 2 3 2" xfId="7964" xr:uid="{A16F06FC-99C9-47C0-A843-8ABD73E935F9}"/>
    <cellStyle name="Comma 6 3 2 4" xfId="5096" xr:uid="{589EE21B-678C-463F-9BC7-1A3F273F677B}"/>
    <cellStyle name="Comma 6 3 2 4 2" xfId="9267" xr:uid="{28047192-DB74-4267-B5F0-62EFE056F1FE}"/>
    <cellStyle name="Comma 6 3 2 5" xfId="6657" xr:uid="{0930A4BA-50EB-4B80-BC46-990051097B5F}"/>
    <cellStyle name="Comma 6 3 3" xfId="2589" xr:uid="{C90A1E2C-833B-4193-A184-58909A70E429}"/>
    <cellStyle name="Comma 6 3 3 2" xfId="3937" xr:uid="{BB090EA9-D465-4A90-B78D-D366798FD1E1}"/>
    <cellStyle name="Comma 6 3 3 2 2" xfId="8126" xr:uid="{3A4C6B5F-D225-4F43-B134-827766CA5AA7}"/>
    <cellStyle name="Comma 6 3 3 3" xfId="5258" xr:uid="{E84121CF-43AA-449A-9BCF-CAE8CDCF8973}"/>
    <cellStyle name="Comma 6 3 3 3 2" xfId="9429" xr:uid="{14F8DB6C-46A0-4D0E-A62D-8E8D0BC6F683}"/>
    <cellStyle name="Comma 6 3 3 4" xfId="6819" xr:uid="{7B7D617D-C46D-405B-BC01-D8656A05D4DA}"/>
    <cellStyle name="Comma 6 3 4" xfId="3697" xr:uid="{B3D5DE4E-DBD4-4DF0-9D34-32013DB4067D}"/>
    <cellStyle name="Comma 6 3 4 2" xfId="7886" xr:uid="{DFB6ABE6-07D5-4C7F-92BB-DE20046EF478}"/>
    <cellStyle name="Comma 6 3 5" xfId="5018" xr:uid="{D81087BC-5CCB-4653-82D6-C7E13FC3E673}"/>
    <cellStyle name="Comma 6 3 5 2" xfId="9189" xr:uid="{A1F54F55-6A4C-4934-9942-F7F128BD9D21}"/>
    <cellStyle name="Comma 6 3 6" xfId="5480" xr:uid="{32EFFE0D-F1F3-45E5-8F1D-4609E4834055}"/>
    <cellStyle name="Comma 6 3 6 2" xfId="9611" xr:uid="{36FAA385-1811-4ABF-8F8D-DD32213CE1A3}"/>
    <cellStyle name="Comma 6 3 7" xfId="6579" xr:uid="{D0861B0B-4651-4BF8-BF37-4370D60E9048}"/>
    <cellStyle name="Comma 6 4" xfId="2407" xr:uid="{5CD1AA03-6C68-431E-8BF2-8EFD6966B9C8}"/>
    <cellStyle name="Comma 6 4 2" xfId="2647" xr:uid="{3240F45A-6209-4856-8A48-A0ECB1E8970D}"/>
    <cellStyle name="Comma 6 4 2 2" xfId="3995" xr:uid="{55152C42-0621-4A32-BCB1-90ACF1BFD54E}"/>
    <cellStyle name="Comma 6 4 2 2 2" xfId="8184" xr:uid="{BAB41A16-46E9-4E65-A05A-8A73BF2B276D}"/>
    <cellStyle name="Comma 6 4 2 3" xfId="5316" xr:uid="{119CD0C1-4CBE-4717-803F-0462D0E913E1}"/>
    <cellStyle name="Comma 6 4 2 3 2" xfId="9487" xr:uid="{49A8E1E8-811B-4505-B35E-6B53A36F8077}"/>
    <cellStyle name="Comma 6 4 2 4" xfId="6877" xr:uid="{F4E5C997-D864-4BCE-B2BF-9001DABBB868}"/>
    <cellStyle name="Comma 6 4 3" xfId="3755" xr:uid="{24400BD8-B9F9-4506-A058-08DD48AD3BFB}"/>
    <cellStyle name="Comma 6 4 3 2" xfId="7944" xr:uid="{E97807E0-0B47-4460-B974-9E47A9692FD5}"/>
    <cellStyle name="Comma 6 4 4" xfId="5076" xr:uid="{CF50CE8D-595B-4319-8C0A-635C4C62BB73}"/>
    <cellStyle name="Comma 6 4 4 2" xfId="9247" xr:uid="{73D1C4AC-39C5-4970-87C4-DE6F25C52520}"/>
    <cellStyle name="Comma 6 4 5" xfId="6637" xr:uid="{CEB6AA47-784A-4DB6-9053-46623CB1AFD1}"/>
    <cellStyle name="Comma 6 5" xfId="2444" xr:uid="{7689877E-D43B-4755-8E6D-C84E46DC8296}"/>
    <cellStyle name="Comma 6 5 2" xfId="2684" xr:uid="{42DD2BE0-7774-4759-8992-84091A21D749}"/>
    <cellStyle name="Comma 6 5 2 2" xfId="4032" xr:uid="{B1B80B50-2F0A-4830-9CF8-08759046E91A}"/>
    <cellStyle name="Comma 6 5 2 2 2" xfId="8221" xr:uid="{84865E32-0C62-4031-9B95-318CE5333E24}"/>
    <cellStyle name="Comma 6 5 2 3" xfId="5353" xr:uid="{F0515948-1DDC-4528-A67B-B38B013902CF}"/>
    <cellStyle name="Comma 6 5 2 3 2" xfId="9524" xr:uid="{33113E7E-67EC-481E-8D35-9329FC2D86BC}"/>
    <cellStyle name="Comma 6 5 2 4" xfId="6914" xr:uid="{ABA01890-4650-4B83-BF86-E49EFF5717A8}"/>
    <cellStyle name="Comma 6 5 3" xfId="3792" xr:uid="{D3187823-F616-4C09-A5C3-BD66E121D022}"/>
    <cellStyle name="Comma 6 5 3 2" xfId="7981" xr:uid="{1AF79980-5145-43D7-955C-14ADB6A130CD}"/>
    <cellStyle name="Comma 6 5 4" xfId="5113" xr:uid="{7951014F-3B6B-4FF4-BD68-E5CEB356569E}"/>
    <cellStyle name="Comma 6 5 4 2" xfId="9284" xr:uid="{A9261267-8EF0-4169-98AE-E31201615BDA}"/>
    <cellStyle name="Comma 6 5 5" xfId="6674" xr:uid="{514D1CA6-1EA9-46CD-9AC3-B65BBB6CFE4E}"/>
    <cellStyle name="Comma 6 6" xfId="2525" xr:uid="{6BE29DE6-05D5-4684-B825-A9AF6AA45888}"/>
    <cellStyle name="Comma 6 6 2" xfId="3873" xr:uid="{E0C41155-3209-4F14-9A40-168398C0836E}"/>
    <cellStyle name="Comma 6 6 2 2" xfId="8062" xr:uid="{AEE04942-F8B6-4B87-99F0-C20FA2EB6058}"/>
    <cellStyle name="Comma 6 6 3" xfId="5194" xr:uid="{43839767-E7C6-4F8F-A55C-097D58B6ACB5}"/>
    <cellStyle name="Comma 6 6 3 2" xfId="9365" xr:uid="{34A4DF2F-70B3-4EE9-91CE-DB6959CB5984}"/>
    <cellStyle name="Comma 6 6 4" xfId="6755" xr:uid="{4EC05659-45A5-4DBE-A46C-7968511844F0}"/>
    <cellStyle name="Comma 6 7" xfId="2279" xr:uid="{E0F283D0-7FFD-4938-8CCA-A79C815EF08A}"/>
    <cellStyle name="Comma 6 7 2" xfId="3633" xr:uid="{E7CEBB30-27B2-4466-944D-4CBBD6E6D3C6}"/>
    <cellStyle name="Comma 6 7 2 2" xfId="7822" xr:uid="{856EE5B8-F11E-4509-8C34-B66C114AB61C}"/>
    <cellStyle name="Comma 6 7 3" xfId="4954" xr:uid="{FBB4DFC8-1E0F-4600-A66B-DA0E480F1AFB}"/>
    <cellStyle name="Comma 6 7 3 2" xfId="9125" xr:uid="{1D9A6794-DDF7-47DF-92AC-88C7FDE0086B}"/>
    <cellStyle name="Comma 6 7 4" xfId="6515" xr:uid="{85BE628E-ED46-4B16-94E1-692F6F82463E}"/>
    <cellStyle name="Comma 6 8" xfId="2115" xr:uid="{385F5720-F20B-4408-8A44-47B54FF00B9E}"/>
    <cellStyle name="Comma 6 8 2" xfId="3552" xr:uid="{EFDEE1ED-F721-4746-843D-CC79BEF24E93}"/>
    <cellStyle name="Comma 6 8 2 2" xfId="7741" xr:uid="{1B74CF08-7768-4433-A7B2-3B1875E170A7}"/>
    <cellStyle name="Comma 6 8 3" xfId="4873" xr:uid="{2230F0ED-F457-4817-BA83-43804C6A02DA}"/>
    <cellStyle name="Comma 6 8 3 2" xfId="9044" xr:uid="{5EC24005-D6F7-4780-A778-87635A0C1E0C}"/>
    <cellStyle name="Comma 6 8 4" xfId="6434" xr:uid="{2AD34B64-8F3C-44BA-8EAE-562513C5DBBE}"/>
    <cellStyle name="Comma 6 9" xfId="4168" xr:uid="{2C25D5F6-DD84-41AC-AE83-59EF0C6B7FBE}"/>
    <cellStyle name="Comma 6 9 2" xfId="8357" xr:uid="{617D5C11-DF31-499E-84BD-5FEBDB384558}"/>
    <cellStyle name="Comma 7" xfId="182" xr:uid="{A78D9B65-F769-48B8-9D19-53AF3BDA4EB3}"/>
    <cellStyle name="Comma 7 10" xfId="5740" xr:uid="{C035C989-A1A2-4729-BAC1-EC160C499840}"/>
    <cellStyle name="Comma 7 2" xfId="183" xr:uid="{E7D49B4D-DA85-4154-AA65-8B72DB962780}"/>
    <cellStyle name="Comma 7 2 2" xfId="631" xr:uid="{5C37DC9C-3FB3-4EB8-BE3C-27BE873A90C2}"/>
    <cellStyle name="Comma 7 2 2 2" xfId="2605" xr:uid="{B183A299-8A9E-4DED-BDEB-13430BF3A54D}"/>
    <cellStyle name="Comma 7 2 2 2 2" xfId="3953" xr:uid="{BA0EB492-3CD8-4383-A4C9-5172415DB2C0}"/>
    <cellStyle name="Comma 7 2 2 2 2 2" xfId="8142" xr:uid="{481C28D8-580A-425A-9619-8B41B3CC31C0}"/>
    <cellStyle name="Comma 7 2 2 2 3" xfId="5274" xr:uid="{07DDA769-D837-489F-A3AB-721702299AE2}"/>
    <cellStyle name="Comma 7 2 2 2 3 2" xfId="9445" xr:uid="{22637B17-1F76-415A-907C-80FF4850A58C}"/>
    <cellStyle name="Comma 7 2 2 2 4" xfId="6835" xr:uid="{50DE7E13-8A90-4764-BF55-A0E8F76FC491}"/>
    <cellStyle name="Comma 7 2 2 3" xfId="2952" xr:uid="{1B323E1C-F1CC-4E0D-BFBD-B989387BED92}"/>
    <cellStyle name="Comma 7 2 2 3 2" xfId="7155" xr:uid="{82CB569D-CDDD-41D2-976C-6D01F719D02F}"/>
    <cellStyle name="Comma 7 2 2 4" xfId="4263" xr:uid="{7CA1E0E9-4377-4D88-BC98-422C135191B0}"/>
    <cellStyle name="Comma 7 2 2 4 2" xfId="8448" xr:uid="{E2D8DDA6-37C8-4068-9987-51CC9FE087A1}"/>
    <cellStyle name="Comma 7 2 2 5" xfId="5832" xr:uid="{6358F8FB-EADF-4087-ADDD-8900CF0F1D32}"/>
    <cellStyle name="Comma 7 2 3" xfId="2359" xr:uid="{C44412DB-D9F7-4C35-BC78-40F210369852}"/>
    <cellStyle name="Comma 7 2 3 2" xfId="3713" xr:uid="{45223F32-F11A-4FC7-9F45-5014D751864A}"/>
    <cellStyle name="Comma 7 2 3 2 2" xfId="7902" xr:uid="{166CFE32-B266-4C24-9FE7-822D8E8C7182}"/>
    <cellStyle name="Comma 7 2 3 3" xfId="5034" xr:uid="{E642E477-5AC7-4768-81EA-8976A253D917}"/>
    <cellStyle name="Comma 7 2 3 3 2" xfId="9205" xr:uid="{9A62729C-770F-42EC-9327-73BD55C1CCD7}"/>
    <cellStyle name="Comma 7 2 3 4" xfId="6595" xr:uid="{78E0E374-C600-45A9-9E87-B1D491E9B106}"/>
    <cellStyle name="Comma 7 2 4" xfId="2855" xr:uid="{B6B9E6EB-1FCF-4B1D-A6BC-2C4C2CB41E85}"/>
    <cellStyle name="Comma 7 2 4 2" xfId="7066" xr:uid="{2D202A3F-0BD1-47CA-8EB7-90812E451BBA}"/>
    <cellStyle name="Comma 7 2 5" xfId="4170" xr:uid="{3AC84DD8-9DEC-4E26-A60F-CB6C53BEE76F}"/>
    <cellStyle name="Comma 7 2 5 2" xfId="8359" xr:uid="{B94D06C0-833B-4FC2-A43A-D101E9C77CC9}"/>
    <cellStyle name="Comma 7 2 6" xfId="5741" xr:uid="{8099E238-D16B-4E60-9A91-AF47C261517A}"/>
    <cellStyle name="Comma 7 3" xfId="184" xr:uid="{8C439378-53CD-4E89-B6F1-7E9EEBD718C1}"/>
    <cellStyle name="Comma 7 3 2" xfId="632" xr:uid="{E3D4692F-169D-4148-B6E9-F3FA7ABDC218}"/>
    <cellStyle name="Comma 7 3 2 2" xfId="2638" xr:uid="{419A5E86-7C3D-45C9-89BB-51F9FF6EB83E}"/>
    <cellStyle name="Comma 7 3 2 2 2" xfId="3986" xr:uid="{2275D218-A5C4-4DC3-89AB-965B4820CA08}"/>
    <cellStyle name="Comma 7 3 2 2 2 2" xfId="8175" xr:uid="{C6C015DF-86C1-4B12-817B-D7CD8F45F70C}"/>
    <cellStyle name="Comma 7 3 2 2 3" xfId="5307" xr:uid="{E4281FF8-805D-4DBC-807B-16B89FF2CE58}"/>
    <cellStyle name="Comma 7 3 2 2 3 2" xfId="9478" xr:uid="{730079FC-A8B7-4C01-AC79-D356261B78E0}"/>
    <cellStyle name="Comma 7 3 2 2 4" xfId="6868" xr:uid="{8734B298-9032-41FB-8B89-783521BEC18B}"/>
    <cellStyle name="Comma 7 3 2 3" xfId="2953" xr:uid="{56DF97BE-833E-494F-90D9-BC5EE388F860}"/>
    <cellStyle name="Comma 7 3 2 3 2" xfId="7156" xr:uid="{BF03F833-CCC1-475D-B21D-C117B4BB13AD}"/>
    <cellStyle name="Comma 7 3 2 4" xfId="4264" xr:uid="{1CA24549-7640-4BF3-895B-2E2C2E67D792}"/>
    <cellStyle name="Comma 7 3 2 4 2" xfId="8449" xr:uid="{ED93CAC1-8A69-44A8-B6F2-5E35098F990F}"/>
    <cellStyle name="Comma 7 3 2 5" xfId="5833" xr:uid="{FCEFBC32-FE60-4303-8D23-577CAC814137}"/>
    <cellStyle name="Comma 7 3 3" xfId="2392" xr:uid="{493D266B-CF47-4E2D-A2B4-05DFE099FDAB}"/>
    <cellStyle name="Comma 7 3 3 2" xfId="3746" xr:uid="{190C9956-F8DB-4E88-9DB5-828A20076BB2}"/>
    <cellStyle name="Comma 7 3 3 2 2" xfId="7935" xr:uid="{C400CB7C-D454-4E95-889C-0C1D73DCDF34}"/>
    <cellStyle name="Comma 7 3 3 3" xfId="5067" xr:uid="{60F8CC7B-FFF6-4777-A947-0B3DC0C00E0F}"/>
    <cellStyle name="Comma 7 3 3 3 2" xfId="9238" xr:uid="{82E2E70C-780D-4B05-8713-8AD752B75B30}"/>
    <cellStyle name="Comma 7 3 3 4" xfId="6628" xr:uid="{B05E01B9-4EF6-4D14-A0C7-92F718781B00}"/>
    <cellStyle name="Comma 7 3 4" xfId="2856" xr:uid="{0AA44A0E-3C75-471E-BBEB-B93F68373C86}"/>
    <cellStyle name="Comma 7 3 4 2" xfId="7067" xr:uid="{193DC35D-3DC1-47A2-93C3-5DA77D18D55B}"/>
    <cellStyle name="Comma 7 3 5" xfId="4171" xr:uid="{BE1A383C-4D69-40BB-AE03-C86B227E620C}"/>
    <cellStyle name="Comma 7 3 5 2" xfId="8360" xr:uid="{B851F5BC-3435-4564-9D5E-317E44EC2418}"/>
    <cellStyle name="Comma 7 3 6" xfId="5742" xr:uid="{FCFA8AB3-0DA2-4387-9E03-1E8BA100795E}"/>
    <cellStyle name="Comma 7 4" xfId="630" xr:uid="{7F2B2D26-E98E-494D-AF1D-3C87C4D423F5}"/>
    <cellStyle name="Comma 7 4 2" xfId="2700" xr:uid="{FE573F4D-94A1-4C79-AD1B-A6F87F741C91}"/>
    <cellStyle name="Comma 7 4 2 2" xfId="4048" xr:uid="{70783612-4A7C-4455-8BAA-A330BF9DCE76}"/>
    <cellStyle name="Comma 7 4 2 2 2" xfId="8237" xr:uid="{0A39E43E-7C61-4F2D-A0E5-91186F68C1B0}"/>
    <cellStyle name="Comma 7 4 2 3" xfId="5369" xr:uid="{34558F65-D973-44C2-9AAF-32FBCE7D2AFA}"/>
    <cellStyle name="Comma 7 4 2 3 2" xfId="9540" xr:uid="{744592A2-2F63-4609-B7DF-9A43C378D78D}"/>
    <cellStyle name="Comma 7 4 2 4" xfId="6930" xr:uid="{96BACF86-83DF-4BDB-B762-4AECD1D11C1A}"/>
    <cellStyle name="Comma 7 4 3" xfId="2460" xr:uid="{3AD12FA8-5D42-4E35-97C6-1B984779CEF3}"/>
    <cellStyle name="Comma 7 4 3 2" xfId="3808" xr:uid="{9A210803-5979-4972-8478-2ED9092E8709}"/>
    <cellStyle name="Comma 7 4 3 2 2" xfId="7997" xr:uid="{A87377BF-0194-453C-BA8F-279E9494F3BA}"/>
    <cellStyle name="Comma 7 4 3 3" xfId="5129" xr:uid="{37B029CD-8B2D-4891-B6F9-5A7A62166453}"/>
    <cellStyle name="Comma 7 4 3 3 2" xfId="9300" xr:uid="{298B316E-EFF4-4074-86D8-560AF95DC08F}"/>
    <cellStyle name="Comma 7 4 3 4" xfId="6690" xr:uid="{DE74B7F7-34C0-4CA8-83C6-FD64BDAD9975}"/>
    <cellStyle name="Comma 7 4 4" xfId="2951" xr:uid="{99C9C441-AF76-4B6B-AFE2-D773BE979BF0}"/>
    <cellStyle name="Comma 7 4 4 2" xfId="7154" xr:uid="{0C71A04C-399A-43FF-B955-41D6635A70F3}"/>
    <cellStyle name="Comma 7 4 5" xfId="4262" xr:uid="{EF6B8E48-99FD-4903-9E4C-1919CF151757}"/>
    <cellStyle name="Comma 7 4 5 2" xfId="8447" xr:uid="{29849E61-2BD5-403C-A36A-31A9C331741F}"/>
    <cellStyle name="Comma 7 4 6" xfId="5831" xr:uid="{8818594A-2F42-43A5-B78E-8A0BB4D886F8}"/>
    <cellStyle name="Comma 7 5" xfId="1836" xr:uid="{2F022890-6380-4ED1-818F-D4AF66CC520A}"/>
    <cellStyle name="Comma 7 5 2" xfId="2541" xr:uid="{5FE2BF04-DD86-4978-9769-3D58F854152B}"/>
    <cellStyle name="Comma 7 5 2 2" xfId="3889" xr:uid="{B9BB7D00-4509-4605-A8DC-003968031E21}"/>
    <cellStyle name="Comma 7 5 2 2 2" xfId="8078" xr:uid="{D54CECE1-7AA6-40F2-BDDD-C5529BF8759F}"/>
    <cellStyle name="Comma 7 5 2 3" xfId="5210" xr:uid="{8080527F-E77D-46FD-87FB-98383F839161}"/>
    <cellStyle name="Comma 7 5 2 3 2" xfId="9381" xr:uid="{7AC977AD-CA26-4DA6-AEAF-B4087F00FAA2}"/>
    <cellStyle name="Comma 7 5 2 4" xfId="6771" xr:uid="{2C6D698A-01F5-4D63-AF73-F19BE8082E12}"/>
    <cellStyle name="Comma 7 5 3" xfId="4854" xr:uid="{33CBC52B-8710-463D-9592-429D3050DD23}"/>
    <cellStyle name="Comma 7 5 3 2" xfId="9025" xr:uid="{FEB46FDC-6A50-4FF8-8C56-F6E908AE3A3B}"/>
    <cellStyle name="Comma 7 5 4" xfId="6411" xr:uid="{6AE58190-CA13-407D-8F9D-6A69FACCBFC2}"/>
    <cellStyle name="Comma 7 6" xfId="2295" xr:uid="{BAE882D2-B492-4A86-BC1A-C846FFCD7ABE}"/>
    <cellStyle name="Comma 7 6 2" xfId="3649" xr:uid="{504FDC99-0997-4659-90FA-323D920D4F34}"/>
    <cellStyle name="Comma 7 6 2 2" xfId="7838" xr:uid="{306AC489-B71D-402D-A92F-CB1F8392795A}"/>
    <cellStyle name="Comma 7 6 3" xfId="4970" xr:uid="{35BA0771-98A9-4EE8-A18E-5CC1AF67DAAF}"/>
    <cellStyle name="Comma 7 6 3 2" xfId="9141" xr:uid="{5B1D828C-B52D-4666-8C63-F440B1653BDF}"/>
    <cellStyle name="Comma 7 6 4" xfId="6531" xr:uid="{3662F79C-EE22-4068-8D4B-F2E768394FDA}"/>
    <cellStyle name="Comma 7 7" xfId="2134" xr:uid="{994806B9-E317-4EF8-BC23-FF445194729A}"/>
    <cellStyle name="Comma 7 7 2" xfId="3568" xr:uid="{B6CEF1AD-1745-484D-A345-319C8A17C9B3}"/>
    <cellStyle name="Comma 7 7 2 2" xfId="7757" xr:uid="{4CD8BAFB-DE99-4BD0-BC36-7F6D97D3668F}"/>
    <cellStyle name="Comma 7 7 3" xfId="4889" xr:uid="{935C1214-1F51-4775-A099-3B16FAE3CEFE}"/>
    <cellStyle name="Comma 7 7 3 2" xfId="9060" xr:uid="{A3F836FE-36BE-4F14-BF31-43CDCFCCE850}"/>
    <cellStyle name="Comma 7 7 4" xfId="6450" xr:uid="{42D9334B-38B8-4F7E-8CDF-6855CDBD6B89}"/>
    <cellStyle name="Comma 7 8" xfId="2854" xr:uid="{904EA1A0-4924-448A-9DD4-F564B14C3D00}"/>
    <cellStyle name="Comma 7 8 2" xfId="7065" xr:uid="{31B4CCAB-6D41-4E2A-A340-D5F21C25425A}"/>
    <cellStyle name="Comma 7 9" xfId="4169" xr:uid="{0D526078-2304-494E-A77C-62765444ECC7}"/>
    <cellStyle name="Comma 7 9 2" xfId="8358" xr:uid="{9D8C19A3-8D18-4D90-99E9-4ACA42BB7544}"/>
    <cellStyle name="Comma 8" xfId="185" xr:uid="{97AC3ACC-5BB3-479A-9932-C7D6C092CE18}"/>
    <cellStyle name="Comma 8 2" xfId="186" xr:uid="{F8AABC71-A0B8-47CB-9A92-FD2C718FA408}"/>
    <cellStyle name="Comma 8 2 2" xfId="634" xr:uid="{E7B11A69-AC05-4BAC-9A14-554AEE76B572}"/>
    <cellStyle name="Comma 8 2 2 2" xfId="693" xr:uid="{BC9EC62D-2F40-4950-A6D8-D1BA0861993D}"/>
    <cellStyle name="Comma 8 2 2 2 2" xfId="1051" xr:uid="{C921645E-C5CF-4004-9C0F-4362500AC08E}"/>
    <cellStyle name="Comma 8 2 2 2 2 2" xfId="958" xr:uid="{1A3E2B07-9CA0-46F8-BFE2-B180515AC0A7}"/>
    <cellStyle name="Comma 8 2 2 2 2 2 2" xfId="3171" xr:uid="{A6C84C6A-7D32-4A25-8B72-489E74F06076}"/>
    <cellStyle name="Comma 8 2 2 2 2 2 2 2" xfId="7372" xr:uid="{3E96BC51-D652-4827-8B21-7988A9B65E09}"/>
    <cellStyle name="Comma 8 2 2 2 2 2 3" xfId="4487" xr:uid="{8396E3EE-5016-44AB-997E-D3E5BE20C7AE}"/>
    <cellStyle name="Comma 8 2 2 2 2 2 3 2" xfId="8670" xr:uid="{F45DEB0D-A737-4582-BF6F-92AA99409935}"/>
    <cellStyle name="Comma 8 2 2 2 2 2 4" xfId="6055" xr:uid="{3E4A8C3B-6031-4267-A3E6-38147F162036}"/>
    <cellStyle name="Comma 8 2 2 2 2 3" xfId="3258" xr:uid="{EE9ED463-0DA4-4C42-86A9-E4E2E1D33855}"/>
    <cellStyle name="Comma 8 2 2 2 2 3 2" xfId="7456" xr:uid="{BF351AD7-E119-4E06-8583-756C0CD6C5BC}"/>
    <cellStyle name="Comma 8 2 2 2 2 4" xfId="4575" xr:uid="{85D74B72-D0D7-4DDE-AA81-A09DB6959676}"/>
    <cellStyle name="Comma 8 2 2 2 2 4 2" xfId="8755" xr:uid="{F5E37E5A-77B8-43E8-BF5A-020BBB8A1464}"/>
    <cellStyle name="Comma 8 2 2 2 2 5" xfId="6140" xr:uid="{2611736B-324E-4B89-9056-9A023D1529DC}"/>
    <cellStyle name="Comma 8 2 2 2 3" xfId="882" xr:uid="{5F4CA44A-09E1-4F9A-8D23-D3C4049179AB}"/>
    <cellStyle name="Comma 8 2 2 2 3 2" xfId="3115" xr:uid="{4C521452-7B3F-4578-A6B6-D78EA4A359B2}"/>
    <cellStyle name="Comma 8 2 2 2 3 2 2" xfId="7316" xr:uid="{174E95DC-E7BB-4600-B56A-38E4337B1A56}"/>
    <cellStyle name="Comma 8 2 2 2 3 3" xfId="4430" xr:uid="{DEA7AD44-1047-4776-ADC1-1446077CB7DD}"/>
    <cellStyle name="Comma 8 2 2 2 3 3 2" xfId="8613" xr:uid="{EC9C6D2A-F14A-40A0-90D2-CBD87A2536DB}"/>
    <cellStyle name="Comma 8 2 2 2 3 4" xfId="5997" xr:uid="{D705E6C3-5E70-4F87-B4AB-91C5173FDAF6}"/>
    <cellStyle name="Comma 8 2 2 2 4" xfId="2991" xr:uid="{DA355F67-26C9-4DEE-B217-803A3EB7C065}"/>
    <cellStyle name="Comma 8 2 2 2 4 2" xfId="7194" xr:uid="{45240577-0B98-4088-B887-5EE9B5EAF637}"/>
    <cellStyle name="Comma 8 2 2 2 5" xfId="4304" xr:uid="{D5826A5A-5AA9-48E3-8872-197A50A9C2C6}"/>
    <cellStyle name="Comma 8 2 2 2 5 2" xfId="8489" xr:uid="{CB7A8F78-6C84-4619-80D4-239BD0A32BE6}"/>
    <cellStyle name="Comma 8 2 2 2 6" xfId="5873" xr:uid="{148498AC-B186-4C0C-92E0-A2CA3AAD2C6C}"/>
    <cellStyle name="Comma 8 2 2 3" xfId="1329" xr:uid="{CB37DE83-7A4B-4FFD-9CDF-FD99920F4256}"/>
    <cellStyle name="Comma 8 2 2 3 2" xfId="1316" xr:uid="{03D9C743-EC2C-4990-8686-BE35DE92F8AE}"/>
    <cellStyle name="Comma 8 2 2 3 2 2" xfId="3492" xr:uid="{1F81BD8F-70A7-42D2-A020-0F06A6F75524}"/>
    <cellStyle name="Comma 8 2 2 3 2 2 2" xfId="7689" xr:uid="{97D4B59B-470B-453E-B490-B7E1B936AF33}"/>
    <cellStyle name="Comma 8 2 2 3 2 3" xfId="4811" xr:uid="{7D21C1B0-A0AC-434E-BE23-F89E1F0E274F}"/>
    <cellStyle name="Comma 8 2 2 3 2 3 2" xfId="8990" xr:uid="{398E8144-3178-4FED-9F6A-A0E5EA16ED81}"/>
    <cellStyle name="Comma 8 2 2 3 2 4" xfId="6375" xr:uid="{60EAC9A2-787D-4D90-8337-B71F1D3E1A08}"/>
    <cellStyle name="Comma 8 2 2 3 3" xfId="3503" xr:uid="{E1FDAD58-E597-4F68-8658-782C834F49D6}"/>
    <cellStyle name="Comma 8 2 2 3 3 2" xfId="7700" xr:uid="{BF68FBAB-6AB7-44E9-9711-7D797F66A1D5}"/>
    <cellStyle name="Comma 8 2 2 3 4" xfId="4822" xr:uid="{2A89E254-8AF8-491A-943C-C3E08FBA865D}"/>
    <cellStyle name="Comma 8 2 2 3 4 2" xfId="9001" xr:uid="{E7F2EB0F-C72A-4E22-A1C6-8BEC5ADE82D2}"/>
    <cellStyle name="Comma 8 2 2 3 5" xfId="6386" xr:uid="{8A345C9E-6F43-4BD4-A859-2B0FEA250F2A}"/>
    <cellStyle name="Comma 8 2 2 4" xfId="1325" xr:uid="{A2D436DC-478E-49F0-95CE-10298A17BAB5}"/>
    <cellStyle name="Comma 8 2 2 4 2" xfId="3501" xr:uid="{7EDD3C8D-A023-42B8-BFFC-1D023CF5152F}"/>
    <cellStyle name="Comma 8 2 2 4 2 2" xfId="7698" xr:uid="{4C5E4BA6-E9A4-4EA0-9280-8453A19562D9}"/>
    <cellStyle name="Comma 8 2 2 4 3" xfId="4820" xr:uid="{26EDA4D4-8448-4F67-A990-3D5478484C1A}"/>
    <cellStyle name="Comma 8 2 2 4 3 2" xfId="8999" xr:uid="{EA115EA5-33E0-4645-8834-856D11AD2016}"/>
    <cellStyle name="Comma 8 2 2 4 4" xfId="6384" xr:uid="{89C55E95-3717-4FF1-8560-D44E479BD4CC}"/>
    <cellStyle name="Comma 8 2 2 5" xfId="1311" xr:uid="{660355FD-3985-4ADB-B1E9-BD9354FB5D83}"/>
    <cellStyle name="Comma 8 2 2 5 2" xfId="3487" xr:uid="{E45448C5-7DBB-4108-B1DC-A4FBBB1C8A80}"/>
    <cellStyle name="Comma 8 2 2 5 2 2" xfId="7684" xr:uid="{176B0BA2-7CD2-4DD1-BB62-ABBC33A2D68A}"/>
    <cellStyle name="Comma 8 2 2 5 3" xfId="4806" xr:uid="{7E27D5FF-4975-4C36-AD64-5CF5B1F8C87B}"/>
    <cellStyle name="Comma 8 2 2 5 3 2" xfId="8985" xr:uid="{237DC0BD-7841-4558-95F9-50DFBF06E73B}"/>
    <cellStyle name="Comma 8 2 2 5 4" xfId="6370" xr:uid="{1CD71A2A-0EAD-42FF-8D87-D9CDA253691C}"/>
    <cellStyle name="Comma 8 2 2 6" xfId="2648" xr:uid="{E0688C58-2933-4AD8-9E58-989D8164EFD8}"/>
    <cellStyle name="Comma 8 2 2 6 2" xfId="3996" xr:uid="{B40BBD26-790C-4B97-B977-5765930F02B6}"/>
    <cellStyle name="Comma 8 2 2 6 2 2" xfId="8185" xr:uid="{0170BB63-B10B-49C8-9C85-339FB2FF54BA}"/>
    <cellStyle name="Comma 8 2 2 6 3" xfId="5317" xr:uid="{4880FA85-D33F-4923-A4F5-DAAC528E9E56}"/>
    <cellStyle name="Comma 8 2 2 6 3 2" xfId="9488" xr:uid="{804F688C-AE95-4A9B-8671-5398209E0059}"/>
    <cellStyle name="Comma 8 2 2 6 4" xfId="6878" xr:uid="{99045D11-F16D-403C-B636-16ADA3725185}"/>
    <cellStyle name="Comma 8 2 2 7" xfId="2955" xr:uid="{4B937280-17D2-4958-A87C-A1FAD9CBA622}"/>
    <cellStyle name="Comma 8 2 2 7 2" xfId="7158" xr:uid="{4DD927A9-DE42-4E93-A336-606169ECFAB2}"/>
    <cellStyle name="Comma 8 2 2 8" xfId="4266" xr:uid="{8D2E6E90-2B87-4903-8546-FC9004823E20}"/>
    <cellStyle name="Comma 8 2 2 8 2" xfId="8451" xr:uid="{FB7DAB53-C223-43D9-B21E-4654ACD506CB}"/>
    <cellStyle name="Comma 8 2 2 9" xfId="5835" xr:uid="{F73D8CD8-4DB8-4364-839E-FEE04DB60567}"/>
    <cellStyle name="Comma 8 2 3" xfId="732" xr:uid="{175DC34B-CA55-40C4-A25A-22A9D2EF5F64}"/>
    <cellStyle name="Comma 8 2 3 2" xfId="1371" xr:uid="{8D32AFCF-C2F6-468C-AAED-6F2D33B74EAC}"/>
    <cellStyle name="Comma 8 2 3 2 2" xfId="1062" xr:uid="{6C434133-BE4D-4EA7-829E-D6F203557A00}"/>
    <cellStyle name="Comma 8 2 3 2 2 2" xfId="3264" xr:uid="{9DF94719-4062-44C8-B4DA-6808D2AD45D4}"/>
    <cellStyle name="Comma 8 2 3 2 2 2 2" xfId="7462" xr:uid="{6997833B-DF61-478A-B61F-52F1631B190D}"/>
    <cellStyle name="Comma 8 2 3 2 2 3" xfId="4581" xr:uid="{BE819709-91A6-46E1-8766-A0CEC2091C91}"/>
    <cellStyle name="Comma 8 2 3 2 2 3 2" xfId="8761" xr:uid="{6005676F-970F-4554-A59E-C7FE54AF7BDF}"/>
    <cellStyle name="Comma 8 2 3 2 2 4" xfId="6146" xr:uid="{91FD921B-D1BF-40EF-A0E0-22AEB5C27CC0}"/>
    <cellStyle name="Comma 8 2 3 2 3" xfId="3518" xr:uid="{F371B87A-F301-422F-A36D-4CCEB1ABBA1E}"/>
    <cellStyle name="Comma 8 2 3 2 3 2" xfId="7715" xr:uid="{FDDE6974-095E-4B42-BFEE-ED22343DB986}"/>
    <cellStyle name="Comma 8 2 3 2 4" xfId="4838" xr:uid="{8373DA9E-2B3B-4675-AD55-CBE14ECD2BE4}"/>
    <cellStyle name="Comma 8 2 3 2 4 2" xfId="9017" xr:uid="{E49E97F7-402C-4CE3-8569-0BB9A4CFF112}"/>
    <cellStyle name="Comma 8 2 3 2 5" xfId="6402" xr:uid="{533AF42B-D5C9-4C24-B4A4-0433BCCE40EB}"/>
    <cellStyle name="Comma 8 2 3 3" xfId="957" xr:uid="{E1ABE694-FD63-4105-9B08-B150AD9493CE}"/>
    <cellStyle name="Comma 8 2 3 3 2" xfId="3170" xr:uid="{08356256-BE52-40FE-A365-CE8BBFC9EBC8}"/>
    <cellStyle name="Comma 8 2 3 3 2 2" xfId="7371" xr:uid="{676B8B0D-30D7-49A9-8F8C-20434EC74871}"/>
    <cellStyle name="Comma 8 2 3 3 3" xfId="4486" xr:uid="{81907327-8266-4607-B822-E41D603322C7}"/>
    <cellStyle name="Comma 8 2 3 3 3 2" xfId="8669" xr:uid="{E073D45B-F6F7-4440-AB44-B0F607B49DF9}"/>
    <cellStyle name="Comma 8 2 3 3 4" xfId="6054" xr:uid="{6D3AC638-A4BF-447F-A14B-1C0DF1F053C9}"/>
    <cellStyle name="Comma 8 2 3 4" xfId="3014" xr:uid="{98BDC687-55EF-49F2-A3E9-BB76C4456276}"/>
    <cellStyle name="Comma 8 2 3 4 2" xfId="7217" xr:uid="{61B3BF8E-F089-4799-8004-EE5D82ECBEF5}"/>
    <cellStyle name="Comma 8 2 3 5" xfId="4329" xr:uid="{85BEB2A2-FA6C-46DA-A0D7-62E9FF414B3E}"/>
    <cellStyle name="Comma 8 2 3 5 2" xfId="8514" xr:uid="{3E284D35-5591-46E7-AB01-CEFD61EB0DBA}"/>
    <cellStyle name="Comma 8 2 3 6" xfId="5898" xr:uid="{8B288C40-776E-47C1-9589-2F158A3A1ECE}"/>
    <cellStyle name="Comma 8 2 4" xfId="1305" xr:uid="{748858E4-41F2-46BF-B157-D4BC054B7DF7}"/>
    <cellStyle name="Comma 8 2 4 2" xfId="1063" xr:uid="{E9EF2257-4DDA-4CC2-BF30-AE5D0EFFEF24}"/>
    <cellStyle name="Comma 8 2 4 2 2" xfId="3265" xr:uid="{D116EB56-8187-4E34-B333-BA075A0EFA04}"/>
    <cellStyle name="Comma 8 2 4 2 2 2" xfId="7463" xr:uid="{6BB3F639-00E6-4869-A9AC-DDA3F97D6A81}"/>
    <cellStyle name="Comma 8 2 4 2 3" xfId="4582" xr:uid="{53FD8C19-AE39-49C7-B0DD-147E120FF14D}"/>
    <cellStyle name="Comma 8 2 4 2 3 2" xfId="8762" xr:uid="{1EA2ECF3-0C5D-46F1-BD67-B67E49170F14}"/>
    <cellStyle name="Comma 8 2 4 2 4" xfId="6147" xr:uid="{E39E11C9-5020-45CB-8679-0BBA34F85EDE}"/>
    <cellStyle name="Comma 8 2 4 3" xfId="3484" xr:uid="{D4502DDD-7FE7-4FF7-A332-94E9ED1A897A}"/>
    <cellStyle name="Comma 8 2 4 3 2" xfId="7681" xr:uid="{12EC8DFF-90E9-4A09-ABF9-BA2501EBF07C}"/>
    <cellStyle name="Comma 8 2 4 4" xfId="4803" xr:uid="{84FDEC69-33EC-4988-83A9-E827634A0DCA}"/>
    <cellStyle name="Comma 8 2 4 4 2" xfId="8982" xr:uid="{E19850AA-AC61-45C4-90B0-919EBB7D6705}"/>
    <cellStyle name="Comma 8 2 4 5" xfId="6367" xr:uid="{88A44B07-E693-4703-A01B-D1370561D6C8}"/>
    <cellStyle name="Comma 8 2 5" xfId="2408" xr:uid="{F120F308-BAAD-41CB-8239-44F4C5FEE9E8}"/>
    <cellStyle name="Comma 8 2 5 2" xfId="3756" xr:uid="{47DC4049-DE09-483B-9B41-E91B64818475}"/>
    <cellStyle name="Comma 8 2 5 2 2" xfId="7945" xr:uid="{97E35250-807A-4057-8BD0-E7DBA2264EDA}"/>
    <cellStyle name="Comma 8 2 5 3" xfId="5077" xr:uid="{4F7D87A5-F16A-49BE-BBE5-CDE86337ED95}"/>
    <cellStyle name="Comma 8 2 5 3 2" xfId="9248" xr:uid="{71F9994E-B2D4-4D1F-9848-EE5BF69819F1}"/>
    <cellStyle name="Comma 8 2 5 4" xfId="6638" xr:uid="{6DB8826F-117E-4CD7-A0B2-DDC8E61EE960}"/>
    <cellStyle name="Comma 8 2 6" xfId="2858" xr:uid="{ABCA25C3-669A-4C8B-A1DA-7550642554E9}"/>
    <cellStyle name="Comma 8 2 6 2" xfId="7069" xr:uid="{A18D9624-7B50-4B32-B2CD-DD911D41C667}"/>
    <cellStyle name="Comma 8 2 7" xfId="4173" xr:uid="{43F6AC3A-EB8B-4D20-8337-D1BAD44901FD}"/>
    <cellStyle name="Comma 8 2 7 2" xfId="8362" xr:uid="{BA0D29E3-1F4B-40F4-A41F-0F887E315B56}"/>
    <cellStyle name="Comma 8 2 8" xfId="5744" xr:uid="{72DDE67F-4F89-40F6-A4DE-CE632E524938}"/>
    <cellStyle name="Comma 8 3" xfId="187" xr:uid="{661D5941-1065-4984-8055-A01C6D0D9FF6}"/>
    <cellStyle name="Comma 8 3 2" xfId="635" xr:uid="{1E0BD910-0CBF-4AAF-AE77-DB92BA02D31B}"/>
    <cellStyle name="Comma 8 3 2 2" xfId="2732" xr:uid="{FDCBAAC6-604A-414A-86D4-4E5901296658}"/>
    <cellStyle name="Comma 8 3 2 2 2" xfId="4080" xr:uid="{268E8B08-1BD6-4627-9DA8-48DF02033B7A}"/>
    <cellStyle name="Comma 8 3 2 2 2 2" xfId="8269" xr:uid="{495D1A62-377D-4BF0-B2C7-A220CF7077D3}"/>
    <cellStyle name="Comma 8 3 2 2 3" xfId="5401" xr:uid="{EEFD18B3-EDFD-4C87-B4EB-B1EEE5225960}"/>
    <cellStyle name="Comma 8 3 2 2 3 2" xfId="9572" xr:uid="{1D71CF11-043E-4D78-A9EF-2A0DF4FEA0C1}"/>
    <cellStyle name="Comma 8 3 2 2 4" xfId="6962" xr:uid="{254DDC15-49B9-4375-9A12-E819DD6F8E5C}"/>
    <cellStyle name="Comma 8 3 2 3" xfId="2956" xr:uid="{292D8380-EEA3-47CF-AB42-155CE33E1382}"/>
    <cellStyle name="Comma 8 3 2 3 2" xfId="7159" xr:uid="{1004146F-CC92-4DD4-9743-1BAF9E8F239C}"/>
    <cellStyle name="Comma 8 3 2 4" xfId="4267" xr:uid="{C373C130-26D4-4E11-BEBF-CBBF54F28D0D}"/>
    <cellStyle name="Comma 8 3 2 4 2" xfId="8452" xr:uid="{E4C70A2F-6E1D-4B14-80D5-FA4A29D5B891}"/>
    <cellStyle name="Comma 8 3 2 5" xfId="5836" xr:uid="{A2C75BCE-F8F8-4DDC-8779-26FC129AE50E}"/>
    <cellStyle name="Comma 8 3 3" xfId="2492" xr:uid="{84658A27-7498-47F3-8196-6E57B8DD293D}"/>
    <cellStyle name="Comma 8 3 3 2" xfId="3840" xr:uid="{EA191D26-9356-40FF-B6DF-8C2496E8CB28}"/>
    <cellStyle name="Comma 8 3 3 2 2" xfId="8029" xr:uid="{F7E53F24-F488-43A0-9E70-D1CC4C3F6AED}"/>
    <cellStyle name="Comma 8 3 3 3" xfId="5161" xr:uid="{BD6D6D14-6D0E-4755-B947-9586797A807E}"/>
    <cellStyle name="Comma 8 3 3 3 2" xfId="9332" xr:uid="{397C678C-00D1-4B0F-B431-2C7F66492A03}"/>
    <cellStyle name="Comma 8 3 3 4" xfId="6722" xr:uid="{023BD526-F290-4F52-8D05-0685DCE89E89}"/>
    <cellStyle name="Comma 8 3 4" xfId="2859" xr:uid="{1D122AC8-D6EB-4D8C-AA20-FDFE0DF3ED41}"/>
    <cellStyle name="Comma 8 3 4 2" xfId="7070" xr:uid="{09FA0422-30F4-45C3-B048-AD95AB5BE04E}"/>
    <cellStyle name="Comma 8 3 5" xfId="4174" xr:uid="{D25A1F50-383E-4268-B6B8-43179D165CCD}"/>
    <cellStyle name="Comma 8 3 5 2" xfId="8363" xr:uid="{5B7EB06D-2C65-470D-82DE-8A3F5D980DF0}"/>
    <cellStyle name="Comma 8 3 6" xfId="5745" xr:uid="{1F4919C3-F650-4A57-BE80-E6F59ED99A0F}"/>
    <cellStyle name="Comma 8 4" xfId="188" xr:uid="{27EB71E8-9D72-42C1-A7F6-80096FD8A0D7}"/>
    <cellStyle name="Comma 8 4 2" xfId="636" xr:uid="{E319E77C-627C-469E-A96D-6AD2DB0BBA75}"/>
    <cellStyle name="Comma 8 4 2 2" xfId="2957" xr:uid="{7E542DE7-B7E7-463C-B8C8-8A6D3F058581}"/>
    <cellStyle name="Comma 8 4 2 2 2" xfId="7160" xr:uid="{9B513E5A-AE02-41AD-8C6D-C212263AF1CA}"/>
    <cellStyle name="Comma 8 4 2 3" xfId="4268" xr:uid="{C5F80CFF-E857-494A-AAC7-E24A1F09613D}"/>
    <cellStyle name="Comma 8 4 2 3 2" xfId="8453" xr:uid="{D0F64AA5-79AA-4810-9A5E-CF2AA9BDA1E9}"/>
    <cellStyle name="Comma 8 4 2 4" xfId="5837" xr:uid="{846E8D09-62F4-4B15-9B3B-9BEC11ECB16A}"/>
    <cellStyle name="Comma 8 4 3" xfId="2509" xr:uid="{35D8CC53-75B9-45D7-8E20-237476831F8B}"/>
    <cellStyle name="Comma 8 4 3 2" xfId="3857" xr:uid="{D811BA9A-7CCB-463B-A250-9A3712460E11}"/>
    <cellStyle name="Comma 8 4 3 2 2" xfId="8046" xr:uid="{31FE7FE6-D596-42A6-8368-593E3F7C9BAA}"/>
    <cellStyle name="Comma 8 4 3 3" xfId="5178" xr:uid="{E1125957-573C-4031-BAA1-24A3F8226E44}"/>
    <cellStyle name="Comma 8 4 3 3 2" xfId="9349" xr:uid="{F1A7D9C4-531A-421D-AD3E-35DDCAE17484}"/>
    <cellStyle name="Comma 8 4 3 4" xfId="6739" xr:uid="{390B8310-DCE3-42DB-B4E6-323A15307978}"/>
    <cellStyle name="Comma 8 4 4" xfId="2860" xr:uid="{9EF212E8-5FFC-4CF3-BC89-BCB9236F4A87}"/>
    <cellStyle name="Comma 8 4 4 2" xfId="7071" xr:uid="{F0D8B9A2-52E8-4C2A-B9FE-44EE98D6E2F0}"/>
    <cellStyle name="Comma 8 4 5" xfId="4175" xr:uid="{12215C02-A251-4B4A-97E4-D8C60C9CBB2A}"/>
    <cellStyle name="Comma 8 4 5 2" xfId="8364" xr:uid="{A5BDFC3E-55CF-4F81-96E5-7E7F5DD0DB88}"/>
    <cellStyle name="Comma 8 4 6" xfId="5746" xr:uid="{76E58EAB-42D5-477C-90AD-FEEC1112D1B9}"/>
    <cellStyle name="Comma 8 5" xfId="633" xr:uid="{03CC14D9-39F4-4DA2-ACC1-DB6E75798761}"/>
    <cellStyle name="Comma 8 5 10" xfId="5834" xr:uid="{F3AB73E7-DDDF-4003-B7BB-8B5275A05147}"/>
    <cellStyle name="Comma 8 5 2" xfId="1057" xr:uid="{320C1488-56BE-429E-9625-CA2292772898}"/>
    <cellStyle name="Comma 8 5 2 2" xfId="1317" xr:uid="{0745F1D9-47EA-427A-978F-FF0447C689E8}"/>
    <cellStyle name="Comma 8 5 2 2 2" xfId="692" xr:uid="{6B7058B2-83C5-4B60-B16C-526173E12290}"/>
    <cellStyle name="Comma 8 5 2 2 2 2" xfId="842" xr:uid="{9CE7DD75-8559-4B88-BE94-373AE39B8B20}"/>
    <cellStyle name="Comma 8 5 2 2 2 2 2" xfId="3085" xr:uid="{77C12E59-3A2B-40F0-B1E5-8C94883E4433}"/>
    <cellStyle name="Comma 8 5 2 2 2 2 2 2" xfId="7286" xr:uid="{328EB09A-88AB-4F54-B570-01020063CB68}"/>
    <cellStyle name="Comma 8 5 2 2 2 2 3" xfId="4400" xr:uid="{461D9D1B-734E-4E7A-8890-10E62676D871}"/>
    <cellStyle name="Comma 8 5 2 2 2 2 3 2" xfId="8583" xr:uid="{A1146DD9-5F70-47FD-8F96-8224F1618681}"/>
    <cellStyle name="Comma 8 5 2 2 2 2 4" xfId="5967" xr:uid="{BBE6E6E0-BD4D-4815-9DD9-AACA4B91C1CA}"/>
    <cellStyle name="Comma 8 5 2 2 2 3" xfId="2990" xr:uid="{21BB7316-770F-4D35-9441-B1BF54A1C692}"/>
    <cellStyle name="Comma 8 5 2 2 2 3 2" xfId="7193" xr:uid="{204889E1-A5E2-4BA7-A422-AEF7B54BF945}"/>
    <cellStyle name="Comma 8 5 2 2 2 4" xfId="4303" xr:uid="{A069E626-BD8F-481C-A8F4-FA23F963B80C}"/>
    <cellStyle name="Comma 8 5 2 2 2 4 2" xfId="8488" xr:uid="{7D7001C1-287C-4151-95C8-A7FAF38C8B7C}"/>
    <cellStyle name="Comma 8 5 2 2 2 5" xfId="5872" xr:uid="{22FF6C44-7A71-4D7C-846B-804FBE1FC8DD}"/>
    <cellStyle name="Comma 8 5 2 2 3" xfId="731" xr:uid="{D9F4300D-D727-423C-902C-284797037C05}"/>
    <cellStyle name="Comma 8 5 2 2 3 2" xfId="3013" xr:uid="{B1B3427F-43D3-494B-8713-C2045BF8053C}"/>
    <cellStyle name="Comma 8 5 2 2 3 2 2" xfId="7216" xr:uid="{BBBB5C99-26EB-4565-8BEE-6F1479F9963D}"/>
    <cellStyle name="Comma 8 5 2 2 3 3" xfId="4328" xr:uid="{7F771179-0381-419D-8270-6F3E8515798D}"/>
    <cellStyle name="Comma 8 5 2 2 3 3 2" xfId="8513" xr:uid="{19D4E20B-39C5-45A7-85D8-5EAF4883BD16}"/>
    <cellStyle name="Comma 8 5 2 2 3 4" xfId="5897" xr:uid="{3F316559-D208-40A5-981A-382D2003F5E5}"/>
    <cellStyle name="Comma 8 5 2 2 4" xfId="3493" xr:uid="{E7D6ADE7-DC20-4EA0-94C6-75B64D9FAD1A}"/>
    <cellStyle name="Comma 8 5 2 2 4 2" xfId="7690" xr:uid="{1BC7A8D2-07DD-4051-AB14-6EB81ED6612F}"/>
    <cellStyle name="Comma 8 5 2 2 5" xfId="4812" xr:uid="{05C82FCF-0777-4314-B7C6-46250560A38D}"/>
    <cellStyle name="Comma 8 5 2 2 5 2" xfId="8991" xr:uid="{BCE86740-4CAA-4AA3-9CD1-726DFC24EED7}"/>
    <cellStyle name="Comma 8 5 2 2 6" xfId="6376" xr:uid="{D1DA0FFA-9996-47AA-92D0-73A6D77D8334}"/>
    <cellStyle name="Comma 8 5 2 3" xfId="883" xr:uid="{EB7553FE-7F0B-4359-9C3A-747A965CE196}"/>
    <cellStyle name="Comma 8 5 2 3 2" xfId="841" xr:uid="{5992C0DC-F8D8-43F9-9F13-A9790F936168}"/>
    <cellStyle name="Comma 8 5 2 3 2 2" xfId="3084" xr:uid="{759E2334-7FD0-4207-A026-279753668E57}"/>
    <cellStyle name="Comma 8 5 2 3 2 2 2" xfId="7285" xr:uid="{1DBF3D30-3054-4219-955E-1B9131837CB4}"/>
    <cellStyle name="Comma 8 5 2 3 2 3" xfId="4399" xr:uid="{015269A5-29EC-4AC7-AA28-C1891B725C80}"/>
    <cellStyle name="Comma 8 5 2 3 2 3 2" xfId="8582" xr:uid="{46A74D16-1D7B-4F01-8669-34C0800D204A}"/>
    <cellStyle name="Comma 8 5 2 3 2 4" xfId="5966" xr:uid="{36034656-5CB8-4651-896A-3BC17DBB3217}"/>
    <cellStyle name="Comma 8 5 2 3 3" xfId="3116" xr:uid="{AE65DE04-DC01-4543-BEAD-0484D649E8FF}"/>
    <cellStyle name="Comma 8 5 2 3 3 2" xfId="7317" xr:uid="{EE945C55-7881-44D5-BF04-DAD0705B6A83}"/>
    <cellStyle name="Comma 8 5 2 3 4" xfId="4431" xr:uid="{BBA0A58F-6BFB-42C8-A2E0-13FBD58B439D}"/>
    <cellStyle name="Comma 8 5 2 3 4 2" xfId="8614" xr:uid="{A6A8D97B-DA7A-4C68-BDB3-85604AA117BB}"/>
    <cellStyle name="Comma 8 5 2 3 5" xfId="5998" xr:uid="{A5B2F275-C7A0-4A04-846E-7B6B3D024491}"/>
    <cellStyle name="Comma 8 5 2 4" xfId="734" xr:uid="{08DCE81F-73C3-4938-B9A3-28659F77FD02}"/>
    <cellStyle name="Comma 8 5 2 4 2" xfId="3016" xr:uid="{AEA10E50-A333-4CCB-9900-7FCB52D09280}"/>
    <cellStyle name="Comma 8 5 2 4 2 2" xfId="7219" xr:uid="{9FD9AAF9-B4D2-49AF-AC3D-67E9188F60D5}"/>
    <cellStyle name="Comma 8 5 2 4 3" xfId="4331" xr:uid="{47052197-C02F-4616-AF3C-7903C726A403}"/>
    <cellStyle name="Comma 8 5 2 4 3 2" xfId="8516" xr:uid="{838E5063-3069-40CB-BFDE-C7ACA77EB0D5}"/>
    <cellStyle name="Comma 8 5 2 4 4" xfId="5900" xr:uid="{56D35ED0-6DDB-46DC-B541-57FFF1D91D45}"/>
    <cellStyle name="Comma 8 5 2 5" xfId="3259" xr:uid="{18F3C0DB-4F3E-49FF-82D5-17042263DE6C}"/>
    <cellStyle name="Comma 8 5 2 5 2" xfId="7457" xr:uid="{44C6D349-4ADD-49F0-8C8F-4B0250D54830}"/>
    <cellStyle name="Comma 8 5 2 6" xfId="4576" xr:uid="{0B86CC07-356A-4F08-985B-204B23431E94}"/>
    <cellStyle name="Comma 8 5 2 6 2" xfId="8756" xr:uid="{5C084A5A-0F3E-4FC9-8244-C7674D4FDF3E}"/>
    <cellStyle name="Comma 8 5 2 7" xfId="6141" xr:uid="{3ED5BACB-8A0F-4B9A-AAB2-7666E79B2EBC}"/>
    <cellStyle name="Comma 8 5 3" xfId="948" xr:uid="{60F67BDB-98DD-4019-B86A-8DE775B9777A}"/>
    <cellStyle name="Comma 8 5 3 2" xfId="691" xr:uid="{B3C261D6-50BA-452A-AA1A-82376618E677}"/>
    <cellStyle name="Comma 8 5 3 2 2" xfId="677" xr:uid="{0CA762AB-4091-43BD-9511-0CACB6EFCBBE}"/>
    <cellStyle name="Comma 8 5 3 2 2 2" xfId="2977" xr:uid="{46BF7855-6B5E-4E48-A478-AFC58D3695F9}"/>
    <cellStyle name="Comma 8 5 3 2 2 2 2" xfId="7180" xr:uid="{93598BAF-E011-4F6B-8185-5099C6106DFC}"/>
    <cellStyle name="Comma 8 5 3 2 2 3" xfId="4290" xr:uid="{2BE9E163-898A-4446-A34E-C68CD624C8D4}"/>
    <cellStyle name="Comma 8 5 3 2 2 3 2" xfId="8475" xr:uid="{530C2262-4226-4077-A723-DA5820EB6408}"/>
    <cellStyle name="Comma 8 5 3 2 2 4" xfId="5859" xr:uid="{4FBA47A8-A6A4-434E-A52E-8290B61E98EE}"/>
    <cellStyle name="Comma 8 5 3 2 3" xfId="2989" xr:uid="{7393DB94-10F5-43DB-96DB-06C2394A26B1}"/>
    <cellStyle name="Comma 8 5 3 2 3 2" xfId="7192" xr:uid="{9BA587DC-5E80-4282-B73D-B4B82C2391E8}"/>
    <cellStyle name="Comma 8 5 3 2 4" xfId="4302" xr:uid="{D60C2950-082F-4A89-B16E-58182632B87C}"/>
    <cellStyle name="Comma 8 5 3 2 4 2" xfId="8487" xr:uid="{5444060B-0E42-4D08-B60F-BC885EC07AC8}"/>
    <cellStyle name="Comma 8 5 3 2 5" xfId="5871" xr:uid="{47349A0B-53DA-419E-8037-67BCDB61046F}"/>
    <cellStyle name="Comma 8 5 3 3" xfId="690" xr:uid="{739E2C1D-5143-405C-9A3C-40E456CCF87F}"/>
    <cellStyle name="Comma 8 5 3 3 2" xfId="2988" xr:uid="{2136401F-64FE-4F53-B62A-2CA3D2E28191}"/>
    <cellStyle name="Comma 8 5 3 3 2 2" xfId="7191" xr:uid="{BEA51699-BA17-4EB7-843A-8A6508B0B0DC}"/>
    <cellStyle name="Comma 8 5 3 3 3" xfId="4301" xr:uid="{DB3D522C-C13B-4DA3-98DA-A233D3E5409F}"/>
    <cellStyle name="Comma 8 5 3 3 3 2" xfId="8486" xr:uid="{96C6B872-6AFF-4555-A4C4-1DF36ECFC4D5}"/>
    <cellStyle name="Comma 8 5 3 3 4" xfId="5870" xr:uid="{21146367-1C12-4F57-A43B-EB68B42F6364}"/>
    <cellStyle name="Comma 8 5 3 4" xfId="3163" xr:uid="{602DF810-35F9-4CCC-95AA-2A8D95CDC358}"/>
    <cellStyle name="Comma 8 5 3 4 2" xfId="7364" xr:uid="{598CA4B8-F3EB-42A4-923E-EA91E3FD0A4B}"/>
    <cellStyle name="Comma 8 5 3 5" xfId="4479" xr:uid="{4B235D40-3401-447A-B946-D176B1306CFD}"/>
    <cellStyle name="Comma 8 5 3 5 2" xfId="8662" xr:uid="{8D080589-47E0-4CFC-8AAE-36643DEF2E26}"/>
    <cellStyle name="Comma 8 5 3 6" xfId="6047" xr:uid="{9249177B-C9FE-4B9C-B09D-5C55A5C573A8}"/>
    <cellStyle name="Comma 8 5 4" xfId="1318" xr:uid="{9066E9B2-442B-4AE0-96BB-6B57EF84C3AE}"/>
    <cellStyle name="Comma 8 5 4 2" xfId="840" xr:uid="{D2C7871F-8F50-4C2D-8A1C-AAC0FBBCB386}"/>
    <cellStyle name="Comma 8 5 4 2 2" xfId="3083" xr:uid="{44E2DAC6-2148-401B-8CD1-0D094ABFDD3C}"/>
    <cellStyle name="Comma 8 5 4 2 2 2" xfId="7284" xr:uid="{89707CF4-C001-4C2D-ADA4-D29AB27F30F2}"/>
    <cellStyle name="Comma 8 5 4 2 3" xfId="4398" xr:uid="{67BFADA8-CF1F-4B89-93C1-7B10253A68BB}"/>
    <cellStyle name="Comma 8 5 4 2 3 2" xfId="8581" xr:uid="{1C7BE4B8-F04B-46F6-B833-9D9E23922047}"/>
    <cellStyle name="Comma 8 5 4 2 4" xfId="5965" xr:uid="{37FE5141-BB3A-4166-9D81-C6E2EFDD9B83}"/>
    <cellStyle name="Comma 8 5 4 3" xfId="3494" xr:uid="{8F42048D-B918-482F-91E9-2C496DFA520B}"/>
    <cellStyle name="Comma 8 5 4 3 2" xfId="7691" xr:uid="{815A3F84-8A4F-43EA-81AA-E58015B6BBDF}"/>
    <cellStyle name="Comma 8 5 4 4" xfId="4813" xr:uid="{6EF24E5B-72AF-4E9E-AFD5-5B0EF64200F6}"/>
    <cellStyle name="Comma 8 5 4 4 2" xfId="8992" xr:uid="{D382A176-D176-46B2-AA80-C076DF06A56B}"/>
    <cellStyle name="Comma 8 5 4 5" xfId="6377" xr:uid="{F6C86465-03B6-4A6A-ABD6-54A9280E16A9}"/>
    <cellStyle name="Comma 8 5 5" xfId="881" xr:uid="{CE39297E-10B9-4CD1-80D8-F4211EFC7A36}"/>
    <cellStyle name="Comma 8 5 5 2" xfId="3114" xr:uid="{44F7D3DD-5F26-4051-AB4F-7771B056B408}"/>
    <cellStyle name="Comma 8 5 5 2 2" xfId="7315" xr:uid="{4CA6CC43-3670-4262-94B7-04E710E7DF9F}"/>
    <cellStyle name="Comma 8 5 5 3" xfId="4429" xr:uid="{A9D682BC-2BB1-41D1-B008-FB77DAABE7C1}"/>
    <cellStyle name="Comma 8 5 5 3 2" xfId="8612" xr:uid="{8A6DB6FA-7B8B-476B-8BFA-6EFAAE368D1C}"/>
    <cellStyle name="Comma 8 5 5 4" xfId="5996" xr:uid="{1763E723-8035-4D2B-83C3-0FF82C2BA0DC}"/>
    <cellStyle name="Comma 8 5 6" xfId="939" xr:uid="{DF9132EB-51B7-420B-82E6-D8C8D0B7E066}"/>
    <cellStyle name="Comma 8 5 6 2" xfId="3161" xr:uid="{5EDA88BC-1A35-4E03-8895-A73D176D87D3}"/>
    <cellStyle name="Comma 8 5 6 2 2" xfId="7362" xr:uid="{6FD03FFD-009E-48D3-96D7-13D9CE0DA173}"/>
    <cellStyle name="Comma 8 5 6 3" xfId="4477" xr:uid="{ECFE473D-F654-40F2-84CA-D20486165F77}"/>
    <cellStyle name="Comma 8 5 6 3 2" xfId="8660" xr:uid="{D0164B9A-7D29-41DA-8AD9-293DCB886A0E}"/>
    <cellStyle name="Comma 8 5 6 4" xfId="6045" xr:uid="{7CE31A88-B9ED-4106-9EEB-9D0456A7E289}"/>
    <cellStyle name="Comma 8 5 7" xfId="2263" xr:uid="{5472F62C-1171-4FCD-80E2-BF0337B13C2C}"/>
    <cellStyle name="Comma 8 5 7 2" xfId="3617" xr:uid="{25320E9D-B7B5-4441-A627-04A266C81976}"/>
    <cellStyle name="Comma 8 5 7 2 2" xfId="7806" xr:uid="{AFEA6B1D-2ABA-490F-ABD6-6F016252356E}"/>
    <cellStyle name="Comma 8 5 7 3" xfId="4938" xr:uid="{A9C4282B-67A6-467D-BFD2-A814C3581291}"/>
    <cellStyle name="Comma 8 5 7 3 2" xfId="9109" xr:uid="{6F6F7FC1-D46A-401E-9954-83FD1D7836AA}"/>
    <cellStyle name="Comma 8 5 7 4" xfId="6499" xr:uid="{30313729-2D74-42B7-A508-2796703DD7F7}"/>
    <cellStyle name="Comma 8 5 8" xfId="2954" xr:uid="{5EEE8EDE-878F-4AC6-8A2A-FC22F668BB0B}"/>
    <cellStyle name="Comma 8 5 8 2" xfId="7157" xr:uid="{40D95128-A093-4C92-9705-E75BAEA1210D}"/>
    <cellStyle name="Comma 8 5 9" xfId="4265" xr:uid="{46001BB4-A70B-46B6-961E-556060C71811}"/>
    <cellStyle name="Comma 8 5 9 2" xfId="8450" xr:uid="{5FF611D5-C7B1-4CA8-AD05-65AD9433F78F}"/>
    <cellStyle name="Comma 8 6" xfId="2214" xr:uid="{1547FEB4-ADA3-497E-8BF9-4CA64922EC49}"/>
    <cellStyle name="Comma 8 6 2" xfId="3600" xr:uid="{EF909BE4-77BC-4F09-8570-E8429E94A0FF}"/>
    <cellStyle name="Comma 8 6 2 2" xfId="7789" xr:uid="{70EA38CB-8D11-4BA9-AEEE-78C7C3BD4010}"/>
    <cellStyle name="Comma 8 6 3" xfId="4921" xr:uid="{6E1E9B01-641D-415C-970B-B227F6E17731}"/>
    <cellStyle name="Comma 8 6 3 2" xfId="9092" xr:uid="{520A9139-D6A9-4E52-B6C2-CA8BF0E82E55}"/>
    <cellStyle name="Comma 8 6 4" xfId="6482" xr:uid="{BDF24B2C-A9D7-4EF0-AF29-88852B1540D0}"/>
    <cellStyle name="Comma 8 7" xfId="2857" xr:uid="{0DEA8A45-11C3-4FCE-99F9-25335C94A000}"/>
    <cellStyle name="Comma 8 7 2" xfId="7068" xr:uid="{28FFBDA4-7BD8-49C3-8ADA-9ADA1106AD18}"/>
    <cellStyle name="Comma 8 8" xfId="4172" xr:uid="{10A663BC-D865-4C91-A533-5F895C72A7C3}"/>
    <cellStyle name="Comma 8 8 2" xfId="8361" xr:uid="{924DB08E-2693-40FA-B600-755D947E5D01}"/>
    <cellStyle name="Comma 8 9" xfId="5743" xr:uid="{3AC39CAC-EB71-40CE-80C2-05039E9D6DDA}"/>
    <cellStyle name="Comma 9" xfId="189" xr:uid="{14D5BDDA-F4BA-4139-BE56-21705FD65AFA}"/>
    <cellStyle name="Comma 9 2" xfId="637" xr:uid="{4A48B6CE-1EE8-4F47-A94C-8D6E7D4389FB}"/>
    <cellStyle name="Comma 9 2 2" xfId="2658" xr:uid="{F41C8BC2-71A5-4105-80CA-A4B3201468B8}"/>
    <cellStyle name="Comma 9 2 2 2" xfId="4006" xr:uid="{1B239608-B105-4AB3-A806-6D0F6412EE8A}"/>
    <cellStyle name="Comma 9 2 2 2 2" xfId="8195" xr:uid="{889570EC-D543-4832-A2EF-BD7B3F357169}"/>
    <cellStyle name="Comma 9 2 2 3" xfId="5327" xr:uid="{B8189F52-7927-498A-A132-64196C4C843A}"/>
    <cellStyle name="Comma 9 2 2 3 2" xfId="9498" xr:uid="{659BBDC7-6A56-437B-BE02-1927AC6CF393}"/>
    <cellStyle name="Comma 9 2 2 4" xfId="6888" xr:uid="{DFCB6879-2A0D-478D-8547-4D7DBBAB188E}"/>
    <cellStyle name="Comma 9 2 3" xfId="2418" xr:uid="{3A96E85F-29EF-425E-AD9E-24AB23AEBFEB}"/>
    <cellStyle name="Comma 9 2 3 2" xfId="3766" xr:uid="{8A643C82-AA29-4553-8317-B86D774DE182}"/>
    <cellStyle name="Comma 9 2 3 2 2" xfId="7955" xr:uid="{A989080C-0029-402E-AE8C-FF52DB9F800E}"/>
    <cellStyle name="Comma 9 2 3 3" xfId="5087" xr:uid="{DBC96198-B7BD-4EA4-843B-C18544C60ED9}"/>
    <cellStyle name="Comma 9 2 3 3 2" xfId="9258" xr:uid="{EEFB01D3-E214-45A9-BB4F-82E413520680}"/>
    <cellStyle name="Comma 9 2 3 4" xfId="6648" xr:uid="{5056CCCB-A90D-4EA0-9886-62180AAF476C}"/>
    <cellStyle name="Comma 9 2 4" xfId="2958" xr:uid="{EDAF546A-67F7-4956-A480-02F9786003EA}"/>
    <cellStyle name="Comma 9 2 4 2" xfId="7161" xr:uid="{D62856F7-EA61-4EEB-96A3-89E96B6D9487}"/>
    <cellStyle name="Comma 9 2 5" xfId="4269" xr:uid="{0C704A5A-0F58-4BF5-AE66-9C2875648B07}"/>
    <cellStyle name="Comma 9 2 5 2" xfId="8454" xr:uid="{E24AF03B-722A-4442-89CB-42CE782CDD84}"/>
    <cellStyle name="Comma 9 2 6" xfId="5838" xr:uid="{403565AF-1C16-437F-9D32-CE9B4AC702A7}"/>
    <cellStyle name="Comma 9 3" xfId="1137" xr:uid="{83B3ABC1-D5AE-4D5C-8EA7-789D4B418282}"/>
    <cellStyle name="Comma 9 3 2" xfId="2573" xr:uid="{F1AB35F4-3E2A-4717-99C4-62D47E216591}"/>
    <cellStyle name="Comma 9 3 2 2" xfId="3921" xr:uid="{2D9258BF-DD27-4CA2-B797-F62662B9117B}"/>
    <cellStyle name="Comma 9 3 2 2 2" xfId="8110" xr:uid="{EAA3FE61-2100-41CF-BDD2-789EBF19F920}"/>
    <cellStyle name="Comma 9 3 2 3" xfId="5242" xr:uid="{F7B35035-AE7B-49CD-878D-502F53612E8A}"/>
    <cellStyle name="Comma 9 3 2 3 2" xfId="9413" xr:uid="{8246BA1E-6C79-42B7-A604-A36E7FD13BD0}"/>
    <cellStyle name="Comma 9 3 2 4" xfId="6803" xr:uid="{066F3273-1C45-4308-BDF6-794DB03F2191}"/>
    <cellStyle name="Comma 9 3 3" xfId="3330" xr:uid="{878ADCB0-0375-4EED-9722-973F5ED0016A}"/>
    <cellStyle name="Comma 9 3 3 2" xfId="7527" xr:uid="{DEA6FC4C-08D6-4ABA-B1D1-82FD1E709BC1}"/>
    <cellStyle name="Comma 9 3 4" xfId="4648" xr:uid="{0E673217-854A-4063-8BBA-888BB205DFA9}"/>
    <cellStyle name="Comma 9 3 4 2" xfId="8827" xr:uid="{AAD7E5C9-3A72-4731-850F-A753C85D5C93}"/>
    <cellStyle name="Comma 9 3 5" xfId="6212" xr:uid="{A74253EB-50DB-4A84-91DA-12662EF0EFD1}"/>
    <cellStyle name="Comma 9 4" xfId="716" xr:uid="{986AEEE1-A463-4196-8CE3-101A016D0ABC}"/>
    <cellStyle name="Comma 9 4 2" xfId="3004" xr:uid="{82D17E87-0C29-459B-89C4-B18D35772215}"/>
    <cellStyle name="Comma 9 4 2 2" xfId="7207" xr:uid="{CCC0C5C2-6DB8-4506-81A7-B51E10B5B3E2}"/>
    <cellStyle name="Comma 9 4 3" xfId="4319" xr:uid="{FD0B0AC7-057D-4091-9209-9204081A24B0}"/>
    <cellStyle name="Comma 9 4 3 2" xfId="8504" xr:uid="{4FC45EA1-8283-4ACC-B2D6-EFBD1B7CA3D1}"/>
    <cellStyle name="Comma 9 4 4" xfId="5888" xr:uid="{5FEEF181-7144-4B9F-9F8C-334EAE3A45AA}"/>
    <cellStyle name="Comma 9 5" xfId="2327" xr:uid="{4DDD6258-95B8-418D-8849-BBFC3B0D8AB8}"/>
    <cellStyle name="Comma 9 5 2" xfId="3681" xr:uid="{F5F8B2E7-96F7-487B-A37E-6E43C460FFA0}"/>
    <cellStyle name="Comma 9 5 2 2" xfId="7870" xr:uid="{DEFD5653-BFEA-4F02-8454-AF91F7AF37A5}"/>
    <cellStyle name="Comma 9 5 3" xfId="5002" xr:uid="{CB6A588D-1529-40C5-940F-7E32B72D1EF6}"/>
    <cellStyle name="Comma 9 5 3 2" xfId="9173" xr:uid="{96FEC8B9-2596-4EC7-9495-FF33875F27AD}"/>
    <cellStyle name="Comma 9 5 4" xfId="6563" xr:uid="{EFA280FC-22E5-4395-8FFA-58CCA435AD79}"/>
    <cellStyle name="Comma 9 6" xfId="2861" xr:uid="{D1291C4F-DCE0-453F-8DA9-CCAF290C2F63}"/>
    <cellStyle name="Comma 9 6 2" xfId="7072" xr:uid="{6E9A477A-6E42-4D92-AE90-C5D41A6FD96B}"/>
    <cellStyle name="Comma 9 7" xfId="4176" xr:uid="{B06EABB2-DBCF-41A8-9FD8-299F413F6CE0}"/>
    <cellStyle name="Comma 9 7 2" xfId="8365" xr:uid="{62076D7B-559F-4E00-8B69-1EACA24CA98E}"/>
    <cellStyle name="Comma 9 8" xfId="5747" xr:uid="{F87DFD02-D233-40B0-90E0-13E268FE9956}"/>
    <cellStyle name="Euro" xfId="190" xr:uid="{F353B60E-B739-400C-BF84-083EBB36A2A6}"/>
    <cellStyle name="Euro 2" xfId="1307" xr:uid="{9F0366DA-EA8F-407D-9EB1-3207458270FB}"/>
    <cellStyle name="Explanatory Text 2" xfId="880" xr:uid="{77983AB3-1248-4D3C-9103-B93F473F0B4E}"/>
    <cellStyle name="Explanatory Text 2 2" xfId="839" xr:uid="{DCC4856E-23A1-40FE-AD5E-195D563846D6}"/>
    <cellStyle name="Good 2" xfId="955" xr:uid="{21760072-27D2-4291-B8A4-DD9F0E06218C}"/>
    <cellStyle name="Good 2 2" xfId="689" xr:uid="{B94D2EEF-1420-44DC-A5E0-CDD767368CAB}"/>
    <cellStyle name="Heading 1" xfId="73" builtinId="16"/>
    <cellStyle name="Heading 1 2" xfId="872" xr:uid="{7F26C1F9-D414-4A88-9169-AB9DDCCFFD08}"/>
    <cellStyle name="Heading 1 2 2" xfId="729" xr:uid="{EF2474E2-9A05-4B51-843C-2BB069B1CE4D}"/>
    <cellStyle name="Heading 1 2 2 2" xfId="1" xr:uid="{DB738094-D612-447E-8558-A4A01F4CDDC5}"/>
    <cellStyle name="Heading 1 2 2 3" xfId="9" xr:uid="{DA1B8D55-CA19-4C9E-9F2B-00B2809C57A5}"/>
    <cellStyle name="Heading 1 2 3" xfId="23" xr:uid="{3B97D902-657F-4D4B-BE65-AA06A9AAD30B}"/>
    <cellStyle name="Heading 1 2 3 2" xfId="5474" xr:uid="{821A40FA-5C43-46FA-B9C4-E53E86557365}"/>
    <cellStyle name="Heading 1 3" xfId="2758" xr:uid="{23C6B47A-389D-4ADD-872D-298995F95FFD}"/>
    <cellStyle name="Heading 1 3 2" xfId="5466" xr:uid="{2DB967B1-3CF9-4E7D-86C3-FA092B58C5E0}"/>
    <cellStyle name="Heading 2" xfId="74" builtinId="17"/>
    <cellStyle name="Heading 2 2" xfId="879" xr:uid="{BE56B43B-9C5F-43B1-B548-7CCB6CD9056F}"/>
    <cellStyle name="Heading 2 2 2" xfId="1358" xr:uid="{B5A0CDF2-25DE-49AD-A361-16084EC8B67F}"/>
    <cellStyle name="Heading 2 2 2 2" xfId="29" xr:uid="{0587F1FC-329F-47FA-BF00-D819494D7CD8}"/>
    <cellStyle name="Heading 2 2 2 2 2" xfId="35" xr:uid="{D4CA6478-9638-4601-9B21-EB893C9BDBF0}"/>
    <cellStyle name="Heading 2 2 3" xfId="24" xr:uid="{CA6E0005-DB45-4334-AEC1-73CBFC78AA07}"/>
    <cellStyle name="Heading 2 2 3 2" xfId="67" xr:uid="{F385ECC5-196F-454F-888E-0315A3EB18FE}"/>
    <cellStyle name="Heading 2 3" xfId="2759" xr:uid="{B491324E-0CCC-467A-BF07-B8C70523F7D5}"/>
    <cellStyle name="Heading 2 3 2" xfId="76" xr:uid="{89DB91AE-2B8F-4CE0-B028-887E5F435111}"/>
    <cellStyle name="Heading 2 3 2 2" xfId="58" xr:uid="{BAE5A97A-F236-477D-A801-C15FE2C822DD}"/>
    <cellStyle name="Heading 2 4" xfId="53" xr:uid="{32009D52-9C9B-4B57-BD8C-0FABFCD63A62}"/>
    <cellStyle name="Heading 2 4 2" xfId="5468" xr:uid="{C342C559-60AE-466A-B9AD-89FE29E46F04}"/>
    <cellStyle name="Heading 3 2" xfId="861" xr:uid="{33877E3E-C130-42BA-98AC-DE158FBCEB4B}"/>
    <cellStyle name="Heading 3 2 2" xfId="1344" xr:uid="{3FB72E19-C4D1-4026-8E47-EEBEEAE17B3D}"/>
    <cellStyle name="Heading 4 2" xfId="740" xr:uid="{C310395E-DF6F-4676-8CD6-262FFBD429CB}"/>
    <cellStyle name="Heading 4 2 2" xfId="967" xr:uid="{D07CA179-8C9D-45FD-978C-CF075CC7A43D}"/>
    <cellStyle name="Headings" xfId="968" xr:uid="{6E00A76A-FEA6-478C-8BFA-814DCAE69EE3}"/>
    <cellStyle name="Headline 1" xfId="5488" xr:uid="{D6FAF369-C492-4567-9D3B-DB50D5E7999D}"/>
    <cellStyle name="headline 2" xfId="5489" xr:uid="{545CC3BF-A03C-4FE7-9363-318530626758}"/>
    <cellStyle name="Hyperlink" xfId="22" builtinId="8"/>
    <cellStyle name="Hyperlink 10" xfId="62" xr:uid="{83FDEF37-30CB-4229-BE53-97F87994BFF6}"/>
    <cellStyle name="Hyperlink 11" xfId="2773" xr:uid="{C3CE5A5D-BB82-405B-86AC-162CE197B388}"/>
    <cellStyle name="Hyperlink 2" xfId="4" xr:uid="{F43E84FD-FE3B-45A2-B578-420CB7BBCB8F}"/>
    <cellStyle name="Hyperlink 2 10" xfId="5475" xr:uid="{8F25007D-6CCF-4C5A-B70F-A46B53E78007}"/>
    <cellStyle name="Hyperlink 2 2" xfId="69" xr:uid="{05B2947A-1947-4AB4-9E52-179D075DB28F}"/>
    <cellStyle name="Hyperlink 2 2 2" xfId="68" xr:uid="{928567CF-671A-443E-A298-A40D3612419E}"/>
    <cellStyle name="Hyperlink 2 2 2 2" xfId="16" xr:uid="{C7584A88-E6CF-49B2-A513-8082D39FFA33}"/>
    <cellStyle name="Hyperlink 2 2 3" xfId="5476" xr:uid="{40AB12B1-3ACE-47F4-9673-1D7871175E47}"/>
    <cellStyle name="Hyperlink 2 3" xfId="46" xr:uid="{E5B90927-5B34-403C-B28A-5F271AE13E1B}"/>
    <cellStyle name="Hyperlink 2 4" xfId="192" xr:uid="{93A46C05-01E4-4318-A930-5CE8EA94659B}"/>
    <cellStyle name="Hyperlink 2 5" xfId="193" xr:uid="{4EDADB3F-8D16-4856-BA23-810D51FFE2BB}"/>
    <cellStyle name="Hyperlink 2 6" xfId="1837" xr:uid="{CE087A7D-7DAD-42E8-AD1A-0606B07426D8}"/>
    <cellStyle name="Hyperlink 2 7" xfId="2018" xr:uid="{8EB482D9-CBDC-4C8F-ACA9-7F02F792F3A5}"/>
    <cellStyle name="Hyperlink 2 8" xfId="2092" xr:uid="{C09B5F8A-E5B2-488F-82CD-EBBB7435F057}"/>
    <cellStyle name="Hyperlink 2 9" xfId="191" xr:uid="{1B6F2EDA-1ADE-4DDC-BC67-23FDEADFA1E3}"/>
    <cellStyle name="Hyperlink 3" xfId="43" xr:uid="{A7D0C9E0-7E51-4A00-8926-F372E41265E2}"/>
    <cellStyle name="Hyperlink 3 2" xfId="194" xr:uid="{65A77AF5-446C-4F57-8480-B6EBEA542E4E}"/>
    <cellStyle name="Hyperlink 3 2 2" xfId="1373" xr:uid="{D3CCAB35-FE6D-45C4-998A-214705B2F525}"/>
    <cellStyle name="Hyperlink 3 2 2 2" xfId="2763" xr:uid="{936D2512-19C6-495F-B304-36ED0BD30484}"/>
    <cellStyle name="Hyperlink 3 2 3" xfId="1374" xr:uid="{CF73688C-8AB3-4CB8-AA4E-A87B227C7A2D}"/>
    <cellStyle name="Hyperlink 3 2 4" xfId="3" xr:uid="{E9730C1F-A48A-447D-9FD9-06FE1E6054A7}"/>
    <cellStyle name="Hyperlink 3 2 5" xfId="5499" xr:uid="{0CD7B96A-9613-468D-81B8-1ADB0EE2983A}"/>
    <cellStyle name="Hyperlink 3 3" xfId="195" xr:uid="{C9E7EC5F-801D-4EAC-AEF4-697F1C4BC4B7}"/>
    <cellStyle name="Hyperlink 3 3 2" xfId="1838" xr:uid="{CBEE4ADD-32D9-4AF2-B7D9-29DBC58E430B}"/>
    <cellStyle name="Hyperlink 3 4" xfId="196" xr:uid="{435F6639-131E-488F-AE51-664FA9297149}"/>
    <cellStyle name="Hyperlink 3 5" xfId="197" xr:uid="{51C1067E-B133-4DEB-90FC-4D6967537C1D}"/>
    <cellStyle name="Hyperlink 3 6" xfId="2166" xr:uid="{AA6BB0D1-9BB8-42AE-9DA8-7D36C540552D}"/>
    <cellStyle name="Hyperlink 4" xfId="42" xr:uid="{C8A3F86A-3C25-422E-BE93-B9D9F649E9C9}"/>
    <cellStyle name="Hyperlink 4 2" xfId="2262" xr:uid="{E1E5C933-358D-4FE0-B398-4D8FB8C993A9}"/>
    <cellStyle name="Hyperlink 4 3" xfId="198" xr:uid="{C6F6DC61-B2C2-4F3F-9FE2-84088C961BAB}"/>
    <cellStyle name="Hyperlink 5" xfId="199" xr:uid="{F0D5DCE9-18B0-4BA4-895A-5AC045BBD56B}"/>
    <cellStyle name="Hyperlink 5 2" xfId="200" xr:uid="{780A7D31-D143-474D-88A7-0AC21F7F9C98}"/>
    <cellStyle name="Hyperlink 5 3" xfId="1375" xr:uid="{B83F4D05-2F21-4697-B8E4-FEF85EF08CD7}"/>
    <cellStyle name="Hyperlink 5 4" xfId="1376" xr:uid="{42B14AD7-80E8-49F6-B2DB-F8C86B7DBB90}"/>
    <cellStyle name="Hyperlink 5 5" xfId="2087" xr:uid="{08254DCC-71DB-484F-9A41-F8FC33DC0578}"/>
    <cellStyle name="Hyperlink 6" xfId="201" xr:uid="{A0BFBF56-69B4-4EA7-8BA8-09DDFFA674CE}"/>
    <cellStyle name="Hyperlink 6 2" xfId="1377" xr:uid="{37FE35A2-1A9B-4E9A-A5F9-F787A980496B}"/>
    <cellStyle name="Hyperlink 6 3" xfId="1839" xr:uid="{36C1CA57-9A3E-4878-A9F6-656EC0AA6CAC}"/>
    <cellStyle name="Hyperlink 7" xfId="202" xr:uid="{9FFF196F-1E87-4548-88DB-21740B80C5EB}"/>
    <cellStyle name="Hyperlink 7 2" xfId="1378" xr:uid="{FDB800CC-6E90-4CBE-BA6B-91D9BCE7E117}"/>
    <cellStyle name="Hyperlink 7 3" xfId="1840" xr:uid="{3A4F2328-AB4F-4CC5-A08A-87E7B63D18D8}"/>
    <cellStyle name="Hyperlink 8" xfId="93" xr:uid="{22F4D92F-35EB-4550-83CA-A06A646ABA5A}"/>
    <cellStyle name="Hyperlink 9" xfId="1379" xr:uid="{2E33CDE9-57A7-441A-AB0E-87FE928FFE71}"/>
    <cellStyle name="IABackgroundMembers" xfId="203" xr:uid="{EBB65310-2D8A-4587-9D13-9A71218FB09D}"/>
    <cellStyle name="IABackgroundMembers 2" xfId="2862" xr:uid="{9A27C751-F16A-46F2-8462-77D4040603B0}"/>
    <cellStyle name="IAColorCodingBad" xfId="204" xr:uid="{0694AB80-D10C-43AF-AC0C-AB607F80790E}"/>
    <cellStyle name="IAColorCodingGood" xfId="205" xr:uid="{F578F2CC-829D-4C43-88F2-2C5AD1C963AB}"/>
    <cellStyle name="IAColorCodingOK" xfId="206" xr:uid="{6BCD03BB-403A-466A-AF07-A13B7EDAE6DD}"/>
    <cellStyle name="IAColorCodingOK 2" xfId="2863" xr:uid="{222FAD8F-1C1D-4376-8E8C-84B1E355C845}"/>
    <cellStyle name="IAColumnHeader" xfId="207" xr:uid="{8BA5B910-A924-4D76-B628-A79858074B48}"/>
    <cellStyle name="IAContentsList" xfId="208" xr:uid="{4AC1481A-66C6-4EAC-BFA3-A6ED6D651356}"/>
    <cellStyle name="IAContentsList 2" xfId="1380" xr:uid="{66678B1B-F126-4C61-AE62-12281BCD72BD}"/>
    <cellStyle name="IAContentsTitle" xfId="209" xr:uid="{B7DC5749-142C-4D90-A995-FDB17509C634}"/>
    <cellStyle name="IADataCells" xfId="210" xr:uid="{23FF8E41-32AF-4DE7-8FB9-63742E4732DC}"/>
    <cellStyle name="IADataCells 2" xfId="2864" xr:uid="{3501102A-8F4B-4E17-BCC1-56CA33873064}"/>
    <cellStyle name="IADimensionNames" xfId="211" xr:uid="{90770C21-C4FC-4194-AAA9-AC96B8688CD7}"/>
    <cellStyle name="IAParentColumnHeader" xfId="212" xr:uid="{832A4661-A680-4E63-9034-2A611DE9E1E7}"/>
    <cellStyle name="IAParentRowHeader" xfId="213" xr:uid="{3B1EAB6A-77E6-4F50-9105-02589EC5DE3F}"/>
    <cellStyle name="IAQueryInfo" xfId="214" xr:uid="{38F6BA25-7472-4CEF-917B-E5217113C719}"/>
    <cellStyle name="IAQueryInfo 2" xfId="2865" xr:uid="{10F40BE4-1B41-42CF-8D0E-2FE9775E1476}"/>
    <cellStyle name="IAReportTitle" xfId="215" xr:uid="{82B2E1CE-86D4-4272-9659-3FBE1B201155}"/>
    <cellStyle name="IARowHeader" xfId="216" xr:uid="{D321DBAE-6522-4808-952A-0E16805D493B}"/>
    <cellStyle name="IASubTotalsCol" xfId="217" xr:uid="{672392D8-79D9-4860-B70A-8FC4242F9C89}"/>
    <cellStyle name="IASubTotalsRow" xfId="218" xr:uid="{55CA18C3-5D00-4DF5-8115-BB8E56D21B07}"/>
    <cellStyle name="Input 2" xfId="1381" xr:uid="{699C6457-5B9A-4A2D-8EF4-7826C6F15F8F}"/>
    <cellStyle name="Input 2 2" xfId="1382" xr:uid="{2CE7372A-33D8-4234-B825-206F9AB83CAE}"/>
    <cellStyle name="Input 2 2 2" xfId="3520" xr:uid="{24087EA3-B64E-4152-A809-075E9D50A906}"/>
    <cellStyle name="Input 2 2 2 2" xfId="5601" xr:uid="{3ACE3D4A-4516-4527-B753-C1A01DE993F4}"/>
    <cellStyle name="Input 2 2 2 3" xfId="5611" xr:uid="{DCEC0556-F519-46C6-B140-FAECCE0F856A}"/>
    <cellStyle name="Input 2 2 2 4" xfId="5629" xr:uid="{E49FECA8-E460-472A-A1E1-B933399B269C}"/>
    <cellStyle name="Input 2 2 2 5" xfId="9656" xr:uid="{9F12F4C1-7E95-4AFA-A314-D9E22F9599CE}"/>
    <cellStyle name="Input 2 2 3" xfId="4840" xr:uid="{117F4EEC-93FD-46AE-B36F-2EA4D220FE64}"/>
    <cellStyle name="Input 2 2 3 2" xfId="5644" xr:uid="{F68933E7-4CE6-4A54-9BCF-A3AC0C05DBB6}"/>
    <cellStyle name="Input 2 2 3 3" xfId="5655" xr:uid="{C16C69F6-6E64-4395-9163-FE053BCFCBA4}"/>
    <cellStyle name="Input 2 2 3 4" xfId="5518" xr:uid="{93C7B5CA-DBAE-4CCB-9E04-E1AB088877B6}"/>
    <cellStyle name="Input 2 2 3 5" xfId="6417" xr:uid="{F66E5BFF-50BA-42C8-BD34-B9785FF9E937}"/>
    <cellStyle name="Input 2 2 4" xfId="5539" xr:uid="{DB879C07-CA68-4772-B2E6-671AF6FBF43E}"/>
    <cellStyle name="Input 2 2 5" xfId="5530" xr:uid="{763A618B-0876-4EEA-933A-C9063BDBEDE0}"/>
    <cellStyle name="Input 2 2 6" xfId="5621" xr:uid="{28E65067-AD94-41B3-9EFC-F270E063A153}"/>
    <cellStyle name="Input 2 2 7" xfId="9660" xr:uid="{12DF3C05-816E-43C2-B349-DF8658F74DFB}"/>
    <cellStyle name="Input 2 3" xfId="3519" xr:uid="{393CB6E7-835B-45F7-869F-5F9919644910}"/>
    <cellStyle name="Input 2 3 2" xfId="5600" xr:uid="{EA540566-70F1-456C-BCF7-98072B0045C3}"/>
    <cellStyle name="Input 2 3 3" xfId="5585" xr:uid="{7C0887BE-38C4-4021-B340-ADCB5AA1E088}"/>
    <cellStyle name="Input 2 3 4" xfId="5534" xr:uid="{AC349E46-D462-4FA6-AA3C-A5A303EA92E1}"/>
    <cellStyle name="Input 2 3 5" xfId="9671" xr:uid="{D0535240-692B-4A6A-A3F2-5BF9B51270AB}"/>
    <cellStyle name="Input 2 4" xfId="4839" xr:uid="{B6618DE5-36A6-4B03-BFBE-4EDAF53D24F2}"/>
    <cellStyle name="Input 2 4 2" xfId="5643" xr:uid="{37617F5B-A32F-45E3-A6C2-814468D89777}"/>
    <cellStyle name="Input 2 4 3" xfId="5559" xr:uid="{097CBD07-1E6B-429E-A613-1102CAEEF83E}"/>
    <cellStyle name="Input 2 4 4" xfId="5642" xr:uid="{4A8B5144-CD2E-4C43-9F38-389670F3180F}"/>
    <cellStyle name="Input 2 4 5" xfId="6416" xr:uid="{3C50DD51-8124-497C-A914-47FC24EDABEB}"/>
    <cellStyle name="Input 2 5" xfId="5538" xr:uid="{57BDE62E-86FA-484F-9ADE-8DEB1282D747}"/>
    <cellStyle name="Input 2 6" xfId="5652" xr:uid="{E3D7C6E4-89F3-45F8-827F-5E16A1D8E5BB}"/>
    <cellStyle name="Input 2 7" xfId="5596" xr:uid="{A2393F54-E033-47B4-B16A-42D7AAD54792}"/>
    <cellStyle name="Input 2 8" xfId="9673" xr:uid="{5994D685-73B4-4EA5-BB2A-C139586CF21B}"/>
    <cellStyle name="Linked Cell 2" xfId="1383" xr:uid="{2933792C-2E7E-4468-AA7A-F10C7190755C}"/>
    <cellStyle name="Linked Cell 2 2" xfId="1384" xr:uid="{116B3381-2C59-44CB-97B4-957FBD0F1153}"/>
    <cellStyle name="Neutral 2" xfId="1385" xr:uid="{8DC1ACA8-941D-4749-BCB8-DC653AF614BD}"/>
    <cellStyle name="Neutral 2 2" xfId="1386" xr:uid="{D8A937A8-ADC6-4C7C-A5C2-475B21275C0A}"/>
    <cellStyle name="Normal" xfId="0" builtinId="0"/>
    <cellStyle name="Normal 10" xfId="2" xr:uid="{8DF5C6E4-5978-4EAC-88D2-A0F13318B0EE}"/>
    <cellStyle name="Normal 10 2" xfId="45" xr:uid="{76B3E37C-4180-427D-B496-A4CFFC04855B}"/>
    <cellStyle name="Normal 10 2 10" xfId="5484" xr:uid="{6D0564BF-2668-45F0-BD24-985F1E60EFCD}"/>
    <cellStyle name="Normal 10 2 10 2" xfId="9614" xr:uid="{DDF1D82B-8DD8-4BF8-9418-C0FF9A6D2135}"/>
    <cellStyle name="Normal 10 2 11" xfId="81" xr:uid="{46DE51DA-9575-445C-BC3E-3B468694D783}"/>
    <cellStyle name="Normal 10 2 12" xfId="5667" xr:uid="{BEE8774F-0667-40FB-9766-964DF7FC09F8}"/>
    <cellStyle name="Normal 10 2 2" xfId="48" xr:uid="{A3D635D2-4CEF-454D-BFFF-4BE533DEDB64}"/>
    <cellStyle name="Normal 10 2 2 2" xfId="1154" xr:uid="{F6AF61C2-4B57-4D50-A019-2C88EDAD8C59}"/>
    <cellStyle name="Normal 10 2 2 2 2" xfId="2784" xr:uid="{A89583E5-9E3A-400F-8BF6-EF0079DE7D66}"/>
    <cellStyle name="Normal 10 2 2 2 2 2" xfId="14" xr:uid="{63103944-3B68-4122-AC94-27436ADEE69A}"/>
    <cellStyle name="Normal 10 2 2 2 2 2 2" xfId="5494" xr:uid="{A5917DFB-A5AC-4543-8A08-BB48CE1F75BC}"/>
    <cellStyle name="Normal 10 2 2 2 2 2 2 2" xfId="9621" xr:uid="{8388A073-0A0D-43A6-B8DB-EB7C5D5A4919}"/>
    <cellStyle name="Normal 10 2 2 2 2 2 3" xfId="5471" xr:uid="{EBDBE98A-219B-48AA-A09C-C3E602E0D785}"/>
    <cellStyle name="Normal 10 2 2 2 2 2 4" xfId="9605" xr:uid="{80800DF3-8D90-4C70-B37A-E8B0D471589A}"/>
    <cellStyle name="Normal 10 2 2 2 2 3" xfId="6996" xr:uid="{9AB208DC-BCEF-49A2-AB0C-CF425ECB9D4C}"/>
    <cellStyle name="Normal 10 2 2 2 3" xfId="78" xr:uid="{6867EB7B-DFF7-4FE1-AE43-EF41425F99CD}"/>
    <cellStyle name="Normal 10 2 2 2 3 2" xfId="2787" xr:uid="{9F16F01C-C36D-4221-B151-59A52FB0E4EC}"/>
    <cellStyle name="Normal 10 2 2 2 3 2 2" xfId="6999" xr:uid="{409EFE39-5F08-4DC0-B137-50EEDAB44F05}"/>
    <cellStyle name="Normal 10 2 2 2 3 3" xfId="2780" xr:uid="{D105EDD6-C620-494F-AFCF-223CC923B47C}"/>
    <cellStyle name="Normal 10 2 2 2 3 3 2" xfId="6992" xr:uid="{9F28B015-1BA4-4629-873E-B601C1D1DD64}"/>
    <cellStyle name="Normal 10 2 2 2 3 4" xfId="5461" xr:uid="{B617FB2B-CA7C-4C3C-A4B2-7D6F313EC106}"/>
    <cellStyle name="Normal 10 2 2 2 3 4 2" xfId="9596" xr:uid="{14903B32-49BF-45A3-A23D-18283C3B74DC}"/>
    <cellStyle name="Normal 10 2 2 2 3 5" xfId="57" xr:uid="{4CC7DE39-6A68-4525-A150-D211518B6ABB}"/>
    <cellStyle name="Normal 10 2 2 2 3 5 2" xfId="5477" xr:uid="{EF558A87-EBBF-4CB1-B175-AEE7A49BED55}"/>
    <cellStyle name="Normal 10 2 2 2 3 5 3" xfId="9608" xr:uid="{D3988CF3-43A1-4403-8EC3-237C52F72F6E}"/>
    <cellStyle name="Normal 10 2 2 2 3 6" xfId="2765" xr:uid="{8EEE2F65-1B87-40CB-AA94-95B8710A8DFC}"/>
    <cellStyle name="Normal 10 2 2 2 3 7" xfId="6981" xr:uid="{597604A3-E4D8-4F91-83AF-32E043EA8908}"/>
    <cellStyle name="Normal 10 2 2 2 4" xfId="3347" xr:uid="{2FF33D82-B226-43AE-897B-CF3A433B11AD}"/>
    <cellStyle name="Normal 10 2 2 2 4 2" xfId="4098" xr:uid="{7D3662D8-D283-4724-96C1-14324745CF3A}"/>
    <cellStyle name="Normal 10 2 2 2 4 2 2" xfId="8287" xr:uid="{210EE55E-1E18-4E75-BE06-425A0E10FFCD}"/>
    <cellStyle name="Normal 10 2 2 2 4 3" xfId="64" xr:uid="{743FDE84-C73F-47EB-B6E8-DCBE51A1DA9A}"/>
    <cellStyle name="Normal 10 2 2 2 4 3 2" xfId="5473" xr:uid="{5630B8D4-6811-4B57-93BD-D28E51A73ABA}"/>
    <cellStyle name="Normal 10 2 2 2 4 3 3" xfId="9607" xr:uid="{45EDD49A-BB2C-4058-A4F8-3802C36F4AF8}"/>
    <cellStyle name="Normal 10 2 2 2 4 4" xfId="7544" xr:uid="{B57C4A80-A656-4CC6-A71B-D701550C7B6C}"/>
    <cellStyle name="Normal 10 2 2 2 5" xfId="4665" xr:uid="{F678BA10-9399-450B-B76D-AB8ABBBB380C}"/>
    <cellStyle name="Normal 10 2 2 2 5 2" xfId="8844" xr:uid="{99099CC3-C9E0-43F5-93A5-0D6E5F265AD5}"/>
    <cellStyle name="Normal 10 2 2 2 6" xfId="6229" xr:uid="{D8A79FA2-7D44-4A63-A038-9A3CFDCE7F29}"/>
    <cellStyle name="Normal 10 2 2 3" xfId="530" xr:uid="{B7827D88-7286-4AF6-AD85-6EACC34719F3}"/>
    <cellStyle name="Normal 10 2 2 3 2" xfId="4193" xr:uid="{F55CD952-76C0-4749-87E1-E4F88F929211}"/>
    <cellStyle name="Normal 10 2 2 3 2 2" xfId="8380" xr:uid="{9E4B6B3E-0A5F-4141-A44A-4538632B9ADC}"/>
    <cellStyle name="Normal 10 2 2 3 3" xfId="5764" xr:uid="{C0D2932B-76A0-44C7-AF50-BC3B06E757ED}"/>
    <cellStyle name="Normal 10 2 2 4" xfId="2775" xr:uid="{FB617412-6B34-4462-AFF6-7D88648CAB90}"/>
    <cellStyle name="Normal 10 2 2 4 2" xfId="6988" xr:uid="{DD681DF1-80A0-443D-90B9-8ED8DFC04C59}"/>
    <cellStyle name="Normal 10 2 2 5" xfId="2882" xr:uid="{5CCDB903-FEF2-40C4-A38A-E45ED2C3CE11}"/>
    <cellStyle name="Normal 10 2 2 5 2" xfId="7087" xr:uid="{C901D03E-62F3-4C65-9298-83E6325C9C10}"/>
    <cellStyle name="Normal 10 2 2 6" xfId="4097" xr:uid="{2999E7F2-2216-4C8C-A946-D71200B81DF8}"/>
    <cellStyle name="Normal 10 2 2 6 2" xfId="8286" xr:uid="{7E4641F8-ECC3-41DE-8DD7-AB6F1AB2C4B9}"/>
    <cellStyle name="Normal 10 2 2 7" xfId="82" xr:uid="{F4279FAD-D6AD-4FCD-986E-033D531CD088}"/>
    <cellStyle name="Normal 10 2 2 8" xfId="5668" xr:uid="{90ABA2A8-DD1F-4C42-91E5-CC23B3D5CEFE}"/>
    <cellStyle name="Normal 10 2 3" xfId="84" xr:uid="{AEC627D7-765C-47D7-A3D4-F3FEF78FC787}"/>
    <cellStyle name="Normal 10 2 3 2" xfId="1220" xr:uid="{677FE6D2-54B0-4695-8D77-50F51F11EA91}"/>
    <cellStyle name="Normal 10 2 3 2 2" xfId="3413" xr:uid="{56B4018F-85B0-4EEB-974E-1BCADCCF959D}"/>
    <cellStyle name="Normal 10 2 3 2 2 2" xfId="7610" xr:uid="{CE879B29-C676-49A0-9D10-414351C8339A}"/>
    <cellStyle name="Normal 10 2 3 2 3" xfId="4731" xr:uid="{BF7DA548-94BE-44F9-BF1D-FEE254F0E9B2}"/>
    <cellStyle name="Normal 10 2 3 2 3 2" xfId="8910" xr:uid="{00AB4A43-F72D-4792-A6E0-C4B9F757D0E6}"/>
    <cellStyle name="Normal 10 2 3 2 4" xfId="6295" xr:uid="{6251EB10-F0AB-4714-A822-F115581EAFA1}"/>
    <cellStyle name="Normal 10 2 3 3" xfId="979" xr:uid="{90BE45C7-3A19-4090-99E0-E59F05334EDE}"/>
    <cellStyle name="Normal 10 2 3 3 2" xfId="6072" xr:uid="{7FF2960C-66D3-46DA-9AD0-F9859AFA310F}"/>
    <cellStyle name="Normal 10 2 3 4" xfId="2786" xr:uid="{0075D4B0-CDA7-4CF1-818F-8BADE10D6705}"/>
    <cellStyle name="Normal 10 2 3 4 2" xfId="6998" xr:uid="{5F7A29A3-4A8B-41A8-857C-E18A89F1E2B3}"/>
    <cellStyle name="Normal 10 2 3 5" xfId="3187" xr:uid="{EFA7ED6F-E2A9-4855-96BE-678FBE4D8433}"/>
    <cellStyle name="Normal 10 2 3 5 2" xfId="7388" xr:uid="{9C4A64CB-0947-4C48-B804-03B2F339FBAF}"/>
    <cellStyle name="Normal 10 2 3 6" xfId="4504" xr:uid="{0471A032-7398-4AE1-9529-0AB8F8DF24B7}"/>
    <cellStyle name="Normal 10 2 3 6 2" xfId="8687" xr:uid="{770BAA06-4539-4F3C-8AEF-17ACD668CB09}"/>
    <cellStyle name="Normal 10 2 4" xfId="1138" xr:uid="{6C59AD68-29B0-4816-90E4-2A3B2066C644}"/>
    <cellStyle name="Normal 10 2 4 2" xfId="2783" xr:uid="{78D6A09E-9354-4695-BDC8-7BC603207E34}"/>
    <cellStyle name="Normal 10 2 4 2 2" xfId="6995" xr:uid="{3C8DF1DE-9324-41CA-8E20-0C011F6D1FB5}"/>
    <cellStyle name="Normal 10 2 4 3" xfId="3331" xr:uid="{ABE3430E-D913-42DA-B4B9-95AD6F057D61}"/>
    <cellStyle name="Normal 10 2 4 3 2" xfId="7528" xr:uid="{DC0FDDA7-CF36-4EF4-BDF4-00BFEC10EABE}"/>
    <cellStyle name="Normal 10 2 4 4" xfId="4649" xr:uid="{D6A51832-5DFA-420A-9946-5ACFB05AE9AA}"/>
    <cellStyle name="Normal 10 2 4 4 2" xfId="8828" xr:uid="{EAC8856C-9856-4D7E-A013-7394777172CC}"/>
    <cellStyle name="Normal 10 2 4 5" xfId="6213" xr:uid="{3CC43891-76F7-4D7A-8CAC-DF2198A97FAF}"/>
    <cellStyle name="Normal 10 2 5" xfId="86" xr:uid="{5A48F372-306F-44E4-8210-D8D3F7EFC2CF}"/>
    <cellStyle name="Normal 10 2 5 2" xfId="4099" xr:uid="{7B70F9FC-E7D3-4558-A0EE-7FA1C7E8B933}"/>
    <cellStyle name="Normal 10 2 5 2 2" xfId="8288" xr:uid="{90F724BF-3B3F-4BAD-9C66-340EAD92319C}"/>
    <cellStyle name="Normal 10 2 5 3" xfId="5671" xr:uid="{7118F872-068B-4C6A-8F3D-433F3FDB7E30}"/>
    <cellStyle name="Normal 10 2 6" xfId="2764" xr:uid="{A2368EE1-C9B5-40C6-835B-1775C516B3AD}"/>
    <cellStyle name="Normal 10 2 6 2" xfId="6980" xr:uid="{E0913009-54EB-4857-BF46-DE5EE67E9239}"/>
    <cellStyle name="Normal 10 2 7" xfId="2774" xr:uid="{8F61E3F5-DF7E-4E10-900A-DE449642563F}"/>
    <cellStyle name="Normal 10 2 7 2" xfId="6987" xr:uid="{3DAAD244-1E12-4F09-B9A2-0734A882ACA7}"/>
    <cellStyle name="Normal 10 2 8" xfId="2793" xr:uid="{F7FA47BB-36C7-4F7E-837A-A922D3F17699}"/>
    <cellStyle name="Normal 10 2 8 2" xfId="7004" xr:uid="{952DFAAE-2F8E-4FDA-9344-24A824CCDA9B}"/>
    <cellStyle name="Normal 10 2 9" xfId="4096" xr:uid="{B8DD31B1-9C53-4031-8D32-E0B75510C5EC}"/>
    <cellStyle name="Normal 10 2 9 2" xfId="8285" xr:uid="{502338ED-7216-49B6-96A0-18ED7A3A834F}"/>
    <cellStyle name="Normal 10 3" xfId="1387" xr:uid="{8FD3FBB3-5258-4CC4-890C-51C383045DAA}"/>
    <cellStyle name="Normal 10 4" xfId="17" xr:uid="{D9A8EB6C-5F4D-4060-99C9-94444C56C293}"/>
    <cellStyle name="Normal 10 4 3" xfId="5491" xr:uid="{82239235-BCB9-41A5-A160-43D5F85887EF}"/>
    <cellStyle name="Normal 11" xfId="219" xr:uid="{AACFB43B-3C32-4805-9952-380982E5594D}"/>
    <cellStyle name="Normal 11 2" xfId="220" xr:uid="{A55926E0-1FF7-45FC-9ABA-98D4820EFA27}"/>
    <cellStyle name="Normal 11 2 2" xfId="638" xr:uid="{EEA89AB4-D448-4475-9BF1-81F469026539}"/>
    <cellStyle name="Normal 11 2 2 2" xfId="1203" xr:uid="{86A0FA4C-8ED7-46D7-B826-A773634DDBEF}"/>
    <cellStyle name="Normal 11 2 2 2 2" xfId="3396" xr:uid="{4A7878CF-50D1-4082-A2D0-39641B82081B}"/>
    <cellStyle name="Normal 11 2 2 2 2 2" xfId="7593" xr:uid="{5DC66D53-08B4-4C31-AFC9-D13A3DC891A5}"/>
    <cellStyle name="Normal 11 2 2 2 3" xfId="4714" xr:uid="{C90AA068-AFEC-4F7E-97AC-E1FF4FCE74DF}"/>
    <cellStyle name="Normal 11 2 2 2 3 2" xfId="8893" xr:uid="{EED5550D-164E-4107-A56C-9BB0CC805A43}"/>
    <cellStyle name="Normal 11 2 2 2 4" xfId="6278" xr:uid="{055A70EA-2E12-45F2-877E-F693ADC0FD39}"/>
    <cellStyle name="Normal 11 2 2 3" xfId="2959" xr:uid="{7AE9587C-A618-4385-B07D-EC0B4DD7571D}"/>
    <cellStyle name="Normal 11 2 2 3 2" xfId="7162" xr:uid="{FE3044C4-8B2F-4F0C-BE40-0620125CEE98}"/>
    <cellStyle name="Normal 11 2 2 4" xfId="4270" xr:uid="{9F97B1F2-C7BD-443E-8044-8F24351B9D5F}"/>
    <cellStyle name="Normal 11 2 2 4 2" xfId="8455" xr:uid="{63989376-A5C5-4E2A-9848-4C15836AB3F0}"/>
    <cellStyle name="Normal 11 2 2 5" xfId="5839" xr:uid="{459F7742-A7B7-4795-BC7B-119D954E3A9F}"/>
    <cellStyle name="Normal 11 2 3" xfId="1028" xr:uid="{5926C2C4-A1C5-4196-99EA-BA8FCFE37898}"/>
    <cellStyle name="Normal 11 2 3 2" xfId="1269" xr:uid="{DD01F19E-EC30-4D8C-ACB7-B24E4A1400FB}"/>
    <cellStyle name="Normal 11 2 3 2 2" xfId="3462" xr:uid="{D9A41E41-D90D-44A7-8A84-2C44280082D0}"/>
    <cellStyle name="Normal 11 2 3 2 2 2" xfId="7659" xr:uid="{6B152183-12D1-495E-AE65-E08512EDE567}"/>
    <cellStyle name="Normal 11 2 3 2 3" xfId="4780" xr:uid="{F4C36A4D-46BF-45C4-97AF-2E260681A3F6}"/>
    <cellStyle name="Normal 11 2 3 2 3 2" xfId="8959" xr:uid="{5A063FEC-CDCC-481A-8EF7-0B85F98DDEFE}"/>
    <cellStyle name="Normal 11 2 3 2 4" xfId="6344" xr:uid="{CD533BD9-FEE3-44E2-9B2C-48302538C386}"/>
    <cellStyle name="Normal 11 2 3 3" xfId="3236" xr:uid="{6D3A567C-4271-4E6A-B739-64C6D0F0486B}"/>
    <cellStyle name="Normal 11 2 3 3 2" xfId="7437" xr:uid="{5687713A-528C-4636-84D1-F9850BD08465}"/>
    <cellStyle name="Normal 11 2 3 4" xfId="4553" xr:uid="{86C81EED-B712-4BDE-8CAE-BB9D8F70CE16}"/>
    <cellStyle name="Normal 11 2 3 4 2" xfId="8736" xr:uid="{4403CDC0-7518-4D0C-B046-907D48FD04A3}"/>
    <cellStyle name="Normal 11 2 3 5" xfId="6121" xr:uid="{B1EE1AB4-ED76-4923-83AF-E8AE7B5AC63F}"/>
    <cellStyle name="Normal 11 2 4" xfId="1139" xr:uid="{76ED48CA-602B-4283-AE2F-97B0E481A728}"/>
    <cellStyle name="Normal 11 2 4 2" xfId="3332" xr:uid="{F5399249-721A-4F38-8C49-0C09BD9CBA7E}"/>
    <cellStyle name="Normal 11 2 4 2 2" xfId="7529" xr:uid="{053CBD58-185B-436D-8B06-8E4BDE59DD05}"/>
    <cellStyle name="Normal 11 2 4 3" xfId="4650" xr:uid="{1EE79062-B625-4620-8A2D-BECFDDB26FCE}"/>
    <cellStyle name="Normal 11 2 4 3 2" xfId="8829" xr:uid="{06CB8D35-45E4-495B-B2F2-B608690536EB}"/>
    <cellStyle name="Normal 11 2 4 4" xfId="6214" xr:uid="{90388278-8B2D-4A94-960C-EFE4E415381A}"/>
    <cellStyle name="Normal 11 2 5" xfId="2866" xr:uid="{8F8D4B3B-FCC0-4699-9831-86FC2BA0AB6C}"/>
    <cellStyle name="Normal 11 2 5 2" xfId="7073" xr:uid="{1C3A7991-877F-47A5-BEBD-A9BE63B6FAC0}"/>
    <cellStyle name="Normal 11 2 6" xfId="4177" xr:uid="{C182573A-A866-42E1-B5E4-18EBBCEBFCAD}"/>
    <cellStyle name="Normal 11 2 6 2" xfId="8366" xr:uid="{6B3913B5-B09F-4467-8B1C-2BA669713A25}"/>
    <cellStyle name="Normal 11 2 7" xfId="5748" xr:uid="{F1CC9CAA-6157-4432-8C3A-C49B34FB78EC}"/>
    <cellStyle name="Normal 11 3" xfId="221" xr:uid="{6E27E008-8594-42C1-AC88-03EDE6035D52}"/>
    <cellStyle name="Normal 11 3 2" xfId="1388" xr:uid="{633E1213-59E2-4766-B006-DD07D8650EFA}"/>
    <cellStyle name="Normal 11 4" xfId="222" xr:uid="{9A7C6F89-0221-43C8-83F5-F8B91DDBACF4}"/>
    <cellStyle name="Normal 11 4 2" xfId="1389" xr:uid="{E5E4E838-07A3-475D-8A20-DC1A785D27AC}"/>
    <cellStyle name="Normal 11 5" xfId="1390" xr:uid="{86804DCA-206F-47D1-A770-BBF46D3DDD36}"/>
    <cellStyle name="Normal 12" xfId="223" xr:uid="{8FD130E9-B696-4E35-825C-1C1BC94FDDBF}"/>
    <cellStyle name="Normal 12 2" xfId="59" xr:uid="{04FE9816-74E5-4004-9DE8-FEBCB1A3E10F}"/>
    <cellStyle name="Normal 12 3" xfId="2011" xr:uid="{E364BF20-9218-46A3-8FBD-0107E5ACF7E9}"/>
    <cellStyle name="Normal 12 3 2" xfId="8" xr:uid="{AA42A7F4-8AD1-4F68-94C3-C330B0BC43D5}"/>
    <cellStyle name="Normal 12 3 3" xfId="2021" xr:uid="{59E913E5-3311-436D-8C13-6CEDD0536322}"/>
    <cellStyle name="Normal 12 4" xfId="2014" xr:uid="{8B360167-323E-4347-9E84-830C0622364D}"/>
    <cellStyle name="Normal 13" xfId="224" xr:uid="{B5195538-AD60-4960-BE12-2527624FF5AB}"/>
    <cellStyle name="Normal 13 2" xfId="225" xr:uid="{FBCD6CD7-F907-4495-ACF8-70F06FD4337A}"/>
    <cellStyle name="Normal 13 3" xfId="226" xr:uid="{05D9871A-E24B-42F1-BB31-F565540FA5B1}"/>
    <cellStyle name="Normal 13 3 2" xfId="1391" xr:uid="{5F739A88-8B5A-4D8C-B719-CEC65F74C4B2}"/>
    <cellStyle name="Normal 13 4" xfId="227" xr:uid="{11A14DD5-C99C-4966-8CC9-37220D391C05}"/>
    <cellStyle name="Normal 13 4 2" xfId="1392" xr:uid="{48A28DF2-F95E-4311-9697-B0FE7C4F8A78}"/>
    <cellStyle name="Normal 13 4 3" xfId="1393" xr:uid="{A7AA14FB-7890-45C3-A326-6CF577741AA3}"/>
    <cellStyle name="Normal 13 4 3 2" xfId="3521" xr:uid="{471297FE-B528-437D-8A1C-A7BCC4552D27}"/>
    <cellStyle name="Normal 13 4 3 2 2" xfId="7716" xr:uid="{098C8110-CAD3-4B68-A3D9-8254FE3C6E3E}"/>
    <cellStyle name="Normal 13 4 3 3" xfId="4841" xr:uid="{00113766-5BEB-4F89-8F57-5444681B30D6}"/>
    <cellStyle name="Normal 13 4 3 3 2" xfId="9018" xr:uid="{48C40F8B-0FBB-4AA1-A08B-458ADDBCEDCF}"/>
    <cellStyle name="Normal 13 4 3 4" xfId="6403" xr:uid="{C0971DDF-D86D-4737-9B06-8988E34631A1}"/>
    <cellStyle name="Normal 13 5" xfId="1394" xr:uid="{44E516B4-7A87-45CE-BE8A-C3E8894C689D}"/>
    <cellStyle name="Normal 14" xfId="44" xr:uid="{384E194D-079D-4CE7-BCEC-E821046C885D}"/>
    <cellStyle name="Normal 14 2" xfId="50" xr:uid="{4AAEEDBE-2255-4799-8E73-027F30668C5C}"/>
    <cellStyle name="Normal 14 2 2" xfId="1395" xr:uid="{9ADC1201-BB69-4080-AA74-CF10A6DB5553}"/>
    <cellStyle name="Normal 14 2 7" xfId="83" xr:uid="{549CF2E4-9E94-4ED1-B68B-7B649153871E}"/>
    <cellStyle name="Normal 14 3" xfId="228" xr:uid="{34AEDCDD-A0BD-4070-BFAA-65591287AC7C}"/>
    <cellStyle name="Normal 14 3 2" xfId="1396" xr:uid="{5F2B35A3-5BB9-4405-81C4-9541827FA1AF}"/>
    <cellStyle name="Normal 14 3 3" xfId="1397" xr:uid="{193A9081-2122-463E-8A20-E91B216D7D4F}"/>
    <cellStyle name="Normal 14 3 3 2" xfId="3522" xr:uid="{E42F96EA-DB18-433C-A110-528F6353A292}"/>
    <cellStyle name="Normal 14 3 3 2 2" xfId="7717" xr:uid="{5428264E-FDDF-499E-9983-0584CC1F20A1}"/>
    <cellStyle name="Normal 14 3 3 3" xfId="4842" xr:uid="{E30DFC9C-563A-46E3-A5DC-9B8301E72DC3}"/>
    <cellStyle name="Normal 14 3 3 3 2" xfId="9019" xr:uid="{055E6742-6950-42D4-B5B6-630FFB02C30A}"/>
    <cellStyle name="Normal 14 3 3 4" xfId="6404" xr:uid="{BDEAC9C5-4826-4FD3-834D-D26DDCA8A965}"/>
    <cellStyle name="Normal 14 4" xfId="1398" xr:uid="{BD2FD780-678E-4C90-A4B5-7F4D169352AA}"/>
    <cellStyle name="Normal 14 5" xfId="1399" xr:uid="{0474D428-1C38-4778-804F-A25F5633FE31}"/>
    <cellStyle name="Normal 15" xfId="229" xr:uid="{889D516C-EBE7-42AF-9C4C-1A4D59CAF066}"/>
    <cellStyle name="Normal 15 2" xfId="737" xr:uid="{492227E5-C9B3-4420-ABB2-C2BA5C583301}"/>
    <cellStyle name="Normal 15 2 2" xfId="1400" xr:uid="{3308412E-5A6D-4318-A997-008D59157668}"/>
    <cellStyle name="Normal 16" xfId="230" xr:uid="{0C51F78F-6CFF-4C99-9F67-2139C7DB773E}"/>
    <cellStyle name="Normal 16 2" xfId="231" xr:uid="{6D536D98-AF1A-4833-8716-57C6CAE1A886}"/>
    <cellStyle name="Normal 16 2 2" xfId="1401" xr:uid="{EE735269-B1D2-4554-A370-2B831F07AAF8}"/>
    <cellStyle name="Normal 16 3" xfId="1402" xr:uid="{E61FCC07-DBD5-4452-BCF8-92362B32A55D}"/>
    <cellStyle name="Normal 17" xfId="91" xr:uid="{6A4ED2EC-AE96-438B-905B-47E91D508B5C}"/>
    <cellStyle name="Normal 17 2" xfId="969" xr:uid="{B685FC33-20FA-4BFF-96C7-1330882DD10E}"/>
    <cellStyle name="Normal 17 2 10" xfId="6064" xr:uid="{FF77227C-9082-44C1-9A11-4916C7836DAA}"/>
    <cellStyle name="Normal 17 2 2" xfId="1217" xr:uid="{9228D07D-7A05-47FF-A6C7-D73B90F80F01}"/>
    <cellStyle name="Normal 17 2 2 2" xfId="2788" xr:uid="{7A88CFF6-AA7C-42CE-A015-F62014C4CF6D}"/>
    <cellStyle name="Normal 17 2 2 2 2" xfId="7000" xr:uid="{3CD1A1F2-0B58-4E82-B594-A468DDBE5659}"/>
    <cellStyle name="Normal 17 2 2 3" xfId="3410" xr:uid="{80B305A8-506C-4932-A126-5F5D5BEB8455}"/>
    <cellStyle name="Normal 17 2 2 3 2" xfId="7607" xr:uid="{1CA37C39-DC5F-48CC-B1F6-D2EC6362DDD5}"/>
    <cellStyle name="Normal 17 2 2 4" xfId="4728" xr:uid="{88991203-83E4-4446-A3C0-97BCCD570D78}"/>
    <cellStyle name="Normal 17 2 2 4 2" xfId="8907" xr:uid="{2C72FC31-3248-493E-A519-AD2F3DC5506F}"/>
    <cellStyle name="Normal 17 2 2 5" xfId="6292" xr:uid="{E4707E27-5E4D-42CD-A7BA-8C7C9531930B}"/>
    <cellStyle name="Normal 17 2 3" xfId="1403" xr:uid="{122A54B3-51A1-446C-BBCF-BC88E39E119E}"/>
    <cellStyle name="Normal 17 2 4" xfId="13" xr:uid="{5540C440-13C7-4808-8D83-F6AC89D2B8A3}"/>
    <cellStyle name="Normal 17 2 4 2" xfId="2772" xr:uid="{28017F96-4722-4FBB-93B7-7AB2C3C0DE8D}"/>
    <cellStyle name="Normal 17 2 4 3" xfId="6986" xr:uid="{0960BF61-C60D-416F-AC5E-0DA1E1B909CC}"/>
    <cellStyle name="Normal 17 2 5" xfId="2778" xr:uid="{28769F08-DD3E-4388-9EE3-FC32409646AC}"/>
    <cellStyle name="Normal 17 2 5 2" xfId="6991" xr:uid="{70053695-8D19-461A-A520-EF1BE7A49CB9}"/>
    <cellStyle name="Normal 17 2 6" xfId="3179" xr:uid="{502EE51F-8058-41AE-9256-FF03D739DCDF}"/>
    <cellStyle name="Normal 17 2 6 2" xfId="7380" xr:uid="{C1CAFE1A-9BA5-4778-9A77-71ABCE98B280}"/>
    <cellStyle name="Normal 17 2 7" xfId="4496" xr:uid="{814C97FC-1DBD-45CD-BE40-A975DF4E3CD6}"/>
    <cellStyle name="Normal 17 2 7 2" xfId="8679" xr:uid="{64DC0ACE-086C-4603-9B03-ADEF675952E6}"/>
    <cellStyle name="Normal 17 2 8" xfId="5462" xr:uid="{D246C1E1-FA9F-4207-B79A-3FA0F643524A}"/>
    <cellStyle name="Normal 17 2 8 2" xfId="9597" xr:uid="{1E107738-A220-46D0-8C43-73A826EC2422}"/>
    <cellStyle name="Normal 17 2 9" xfId="5487" xr:uid="{213C2173-D748-41F2-B5B2-8109377F3B2F}"/>
    <cellStyle name="Normal 17 2 9 2" xfId="9617" xr:uid="{66269E10-CF6B-405C-9935-C00219B62367}"/>
    <cellStyle name="Normal 17 3" xfId="1042" xr:uid="{89C79EFA-3AF5-4A49-B8B7-F62454C06325}"/>
    <cellStyle name="Normal 17 3 2" xfId="1283" xr:uid="{098CF84C-5F98-4092-AE72-0159ED1992B4}"/>
    <cellStyle name="Normal 17 3 2 2" xfId="3476" xr:uid="{381EC118-91BF-4BC8-ABA1-0A08E1E93082}"/>
    <cellStyle name="Normal 17 3 2 2 2" xfId="7673" xr:uid="{2CB46CC3-DADB-452B-89B7-CA37A4FF5B56}"/>
    <cellStyle name="Normal 17 3 2 3" xfId="4794" xr:uid="{584556A5-8E5B-4D0A-AB19-30D29294ECD0}"/>
    <cellStyle name="Normal 17 3 2 3 2" xfId="8973" xr:uid="{BD5F7A5C-9664-4163-8AB0-2CFB74D42218}"/>
    <cellStyle name="Normal 17 3 2 4" xfId="6358" xr:uid="{98E063A7-FA49-4B33-A669-2CD78B6CDA25}"/>
    <cellStyle name="Normal 17 3 3" xfId="1404" xr:uid="{48234ACE-427D-4BCF-A06F-C224AC00B45D}"/>
    <cellStyle name="Normal 17 3 4" xfId="3250" xr:uid="{B9582A03-B5EB-4734-8D8C-A8CA9590ED76}"/>
    <cellStyle name="Normal 17 3 4 2" xfId="7451" xr:uid="{9725A534-2A89-4AB9-B83A-9DB385CF6DCA}"/>
    <cellStyle name="Normal 17 3 5" xfId="4567" xr:uid="{07B5DCE6-994A-4C38-A55C-A049B689EC2A}"/>
    <cellStyle name="Normal 17 3 5 2" xfId="8750" xr:uid="{ADD2DA89-0A27-41DA-96CF-3D016DDF0987}"/>
    <cellStyle name="Normal 17 3 6" xfId="6135" xr:uid="{65F7C1A9-F8C1-48F4-879D-525CF4C66E5E}"/>
    <cellStyle name="Normal 17 4" xfId="1151" xr:uid="{EF927B78-B55B-4204-86FE-0C8A2671E54A}"/>
    <cellStyle name="Normal 17 4 2" xfId="3344" xr:uid="{C11D549C-8029-41CB-8894-820431546F64}"/>
    <cellStyle name="Normal 17 4 2 2" xfId="7541" xr:uid="{DE03976A-3D04-4500-BCB3-9302640B7FC0}"/>
    <cellStyle name="Normal 17 4 3" xfId="4662" xr:uid="{E37A00CA-ED68-4789-9DE4-028774C2F7B2}"/>
    <cellStyle name="Normal 17 4 3 2" xfId="8841" xr:uid="{B5E3447E-80AB-4869-8524-D397C320B4F9}"/>
    <cellStyle name="Normal 17 4 4" xfId="6226" xr:uid="{1C296281-1148-4397-8B7E-1E211470AC98}"/>
    <cellStyle name="Normal 17 5" xfId="6" xr:uid="{A77668DB-5C8D-4127-85D3-D9D5FB940834}"/>
    <cellStyle name="Normal 17 6" xfId="2795" xr:uid="{7F0F810A-B09D-4830-AE61-5AA0191C5314}"/>
    <cellStyle name="Normal 17 6 2" xfId="7006" xr:uid="{0C347569-5DC4-424D-9703-907838AACEE9}"/>
    <cellStyle name="Normal 17 7" xfId="4103" xr:uid="{31DF80EB-7952-4228-B939-27AB1AFC7744}"/>
    <cellStyle name="Normal 17 7 2" xfId="8292" xr:uid="{1B17CAE5-CA68-45CB-93D7-A211FD21E9C9}"/>
    <cellStyle name="Normal 17 8" xfId="28" xr:uid="{3060F6F8-CC86-4304-9201-6FAFCDAE2382}"/>
    <cellStyle name="Normal 17 9" xfId="5674" xr:uid="{EF92C695-3A64-479E-861B-022AE0C2E775}"/>
    <cellStyle name="Normal 18" xfId="639" xr:uid="{CA8731F7-0B60-4DB1-B726-E1E3710E9969}"/>
    <cellStyle name="Normal 18 2" xfId="973" xr:uid="{5208A88B-7AA7-4B9E-B342-543688EC9949}"/>
    <cellStyle name="Normal 18 3" xfId="1088" xr:uid="{6C78ECF2-BA5F-472B-B328-B1B556CB5B56}"/>
    <cellStyle name="Normal 18 4" xfId="660" xr:uid="{85AC002E-53BA-416D-A140-B3F91573B4F2}"/>
    <cellStyle name="Normal 19" xfId="1049" xr:uid="{5BFA8FBE-A52D-46AB-B3DC-75BE95C18361}"/>
    <cellStyle name="Normal 19 2" xfId="1286" xr:uid="{01EA11B1-E274-4FDB-9747-2C26D537B1FE}"/>
    <cellStyle name="Normal 19 2 2" xfId="1406" xr:uid="{0E915512-C945-488D-A675-C01DF43A17F9}"/>
    <cellStyle name="Normal 19 3" xfId="1405" xr:uid="{4826EC4A-49E5-4A17-B750-7B8A1420D2CD}"/>
    <cellStyle name="Normal 2" xfId="87" xr:uid="{9654075A-DB1D-4907-AB5B-872E848D4B90}"/>
    <cellStyle name="Normal 2 2" xfId="79" xr:uid="{43252C41-9A6B-427A-857D-ACD524A8C2FC}"/>
    <cellStyle name="Normal 2 2 2" xfId="89" xr:uid="{9FC03DB2-FC02-4657-A89F-B1F07B40DE7D}"/>
    <cellStyle name="Normal 2 2 2 2" xfId="233" xr:uid="{22170DC2-4D15-4F86-8A4B-528849F6A6A2}"/>
    <cellStyle name="Normal 2 2 2 2 2" xfId="234" xr:uid="{C363AD1F-E161-4F3E-B434-136B72C2E16A}"/>
    <cellStyle name="Normal 2 2 2 2 2 2" xfId="556" xr:uid="{89A39E0D-DDDF-44CB-BF26-94AFCF8CA2C4}"/>
    <cellStyle name="Normal 2 2 2 2 3" xfId="555" xr:uid="{EC8DF666-6237-401F-9381-B21AE68F083B}"/>
    <cellStyle name="Normal 2 2 2 2 3 2" xfId="1066" xr:uid="{6EA31392-0CA3-49B4-8ABB-C86C9D12CAEE}"/>
    <cellStyle name="Normal 2 2 2 2 3 3" xfId="5" xr:uid="{94640772-8CFA-4B6D-A94B-4B1930F522EF}"/>
    <cellStyle name="Normal 2 2 2 3" xfId="640" xr:uid="{91796AF6-B0E3-4615-AFF6-BFBF405B24EF}"/>
    <cellStyle name="Normal 2 2 3" xfId="235" xr:uid="{20F04F2C-300B-4FD6-AF0D-108540D94860}"/>
    <cellStyle name="Normal 2 2 4" xfId="236" xr:uid="{2C322044-EBBB-44C4-A3F1-BA5C6159E4D4}"/>
    <cellStyle name="Normal 2 2 4 2" xfId="237" xr:uid="{0C269878-5D8B-4941-BDC8-D90E1F2E2AA6}"/>
    <cellStyle name="Normal 2 2 4 2 2" xfId="558" xr:uid="{66BA7313-B234-4234-86C0-502D9A506DDE}"/>
    <cellStyle name="Normal 2 2 4 3" xfId="557" xr:uid="{C2317B44-6AD3-4F0F-B58A-5D9874998FA5}"/>
    <cellStyle name="Normal 2 2 5" xfId="238" xr:uid="{FFDDDB0C-36F0-4829-ABBE-E53335B45A63}"/>
    <cellStyle name="Normal 2 2 6" xfId="1407" xr:uid="{83545A01-4FEA-4EF3-94AC-925CB553B63A}"/>
    <cellStyle name="Normal 2 2 7" xfId="10" xr:uid="{0178B105-3C46-4C8C-8129-D46DB66E87AC}"/>
    <cellStyle name="Normal 2 2 7 3" xfId="75" xr:uid="{8F111009-8ECD-4D4F-B739-3DB23E25E5E2}"/>
    <cellStyle name="Normal 2 2 8" xfId="232" xr:uid="{6B976EF7-9A42-49AC-BB09-0E575D20A356}"/>
    <cellStyle name="Normal 2 3" xfId="239" xr:uid="{41595CCF-200B-4787-B724-A47D864B1E1D}"/>
    <cellStyle name="Normal 2 3 2" xfId="240" xr:uid="{51BB8020-608D-4828-BB29-1F6E8A12A7E4}"/>
    <cellStyle name="Normal 2 3 2 2" xfId="1408" xr:uid="{15A8DBFA-F116-4111-8173-1FD492C557DE}"/>
    <cellStyle name="Normal 2 3 2 3" xfId="15" xr:uid="{FF83667A-C668-4DC1-820C-D58E2F4F83F1}"/>
    <cellStyle name="Normal 2 3 3" xfId="241" xr:uid="{83FCC446-AA81-4A69-9885-62912C745C7B}"/>
    <cellStyle name="Normal 2 3 3 2" xfId="738" xr:uid="{C00F6C9D-F9BC-4CB8-810C-4A8925DF494F}"/>
    <cellStyle name="Normal 2 3 3 2 2" xfId="1409" xr:uid="{D8F0F02E-76FF-41D6-A97F-0DAFE5476A79}"/>
    <cellStyle name="Normal 2 3 4" xfId="242" xr:uid="{360587F9-81FC-4985-AA26-F13C3BF87E7D}"/>
    <cellStyle name="Normal 2 3 4 2" xfId="1410" xr:uid="{B9DFA677-FF0D-4C40-9BBD-A6D745A3052B}"/>
    <cellStyle name="Normal 2 3 5" xfId="1411" xr:uid="{E95BD9FF-00E0-4D85-BE28-0C151D35C2AC}"/>
    <cellStyle name="Normal 2 3 6" xfId="2089" xr:uid="{B3ABC1D1-6BEB-417B-A954-A36A5FDD1E2A}"/>
    <cellStyle name="Normal 2 4" xfId="243" xr:uid="{80A43204-7DC5-495D-B5B3-B66B4D5BB474}"/>
    <cellStyle name="Normal 2 4 2" xfId="641" xr:uid="{1BBA2990-87DC-4E31-A878-7084735FABEA}"/>
    <cellStyle name="Normal 2 4 2 2" xfId="1204" xr:uid="{4C3018BC-4CB7-4A14-8B8E-47E731118BEF}"/>
    <cellStyle name="Normal 2 4 2 2 2" xfId="3397" xr:uid="{522A60B7-9CFB-4BF7-968A-6C8522FBB58D}"/>
    <cellStyle name="Normal 2 4 2 2 2 2" xfId="7594" xr:uid="{3BF07040-2B4A-4E54-88B0-60021E8B6F08}"/>
    <cellStyle name="Normal 2 4 2 2 3" xfId="4715" xr:uid="{AD01FEDC-CEFF-4ED4-AE34-A7F8F9F317B8}"/>
    <cellStyle name="Normal 2 4 2 2 3 2" xfId="8894" xr:uid="{4615CE90-D57A-4B69-BC48-2411794154A1}"/>
    <cellStyle name="Normal 2 4 2 2 4" xfId="6279" xr:uid="{3C8367FF-0BB7-4807-854D-2F4979538B7C}"/>
    <cellStyle name="Normal 2 4 2 3" xfId="2960" xr:uid="{A678C566-4BFC-4ADA-AA26-4AC5E851CBA0}"/>
    <cellStyle name="Normal 2 4 2 3 2" xfId="7163" xr:uid="{8556EA2E-6864-4F11-B5A5-42A7716E6CCC}"/>
    <cellStyle name="Normal 2 4 2 4" xfId="4271" xr:uid="{3651A764-C485-44C9-9649-FAC7F09D2182}"/>
    <cellStyle name="Normal 2 4 2 4 2" xfId="8456" xr:uid="{18C1541E-BC18-46DA-980B-E6F1AB35783F}"/>
    <cellStyle name="Normal 2 4 2 5" xfId="5840" xr:uid="{387D521D-1A6A-47A8-93BF-84659C0308B5}"/>
    <cellStyle name="Normal 2 4 3" xfId="1029" xr:uid="{959B448C-BFC3-4D7E-8520-4AA747A6844E}"/>
    <cellStyle name="Normal 2 4 3 2" xfId="1270" xr:uid="{226A8F1F-40D8-4776-9E38-85FF42F63007}"/>
    <cellStyle name="Normal 2 4 3 2 2" xfId="3463" xr:uid="{CD57A131-A27F-42C2-B0AA-61D606CBCFBC}"/>
    <cellStyle name="Normal 2 4 3 2 2 2" xfId="7660" xr:uid="{B5E773E3-30DE-4E44-A3FB-92C69A3B5660}"/>
    <cellStyle name="Normal 2 4 3 2 3" xfId="4781" xr:uid="{C2CE7BD8-2683-415A-BDA0-B860C2DA0E72}"/>
    <cellStyle name="Normal 2 4 3 2 3 2" xfId="8960" xr:uid="{32DD0580-A2DA-4E95-BB90-39098D77268E}"/>
    <cellStyle name="Normal 2 4 3 2 4" xfId="6345" xr:uid="{C9FA25C2-2E7F-49B4-B6D9-14FAF2F5F635}"/>
    <cellStyle name="Normal 2 4 3 3" xfId="3237" xr:uid="{B10E8BA8-F514-4C35-82CF-C2B397E93C48}"/>
    <cellStyle name="Normal 2 4 3 3 2" xfId="7438" xr:uid="{7A9BD077-2AE3-4366-B505-21DA746244B3}"/>
    <cellStyle name="Normal 2 4 3 4" xfId="4554" xr:uid="{10D8D0CF-01C3-4020-AC2D-8257F60580AE}"/>
    <cellStyle name="Normal 2 4 3 4 2" xfId="8737" xr:uid="{A548B88C-3C06-46F2-BDFE-FFFF366A8C4D}"/>
    <cellStyle name="Normal 2 4 3 5" xfId="6122" xr:uid="{904351AA-F26A-4993-99DE-1E6A75335779}"/>
    <cellStyle name="Normal 2 4 4" xfId="20" xr:uid="{4A0D99D0-06C9-400A-93A3-A70EE678FDCD}"/>
    <cellStyle name="Normal 2 4 5" xfId="2867" xr:uid="{FA5E1017-B904-46CC-A7E6-200C282966A8}"/>
    <cellStyle name="Normal 2 4 5 2" xfId="7074" xr:uid="{A670BB63-DF3F-4516-A3A2-AF0E7B3B62E0}"/>
    <cellStyle name="Normal 2 4 6" xfId="4178" xr:uid="{241428CB-2795-40A2-A39F-D16EE75A100F}"/>
    <cellStyle name="Normal 2 4 6 2" xfId="8367" xr:uid="{B56A20A9-90D7-4EE2-93F9-4ED95E274F5F}"/>
    <cellStyle name="Normal 2 4 7" xfId="5749" xr:uid="{4BF8A248-87CE-4411-B9D3-E8F71C22BCD9}"/>
    <cellStyle name="Normal 2 5" xfId="49" xr:uid="{F8AA911B-8C1A-4323-8569-677489B5537D}"/>
    <cellStyle name="Normal 2 5 2" xfId="975" xr:uid="{4F0DFC6B-5782-4C0B-A9CF-EE0EE3A07D3D}"/>
    <cellStyle name="Normal 2 5 3" xfId="739" xr:uid="{46A7977B-993D-4341-9790-DA537BF9E336}"/>
    <cellStyle name="Normal 2 6" xfId="2777" xr:uid="{72538F34-18A3-4964-9CEF-9CF66457834C}"/>
    <cellStyle name="Normal 2 6 2" xfId="6990" xr:uid="{BC6ABF6D-7C54-41CC-851B-15C8CF9429F7}"/>
    <cellStyle name="Normal 2 7" xfId="5486" xr:uid="{543CC7CC-3F23-4918-90CD-E539C911C80A}"/>
    <cellStyle name="Normal 2 7 2" xfId="9616" xr:uid="{7493FEEA-9FB5-4A79-A549-FAB391CD17DC}"/>
    <cellStyle name="Normal 20" xfId="659" xr:uid="{DB843CB6-0AC3-42E9-8236-1E6EA2EF838C}"/>
    <cellStyle name="Normal 20 2" xfId="1412" xr:uid="{48487CE0-C4FB-4184-9573-CE5A28AF3E30}"/>
    <cellStyle name="Normal 20 3" xfId="2973" xr:uid="{7637930D-C18A-4CD8-A68F-3674447E9F5C}"/>
    <cellStyle name="Normal 20 3 2" xfId="7176" xr:uid="{9ACF713F-2ABE-4386-85E4-2EBBA6D3FDC6}"/>
    <cellStyle name="Normal 20 4" xfId="4286" xr:uid="{A9FD4EE0-3616-4AE5-8901-FA9FF520F51D}"/>
    <cellStyle name="Normal 20 4 2" xfId="8471" xr:uid="{1BA5EA3E-6350-4E91-9DA1-C25E49525384}"/>
    <cellStyle name="Normal 20 5" xfId="5855" xr:uid="{2095A1B7-E3B0-443D-92FC-436A1E3ECEE8}"/>
    <cellStyle name="Normal 21" xfId="658" xr:uid="{1E216D40-C28D-4C08-961B-855D192FC78F}"/>
    <cellStyle name="Normal 22" xfId="38" xr:uid="{37CB8389-CEE0-4703-92A8-A4D9420A736B}"/>
    <cellStyle name="Normal 22 2" xfId="41" xr:uid="{3F870A6F-3564-4A92-829C-9E6B5A9DDAA7}"/>
    <cellStyle name="Normal 23" xfId="40" xr:uid="{E56B764A-6B29-4538-92A3-D164441B3591}"/>
    <cellStyle name="Normal 24" xfId="2012" xr:uid="{50640648-DA45-4B9F-8C3B-05D0DD508987}"/>
    <cellStyle name="Normal 25" xfId="2015" xr:uid="{5AC6EA1E-E9C9-46A3-92B4-74E643261B56}"/>
    <cellStyle name="Normal 26" xfId="2019" xr:uid="{13516FBC-FD8E-4684-B4DF-67383819A403}"/>
    <cellStyle name="Normal 27" xfId="2022" xr:uid="{F0D50692-3E85-403D-9F43-32203681C6A1}"/>
    <cellStyle name="Normal 28" xfId="2023" xr:uid="{03B76533-5B0E-40CB-8A02-F3AD0D9F2D51}"/>
    <cellStyle name="Normal 28 2" xfId="2767" xr:uid="{F25CFB65-3B42-4904-A636-1203DA0FA109}"/>
    <cellStyle name="Normal 28 2 2" xfId="2791" xr:uid="{6A2E9A65-2420-4996-A3C3-8F44ECF8E759}"/>
    <cellStyle name="Normal 28 3" xfId="2779" xr:uid="{D1EC1C00-07B2-4372-ADD5-308FC862F615}"/>
    <cellStyle name="Normal 29" xfId="2024" xr:uid="{1A4024ED-9B4E-47A7-83E9-BC6010F2D423}"/>
    <cellStyle name="Normal 3" xfId="19" xr:uid="{F92B063A-245B-44EE-942A-966D14101780}"/>
    <cellStyle name="Normal 3 2" xfId="244" xr:uid="{540578EE-A460-4A31-A832-6E3B0111529F}"/>
    <cellStyle name="Normal 3 2 2" xfId="30" xr:uid="{5C8712AF-FBE6-41A6-8E66-F02AAC81245B}"/>
    <cellStyle name="Normal 3 2 2 2" xfId="642" xr:uid="{7E247DDA-6A14-40CD-B702-EE3FDC00D77D}"/>
    <cellStyle name="Normal 3 2 3" xfId="245" xr:uid="{FC38A170-8E11-4F00-9B97-63D58C8595A4}"/>
    <cellStyle name="Normal 3 2 3 2" xfId="1413" xr:uid="{12F4B668-0AB2-4B4A-AB1B-6F42361304D8}"/>
    <cellStyle name="Normal 3 2 4" xfId="246" xr:uid="{0E763808-A49E-4582-B8BD-354747685582}"/>
    <cellStyle name="Normal 3 2 5" xfId="1414" xr:uid="{ADE3E874-047C-4463-838C-D5EDD1E57AAD}"/>
    <cellStyle name="Normal 3 2 6" xfId="5504" xr:uid="{36CF6081-C4CC-4D41-ACB3-C529894FB65E}"/>
    <cellStyle name="Normal 3 2 6 2" xfId="9629" xr:uid="{F2AB7067-1660-4F1F-8827-0BB6EAE39871}"/>
    <cellStyle name="Normal 3 3" xfId="247" xr:uid="{19B08AE1-DBE4-4EFB-A015-15A064CDE468}"/>
    <cellStyle name="Normal 3 3 2" xfId="248" xr:uid="{7B7204C1-E0BE-4F29-B56C-D5F946156804}"/>
    <cellStyle name="Normal 3 3 2 2" xfId="1415" xr:uid="{3F8B720C-AD4C-4121-A8EB-BA8FE8F3FB2C}"/>
    <cellStyle name="Normal 3 3 3" xfId="1416" xr:uid="{E8057030-EF43-43BE-B786-1DB71B13EED1}"/>
    <cellStyle name="Normal 3 3 4" xfId="1417" xr:uid="{1D576CDF-5E84-4BD0-8904-36A41FD216B4}"/>
    <cellStyle name="Normal 3 4" xfId="643" xr:uid="{E65BBF63-FEB2-4DBA-9D5B-89B80DCE6EDD}"/>
    <cellStyle name="Normal 3 4 2" xfId="1419" xr:uid="{335E6384-141F-438F-9FB5-8CCD0D3C227D}"/>
    <cellStyle name="Normal 3 4 2 2" xfId="1842" xr:uid="{8FCBFFCD-093A-4F5E-8AEC-175E236B6272}"/>
    <cellStyle name="Normal 3 4 3" xfId="1420" xr:uid="{7F2D10F2-8EAA-4341-9F35-DD4DD3E213B8}"/>
    <cellStyle name="Normal 3 4 4" xfId="1418" xr:uid="{07D04607-D725-4FB6-A53F-84A15E0FBB68}"/>
    <cellStyle name="Normal 3 5" xfId="1843" xr:uid="{947D5753-666D-4E54-92E1-A827D92C88CF}"/>
    <cellStyle name="Normal 3 6" xfId="2088" xr:uid="{6C3BEE9A-D0F3-4464-8A38-CBFE9B13FB5B}"/>
    <cellStyle name="Normal 30" xfId="2761" xr:uid="{CEEA304A-919C-4D8B-8DC3-331EF8B1A3D4}"/>
    <cellStyle name="Normal 30 2" xfId="6978" xr:uid="{D85EEFF7-0AAF-46A8-8FCB-C6980509498D}"/>
    <cellStyle name="Normal 31" xfId="5420" xr:uid="{399BFB3E-4C38-41D9-B0FD-306F80E33184}"/>
    <cellStyle name="Normal 31 2" xfId="9591" xr:uid="{AB9F2E7A-1B40-4664-A3B6-FEC031EFE128}"/>
    <cellStyle name="Normal 32" xfId="5421" xr:uid="{F5E7517E-848D-4477-BE97-5BAE7B017588}"/>
    <cellStyle name="Normal 32 2" xfId="9592" xr:uid="{8DA11003-FD0B-4213-A8E7-41506D4E414B}"/>
    <cellStyle name="Normal 33" xfId="25" xr:uid="{7B927207-0A1A-46CA-A616-EC398C3187A2}"/>
    <cellStyle name="Normal 33 2" xfId="5467" xr:uid="{AB50DE12-0EF8-4E69-BCC3-40F047BC8828}"/>
    <cellStyle name="Normal 33 3" xfId="9601" xr:uid="{4456C3A8-E981-4099-ABA2-BD1ED6B23932}"/>
    <cellStyle name="Normal 34" xfId="80" xr:uid="{5135EC2F-CB70-4E3C-B7C0-F080B962AE6E}"/>
    <cellStyle name="Normal 35" xfId="5666" xr:uid="{ED5371A6-086A-4224-B060-AD1278869E75}"/>
    <cellStyle name="Normal 4" xfId="249" xr:uid="{EF5CEDDD-A764-4954-9BF0-26BEAB191EB8}"/>
    <cellStyle name="Normal 4 2" xfId="250" xr:uid="{8336548C-5CDB-4195-8BEF-7BD6BC05D912}"/>
    <cellStyle name="Normal 4 2 10" xfId="2789" xr:uid="{D32A4174-AFD7-48D9-BF8A-DD2A981BBCAF}"/>
    <cellStyle name="Normal 4 2 10 2" xfId="7001" xr:uid="{AFA70049-71A9-40FC-887B-D8857FAC7971}"/>
    <cellStyle name="Normal 4 2 2" xfId="251" xr:uid="{AAD67DA8-BBC1-4325-A302-E9D7031F590B}"/>
    <cellStyle name="Normal 4 2 2 2" xfId="52" xr:uid="{7AE0B16B-03C9-4C78-9C42-56DBAC6465C8}"/>
    <cellStyle name="Normal 4 2 2 2 2" xfId="252" xr:uid="{82770EA9-9E83-45AC-B115-93565C96AFBB}"/>
    <cellStyle name="Normal 4 2 2 2 2 2" xfId="11" xr:uid="{3ED419AC-5CE4-427A-ABA5-03788FEA5B3C}"/>
    <cellStyle name="Normal 4 2 2 2 2 2 2" xfId="5493" xr:uid="{D9E31F68-F695-49EB-8C41-14D652441404}"/>
    <cellStyle name="Normal 4 2 2 2 2 2 2 2" xfId="9620" xr:uid="{51CE9012-E52A-4E5C-8B85-90818364D05F}"/>
    <cellStyle name="Normal 4 2 2 2 2 2 3" xfId="5479" xr:uid="{6A76CBF1-5D8A-4111-99FE-00F73386F418}"/>
    <cellStyle name="Normal 4 2 2 2 2 2 4" xfId="9610" xr:uid="{5300E83F-BBA6-4EB5-A1CE-678DF752AF50}"/>
    <cellStyle name="Normal 4 2 2 2 2 3" xfId="65" xr:uid="{471E473E-C5E0-455C-A81F-F7C1929B5066}"/>
    <cellStyle name="Normal 4 2 2 2 3" xfId="66" xr:uid="{A3DC27DF-2578-4742-9FB8-496B2D6B4AB6}"/>
    <cellStyle name="Normal 4 2 2 2 3 2" xfId="5500" xr:uid="{AB946A2F-ADA8-454E-9E07-72759E45093A}"/>
    <cellStyle name="Normal 4 2 2 2 3 2 2" xfId="9625" xr:uid="{B495A1A5-29C9-4AD4-B52A-9E95C25C4B12}"/>
    <cellStyle name="Normal 4 2 2 2 3 3" xfId="5472" xr:uid="{3C04A0D8-1DA8-46C1-8C33-B6881B435A9E}"/>
    <cellStyle name="Normal 4 2 2 2 3 4" xfId="9606" xr:uid="{2755DD69-A648-4550-8225-965440A58BDC}"/>
    <cellStyle name="Normal 4 2 2 3" xfId="253" xr:uid="{1CF1E189-CAC1-4046-80F7-0470A7FC6238}"/>
    <cellStyle name="Normal 4 2 2 3 2" xfId="34" xr:uid="{ECCA150B-9711-42A8-8F6F-1BA37ACA8C64}"/>
    <cellStyle name="Normal 4 2 2 3 2 3" xfId="77" xr:uid="{B5834790-BE15-4F9A-B733-73DFF55AC4F4}"/>
    <cellStyle name="Normal 4 2 3" xfId="254" xr:uid="{10AF79E1-3021-4A52-91D0-79BEEA5F8319}"/>
    <cellStyle name="Normal 4 2 3 2" xfId="1421" xr:uid="{AF7BEEFC-DFED-4885-8CC9-AE52F7767FC5}"/>
    <cellStyle name="Normal 4 2 3 3" xfId="33" xr:uid="{514C469B-C3CE-45AC-A449-1CB02DB19C20}"/>
    <cellStyle name="Normal 4 2 3 3 2" xfId="5496" xr:uid="{EF45EF55-C6DE-4B1A-8B8D-208FE0EB95EC}"/>
    <cellStyle name="Normal 4 2 3 3 2 2" xfId="9623" xr:uid="{654A676E-F93A-477A-9C6D-096EEDBB1890}"/>
    <cellStyle name="Normal 4 2 3 3 3" xfId="5482" xr:uid="{F391F441-3F0A-4014-83F2-6FC6B74F7641}"/>
    <cellStyle name="Normal 4 2 3 3 4" xfId="9612" xr:uid="{A1C0251B-4D26-4EC5-9407-368699D2F0DD}"/>
    <cellStyle name="Normal 4 2 4" xfId="255" xr:uid="{910E638F-EB3F-4EBB-A3E3-CC5E4313938F}"/>
    <cellStyle name="Normal 4 2 4 2" xfId="256" xr:uid="{8A67E262-FBEB-4281-B33A-2E159EC4BC52}"/>
    <cellStyle name="Normal 4 2 4 2 2" xfId="1422" xr:uid="{9CF8F780-F59F-4A5E-A66F-8D5C6556C3B5}"/>
    <cellStyle name="Normal 4 2 5" xfId="54" xr:uid="{6D44104D-92D0-4894-9E60-2EEF7B46514A}"/>
    <cellStyle name="Normal 4 2 5 2" xfId="257" xr:uid="{EF1494A5-0E58-4841-AE67-B7CE715DC0E6}"/>
    <cellStyle name="Normal 4 2 6" xfId="258" xr:uid="{0BEAA28C-23F7-4B10-9864-69F8A515D84C}"/>
    <cellStyle name="Normal 4 2 7" xfId="2016" xr:uid="{264D1F61-3BA3-4DB2-A863-08FEABA2566C}"/>
    <cellStyle name="Normal 4 2 8" xfId="2020" xr:uid="{4132BFED-FE20-474E-9F5B-6626DEA3F017}"/>
    <cellStyle name="Normal 4 2 9" xfId="2770" xr:uid="{7872AAA2-F0DD-4785-B692-FBEF6F428A55}"/>
    <cellStyle name="Normal 4 2 9 2" xfId="6984" xr:uid="{08E90D0E-6525-4503-89F1-61DE3A3A8775}"/>
    <cellStyle name="Normal 4 3" xfId="37" xr:uid="{A5BCDFB7-5458-47D3-A0A8-E6504DEF73E9}"/>
    <cellStyle name="Normal 4 3 2" xfId="1423" xr:uid="{B17E948C-9F0D-4837-B779-7F168B03062A}"/>
    <cellStyle name="Normal 4 4" xfId="1424" xr:uid="{3731D10A-9A81-4CEA-A516-D9A51A73391B}"/>
    <cellStyle name="Normal 4 5" xfId="2013" xr:uid="{6FAF8782-17B5-40F8-A24D-52FCB18B9B6C}"/>
    <cellStyle name="Normal 4 6" xfId="2091" xr:uid="{F96B0D34-73A8-440A-BC29-377DC9A56056}"/>
    <cellStyle name="Normal 4 7" xfId="2768" xr:uid="{CD3FA6FA-8D44-45A2-94D5-5855678F5019}"/>
    <cellStyle name="Normal 4 7 2" xfId="6982" xr:uid="{C5CDA30C-2113-4F2D-8649-B048EE7CD9F6}"/>
    <cellStyle name="Normal 4 8" xfId="5459" xr:uid="{E10D08A8-446A-4C01-93BC-4E3036ACC9A0}"/>
    <cellStyle name="Normal 4 8 2" xfId="9594" xr:uid="{19955365-0E69-4B09-BEF9-EEA5976A0EF6}"/>
    <cellStyle name="Normal 4 9" xfId="63" xr:uid="{E9E5E6E8-759A-402D-AEB9-7BECDBAA9B3E}"/>
    <cellStyle name="Normal 5" xfId="85" xr:uid="{476E99CE-42F3-4AC5-BDA0-B696AF1E4A5F}"/>
    <cellStyle name="Normal 5 10" xfId="4179" xr:uid="{F5295168-D8EE-4D6F-ADBF-38C1CAA3E2EA}"/>
    <cellStyle name="Normal 5 10 2" xfId="8368" xr:uid="{D91DFB08-6DDE-4C98-8CAF-5A3C3EEAB71E}"/>
    <cellStyle name="Normal 5 11" xfId="5465" xr:uid="{D6700A1E-2127-4B52-ACF3-E169D91EA961}"/>
    <cellStyle name="Normal 5 11 2" xfId="9600" xr:uid="{9488C746-8932-4E93-B98A-227FA1D25602}"/>
    <cellStyle name="Normal 5 12" xfId="5498" xr:uid="{E190A392-08A2-4585-9CD7-19936AF97E7A}"/>
    <cellStyle name="Normal 5 13" xfId="5669" xr:uid="{FDAA9EBE-0D03-4482-9C06-11BE97665E38}"/>
    <cellStyle name="Normal 5 2" xfId="39" xr:uid="{FD9EF6A4-2E7A-42A3-A3DD-884DDBDFFA93}"/>
    <cellStyle name="Normal 5 2 2" xfId="1425" xr:uid="{694D985C-D2B1-43C3-B01C-059353E3E0F6}"/>
    <cellStyle name="Normal 5 2 3" xfId="21" xr:uid="{67D3D6E5-4AFE-44F9-9DB7-D816D36DB990}"/>
    <cellStyle name="Normal 5 2 3 2" xfId="5497" xr:uid="{0947F61C-B730-4E97-9842-882D9FDF4F81}"/>
    <cellStyle name="Normal 5 2 3 2 2" xfId="9624" xr:uid="{C0131800-8BD5-4919-94D9-B6F3F1E4630D}"/>
    <cellStyle name="Normal 5 2 3 3" xfId="5483" xr:uid="{BDA84FE8-3F3E-41C9-80C8-D7CB614CA0DC}"/>
    <cellStyle name="Normal 5 2 3 4" xfId="9613" xr:uid="{C05F75A9-2E8A-49ED-AE71-94840EA6AA84}"/>
    <cellStyle name="Normal 5 3" xfId="260" xr:uid="{DD863F53-DD99-46D1-A4E0-02A586630692}"/>
    <cellStyle name="Normal 5 3 2" xfId="645" xr:uid="{5F63F232-8361-4BF3-BB49-AA4009E9A505}"/>
    <cellStyle name="Normal 5 3 2 2" xfId="1272" xr:uid="{1EB243B1-F8E8-4C34-8069-8FCDA46974E5}"/>
    <cellStyle name="Normal 5 3 2 2 2" xfId="3465" xr:uid="{CCAFAC75-4F02-4671-8AF0-ECBC5B4D0D60}"/>
    <cellStyle name="Normal 5 3 2 2 2 2" xfId="7662" xr:uid="{740EE78D-CA13-4914-B5E5-6903949FE60B}"/>
    <cellStyle name="Normal 5 3 2 2 3" xfId="4783" xr:uid="{13812A08-0645-49BB-BB35-6AC1C16E17B3}"/>
    <cellStyle name="Normal 5 3 2 2 3 2" xfId="8962" xr:uid="{1A596070-DD5C-44E2-BDF7-81D43F92CA7D}"/>
    <cellStyle name="Normal 5 3 2 2 4" xfId="6347" xr:uid="{C868E863-3A9A-4F40-AC65-0B3B4E608607}"/>
    <cellStyle name="Normal 5 3 2 3" xfId="2962" xr:uid="{8F18CA0E-CEC2-4CE5-B2A7-582FE42AA77D}"/>
    <cellStyle name="Normal 5 3 2 3 2" xfId="7165" xr:uid="{AB7DE0EF-36B9-4D6C-AA07-BE778F86FF44}"/>
    <cellStyle name="Normal 5 3 2 4" xfId="4273" xr:uid="{626D639B-B423-42C5-91EF-422210D740DE}"/>
    <cellStyle name="Normal 5 3 2 4 2" xfId="8458" xr:uid="{90F292A1-ABA9-485B-9FC3-0C70FBFB7541}"/>
    <cellStyle name="Normal 5 3 2 5" xfId="5842" xr:uid="{8821F79E-1EAB-4D5C-9C3C-9D93D5787798}"/>
    <cellStyle name="Normal 5 3 3" xfId="1206" xr:uid="{3C647F58-6A7C-4C65-A00B-567DFA054A71}"/>
    <cellStyle name="Normal 5 3 3 2" xfId="3399" xr:uid="{438C6EED-EC41-4D3F-9115-39B9326C3D05}"/>
    <cellStyle name="Normal 5 3 3 2 2" xfId="7596" xr:uid="{BC32B2D4-18F4-4A3E-95FE-64F5CECD85AB}"/>
    <cellStyle name="Normal 5 3 3 3" xfId="4717" xr:uid="{DEBDDA9F-86C4-4770-92EE-7672B5618410}"/>
    <cellStyle name="Normal 5 3 3 3 2" xfId="8896" xr:uid="{9728AAE7-4B70-4BEB-86A0-B8641E473B0C}"/>
    <cellStyle name="Normal 5 3 3 4" xfId="6281" xr:uid="{98831F27-4244-48A6-BF73-2BE188E18B01}"/>
    <cellStyle name="Normal 5 3 4" xfId="2869" xr:uid="{23B23076-6D17-4920-957E-A71D758C9AEF}"/>
    <cellStyle name="Normal 5 3 4 2" xfId="7076" xr:uid="{8EAF42EF-79AE-4059-AE42-E75D31CCFAC8}"/>
    <cellStyle name="Normal 5 3 5" xfId="4180" xr:uid="{1630B91B-7319-4FC8-BC9C-13A76358EC04}"/>
    <cellStyle name="Normal 5 3 5 2" xfId="8369" xr:uid="{7609058B-ABA8-4028-A586-FC6CAE3562E3}"/>
    <cellStyle name="Normal 5 3 6" xfId="5502" xr:uid="{5C27AA9A-1F44-4AF4-9450-7BFE7C0275C4}"/>
    <cellStyle name="Normal 5 3 6 2" xfId="9627" xr:uid="{7B1CD936-6101-496A-96CB-B38F1FA44D55}"/>
    <cellStyle name="Normal 5 3 7" xfId="5751" xr:uid="{9748D1D3-1A93-4BEC-AF83-EB95C2D7379A}"/>
    <cellStyle name="Normal 5 4" xfId="644" xr:uid="{A81E924A-DA38-4880-8504-E784B04C890A}"/>
    <cellStyle name="Normal 5 4 2" xfId="1205" xr:uid="{8FB81D04-E024-46B3-A847-15F5DA8A3C13}"/>
    <cellStyle name="Normal 5 4 2 2" xfId="3398" xr:uid="{D1323340-0749-45E4-BAC8-D7E0E4A4C82D}"/>
    <cellStyle name="Normal 5 4 2 2 2" xfId="7595" xr:uid="{30CF5E15-2DDA-44C5-B8EC-C325C66C0B42}"/>
    <cellStyle name="Normal 5 4 2 3" xfId="4716" xr:uid="{0000BB1F-F330-498B-A59B-CDBDE4CF3427}"/>
    <cellStyle name="Normal 5 4 2 3 2" xfId="8895" xr:uid="{498F2110-2504-4073-A651-B3C54169014B}"/>
    <cellStyle name="Normal 5 4 2 4" xfId="6280" xr:uid="{1C250174-A1BB-4C6A-856B-1E9E9990741B}"/>
    <cellStyle name="Normal 5 4 3" xfId="12" xr:uid="{9441F5C1-2B12-453E-97A4-EEF6107A967C}"/>
    <cellStyle name="Normal 5 4 4" xfId="2961" xr:uid="{D4C755AB-7A53-4E01-9D71-AEB64F3C0592}"/>
    <cellStyle name="Normal 5 4 4 2" xfId="7164" xr:uid="{EEB0494A-A7B5-48B0-A6F6-B17F3C25CEE9}"/>
    <cellStyle name="Normal 5 4 5" xfId="4272" xr:uid="{67B8306C-1160-4F98-B7E4-BB4BDCE90703}"/>
    <cellStyle name="Normal 5 4 5 2" xfId="8457" xr:uid="{B45136D3-A474-4296-AE95-D9FB0000A7D2}"/>
    <cellStyle name="Normal 5 4 6" xfId="5841" xr:uid="{6DAFA655-C883-4D2B-8851-7F0342932B39}"/>
    <cellStyle name="Normal 5 5" xfId="1030" xr:uid="{B3154B81-699D-4E47-A1D1-89D2CD9F1EE4}"/>
    <cellStyle name="Normal 5 5 2" xfId="1271" xr:uid="{7FA5A3DC-BA74-413E-B0ED-5747B36E43E9}"/>
    <cellStyle name="Normal 5 5 2 2" xfId="3464" xr:uid="{27095E84-AEE4-4B21-9477-25D38366595B}"/>
    <cellStyle name="Normal 5 5 2 2 2" xfId="7661" xr:uid="{B0C0657D-8EC1-4029-8E02-CB88E5DF3FDF}"/>
    <cellStyle name="Normal 5 5 2 3" xfId="4782" xr:uid="{35B0BC33-675E-4768-BA9B-24BCE0B09165}"/>
    <cellStyle name="Normal 5 5 2 3 2" xfId="8961" xr:uid="{AC33A3C8-7EF9-4185-B0FD-26784634D1D9}"/>
    <cellStyle name="Normal 5 5 2 4" xfId="26" xr:uid="{CB7F91C3-4DEA-4516-B978-ED35A6F7AD22}"/>
    <cellStyle name="Normal 5 5 2 4 2" xfId="5470" xr:uid="{61EECF6E-D948-40EA-A936-86FFDCE5C832}"/>
    <cellStyle name="Normal 5 5 2 4 3" xfId="9604" xr:uid="{67C4D32B-975D-4173-9A25-55091A9FB599}"/>
    <cellStyle name="Normal 5 5 2 5" xfId="6346" xr:uid="{7D60B668-5C10-4C8C-838C-60366259EEE8}"/>
    <cellStyle name="Normal 5 5 3" xfId="3238" xr:uid="{D988A7BE-6EAA-429E-8E56-C2FE901BC4F8}"/>
    <cellStyle name="Normal 5 5 3 2" xfId="7439" xr:uid="{A3204523-F562-402F-97E6-E5E0128C6937}"/>
    <cellStyle name="Normal 5 5 4" xfId="4555" xr:uid="{52A8D104-A550-4492-AE81-7C4440B2D1E6}"/>
    <cellStyle name="Normal 5 5 4 2" xfId="8738" xr:uid="{5F08DFC6-D246-4757-822B-188C545EB7E6}"/>
    <cellStyle name="Normal 5 5 5" xfId="6123" xr:uid="{754BDCB5-90DB-4604-9ACF-8DBF814451FA}"/>
    <cellStyle name="Normal 5 6" xfId="1140" xr:uid="{BF5D41AB-11A5-4B59-B487-BEEB103FE816}"/>
    <cellStyle name="Normal 5 6 2" xfId="3333" xr:uid="{9E7351EB-4923-49C8-9453-78498209FFD6}"/>
    <cellStyle name="Normal 5 6 2 2" xfId="7530" xr:uid="{AB29C0FB-DDDA-43BA-8212-BD9802743A21}"/>
    <cellStyle name="Normal 5 6 3" xfId="4651" xr:uid="{A48BE628-BDE7-4A0C-A77B-02B1B1438920}"/>
    <cellStyle name="Normal 5 6 3 2" xfId="8830" xr:uid="{4908BE9A-527E-4DFC-8FA0-1F22C6F711A4}"/>
    <cellStyle name="Normal 5 6 4" xfId="6215" xr:uid="{4C77B418-5908-44B4-8EDB-07778E820866}"/>
    <cellStyle name="Normal 5 7" xfId="259" xr:uid="{BA6EB78A-3FF9-48B1-AEC3-2E662709E7F2}"/>
    <cellStyle name="Normal 5 7 2" xfId="5750" xr:uid="{32515745-3FD5-4A2C-B01E-DAD036C8FA8D}"/>
    <cellStyle name="Normal 5 8" xfId="2776" xr:uid="{2C2D34D1-8ECC-4979-B149-3D5496C62299}"/>
    <cellStyle name="Normal 5 8 2" xfId="6989" xr:uid="{B826AEB8-7060-41BB-9C1B-EB473166D212}"/>
    <cellStyle name="Normal 5 9" xfId="2868" xr:uid="{2402A778-CD35-4893-AD87-BA2C780DDD86}"/>
    <cellStyle name="Normal 5 9 2" xfId="7075" xr:uid="{F6832320-CC4C-4C17-AB7A-00CB34BB2789}"/>
    <cellStyle name="Normal 6" xfId="261" xr:uid="{7BA45D6D-490B-4ED9-9408-A54232A60AAD}"/>
    <cellStyle name="Normal 6 2" xfId="262" xr:uid="{ED3A1313-D339-46F0-A46F-CA22D131B9CF}"/>
    <cellStyle name="Normal 6 2 2" xfId="1426" xr:uid="{EEE998E1-F99B-4678-98FD-E957F0A6F8DC}"/>
    <cellStyle name="Normal 6 3" xfId="263" xr:uid="{E6BFBF28-2408-4AF8-BBF9-E28667D8342C}"/>
    <cellStyle name="Normal 6 3 2" xfId="264" xr:uid="{87EAF2EF-915F-43F4-9488-21CBFA84070F}"/>
    <cellStyle name="Normal 6 3 2 2" xfId="265" xr:uid="{021175E5-BD48-4AD8-A44E-69C1F8219E49}"/>
    <cellStyle name="Normal 6 3 3" xfId="266" xr:uid="{4F0ADB52-1AF3-4AAA-943F-A85A49EA783B}"/>
    <cellStyle name="Normal 6 4" xfId="267" xr:uid="{17A56351-5272-41FA-BA5C-B3759473DFCD}"/>
    <cellStyle name="Normal 6 4 2" xfId="1427" xr:uid="{AB72359D-D206-4EAE-8C5C-11810FA7E1EB}"/>
    <cellStyle name="Normal 6 5" xfId="268" xr:uid="{DD5A72A6-474C-4906-B89E-E46968FC97D4}"/>
    <cellStyle name="Normal 6 5 2" xfId="269" xr:uid="{527A8A7C-7FD9-4A24-A4AA-D3FA57840DDD}"/>
    <cellStyle name="Normal 6 6" xfId="270" xr:uid="{5BBE465F-C64D-4D2F-8797-9E1FC22D8C9B}"/>
    <cellStyle name="Normal 6 6 2" xfId="271" xr:uid="{2180E95D-634E-4C4A-A42F-7AF632CC6AB2}"/>
    <cellStyle name="Normal 6 7" xfId="272" xr:uid="{1AC7299E-C950-4EBB-865D-90992FBE6B11}"/>
    <cellStyle name="Normal 6 8" xfId="1428" xr:uid="{C61B98BD-ED86-4561-94BE-EDB9423491D1}"/>
    <cellStyle name="Normal 6 9" xfId="2782" xr:uid="{98F335FE-A5D3-4E0B-9DAC-82E94691EF12}"/>
    <cellStyle name="Normal 6 9 2" xfId="6994" xr:uid="{D3C6520C-30CA-49B6-AF76-9167AE0692D5}"/>
    <cellStyle name="Normal 7" xfId="273" xr:uid="{67B91A6D-B82D-4AFF-A2C2-ABF54E94AB3E}"/>
    <cellStyle name="Normal 7 2" xfId="7" xr:uid="{F52E3235-A4DB-40FF-8367-A74FC80CAF54}"/>
    <cellStyle name="Normal 7 2 2" xfId="1429" xr:uid="{C7D9B9A9-1808-4680-B114-40BBDF52AA79}"/>
    <cellStyle name="Normal 7 3" xfId="1430" xr:uid="{FC943A53-FDE4-41B8-B9ED-93C859CAA691}"/>
    <cellStyle name="Normal 8" xfId="274" xr:uid="{2CE10BCC-B30C-450F-929E-EBA54D60A6D6}"/>
    <cellStyle name="Normal 8 2" xfId="275" xr:uid="{10B2F80A-9220-4B88-AB4E-298E825B0C40}"/>
    <cellStyle name="Normal 8 2 2" xfId="1844" xr:uid="{3DAAA548-CB2C-4EC8-8E7C-4AF81F27C24D}"/>
    <cellStyle name="Normal 8 3" xfId="1431" xr:uid="{1F3BF992-64CB-49EE-9805-C1DFDF15FDE1}"/>
    <cellStyle name="Normal 8 4" xfId="2766" xr:uid="{B2B34935-56E9-413D-9454-9D92DD05DE93}"/>
    <cellStyle name="Normal 9" xfId="18" xr:uid="{6C9BABA7-D5BF-4ABC-8BF2-B8F72E5A4D9A}"/>
    <cellStyle name="Normal 9 2" xfId="1432" xr:uid="{D94AB2B6-7052-4D9D-AB16-987736096CC2}"/>
    <cellStyle name="Normal_Notes to Accompany Table 2.04 2" xfId="36" xr:uid="{DED836A7-67CF-41DC-9625-6CBAFF09BC2B}"/>
    <cellStyle name="Note 2" xfId="276" xr:uid="{91167129-BF80-41B4-B340-1BF423A6DC0F}"/>
    <cellStyle name="Note 2 2" xfId="277" xr:uid="{81C5DA96-9AA6-4B4E-A06B-F8D8F9E09620}"/>
    <cellStyle name="Note 2 2 2" xfId="647" xr:uid="{11FAF78B-4588-4E7D-AB34-DF38C936BAA0}"/>
    <cellStyle name="Note 2 2 2 2" xfId="1208" xr:uid="{F391836D-0E27-418E-81C1-29118768EAF3}"/>
    <cellStyle name="Note 2 2 2 2 2" xfId="1435" xr:uid="{838CFAA0-713B-484F-8A73-F43A6413341F}"/>
    <cellStyle name="Note 2 2 2 2 3" xfId="1434" xr:uid="{19CE747A-E1D2-435A-91A3-9651DFE0503A}"/>
    <cellStyle name="Note 2 2 2 2 4" xfId="3401" xr:uid="{4BD862A2-29E6-4BDC-BD69-2AF0524DEFFC}"/>
    <cellStyle name="Note 2 2 2 2 4 2" xfId="7598" xr:uid="{0A56DB5B-BC0D-4D1F-9CC8-6C8E5761B8C4}"/>
    <cellStyle name="Note 2 2 2 2 5" xfId="4719" xr:uid="{81F0A28D-B3A5-4E58-9708-BECE268D72F4}"/>
    <cellStyle name="Note 2 2 2 2 5 2" xfId="8898" xr:uid="{948B59D8-C739-4363-BC91-F7F217B572D5}"/>
    <cellStyle name="Note 2 2 2 2 6" xfId="6283" xr:uid="{A9C98E13-D6AB-47D8-AC09-0F2E4C591747}"/>
    <cellStyle name="Note 2 2 2 3" xfId="1436" xr:uid="{7527B1D5-8D0A-458A-B087-FE1981D1E729}"/>
    <cellStyle name="Note 2 2 2 4" xfId="1433" xr:uid="{25B0A160-77F7-47C1-8AC5-8D8E82F1F7E4}"/>
    <cellStyle name="Note 2 2 2 5" xfId="2964" xr:uid="{7D3C110F-B264-455A-A0E8-24F89AF0ED50}"/>
    <cellStyle name="Note 2 2 2 5 2" xfId="7167" xr:uid="{BA5BB067-7C9E-4FD9-ACA2-8EB5ADFAA96C}"/>
    <cellStyle name="Note 2 2 2 6" xfId="4275" xr:uid="{86DA25AC-D2E7-4728-93D7-D99600BB7BB6}"/>
    <cellStyle name="Note 2 2 2 6 2" xfId="8460" xr:uid="{7C50D8F9-E324-4E48-ADF2-B598BD5738A1}"/>
    <cellStyle name="Note 2 2 2 7" xfId="5844" xr:uid="{5E11651C-58D0-491D-95A9-3D993688A776}"/>
    <cellStyle name="Note 2 2 3" xfId="1033" xr:uid="{B7032B36-2F6F-4D68-B414-6832D2C56421}"/>
    <cellStyle name="Note 2 2 3 2" xfId="1274" xr:uid="{40F91849-959A-4D4E-8502-1E63F612BC3B}"/>
    <cellStyle name="Note 2 2 3 2 2" xfId="1438" xr:uid="{6D6C793A-C072-4D53-9204-D8D8E2D821BB}"/>
    <cellStyle name="Note 2 2 3 2 3" xfId="3467" xr:uid="{F49EB562-4996-4BD3-A0A3-A9F186AF216A}"/>
    <cellStyle name="Note 2 2 3 2 3 2" xfId="7664" xr:uid="{0FD5B434-7203-4941-A492-A71BBC4A77CD}"/>
    <cellStyle name="Note 2 2 3 2 4" xfId="4785" xr:uid="{D5843CC7-EB4C-4962-82F7-EC4E65E6EA5D}"/>
    <cellStyle name="Note 2 2 3 2 4 2" xfId="8964" xr:uid="{1E3BFA78-D165-4299-BAAB-F66A34DC6A5E}"/>
    <cellStyle name="Note 2 2 3 2 5" xfId="6349" xr:uid="{02B51950-766E-4326-A581-921F064000D5}"/>
    <cellStyle name="Note 2 2 3 3" xfId="1437" xr:uid="{478C06EE-A32B-42F2-80BC-AB02A7102A20}"/>
    <cellStyle name="Note 2 2 3 4" xfId="3241" xr:uid="{0A56A770-8DA5-43B0-A6FF-34132BA789E0}"/>
    <cellStyle name="Note 2 2 3 4 2" xfId="7442" xr:uid="{C51E830B-29C8-44F5-B3DC-6A53FA52C1C2}"/>
    <cellStyle name="Note 2 2 3 5" xfId="4558" xr:uid="{72AF822E-6B1C-425D-86E3-905A1CAA1C40}"/>
    <cellStyle name="Note 2 2 3 5 2" xfId="8741" xr:uid="{C2AD9330-D902-458A-B68F-1FBD5E669BBE}"/>
    <cellStyle name="Note 2 2 3 6" xfId="6126" xr:uid="{3A48C1C1-6B2A-4769-A2CE-A9A6FACE70CA}"/>
    <cellStyle name="Note 2 2 4" xfId="1142" xr:uid="{2FBEBBD4-6002-4EF1-A3BB-588E20133D16}"/>
    <cellStyle name="Note 2 2 4 2" xfId="1440" xr:uid="{C06E48C3-23D5-4640-8AD2-7DF58FD6ED69}"/>
    <cellStyle name="Note 2 2 4 3" xfId="1439" xr:uid="{65805FCD-9FFE-4C76-BE40-88B8BEB58D9E}"/>
    <cellStyle name="Note 2 2 4 4" xfId="3335" xr:uid="{1EEFCCC3-3CBD-4733-B87D-617CEEDFB092}"/>
    <cellStyle name="Note 2 2 4 4 2" xfId="7532" xr:uid="{DC7FF5CC-0304-47F1-BD4F-167B786FA1D1}"/>
    <cellStyle name="Note 2 2 4 5" xfId="4653" xr:uid="{F4110345-CAD2-41E3-9897-984DD776901C}"/>
    <cellStyle name="Note 2 2 4 5 2" xfId="8832" xr:uid="{4EEE550F-DFD4-4E15-8A9E-9E609552FA39}"/>
    <cellStyle name="Note 2 2 4 6" xfId="6217" xr:uid="{D4234988-027F-4B9B-8E72-FE0898BFFC8B}"/>
    <cellStyle name="Note 2 2 5" xfId="2871" xr:uid="{75DA8489-C3EB-4AC0-B145-32F21FD5AC94}"/>
    <cellStyle name="Note 2 2 5 2" xfId="7078" xr:uid="{EA9F6F93-D88C-4B2A-9C06-63DFF5471FE2}"/>
    <cellStyle name="Note 2 2 6" xfId="4182" xr:uid="{3422748B-BAA7-4D84-A2F3-9F12BD45D4D9}"/>
    <cellStyle name="Note 2 2 6 2" xfId="8371" xr:uid="{3AD8F30F-7123-42C3-8A4F-A6717B16420D}"/>
    <cellStyle name="Note 2 2 7" xfId="5754" xr:uid="{53698BF1-F33E-46D0-B07D-EC18B3ECC1A3}"/>
    <cellStyle name="Note 2 3" xfId="278" xr:uid="{BA92F52C-550A-43F9-9F4D-7B40E82BA42D}"/>
    <cellStyle name="Note 2 3 10" xfId="9633" xr:uid="{8CDAFAA5-DEB3-416A-990E-E619FBEC3F26}"/>
    <cellStyle name="Note 2 3 2" xfId="279" xr:uid="{24942141-10AB-4F56-98D6-5ED49AECE0D8}"/>
    <cellStyle name="Note 2 3 2 2" xfId="560" xr:uid="{B0F9D24B-169A-4F7D-88EA-A58816EC2C26}"/>
    <cellStyle name="Note 2 3 2 2 2" xfId="1071" xr:uid="{FB581198-7B9C-4F43-BEE0-0789BA530EBB}"/>
    <cellStyle name="Note 2 3 2 2 2 2" xfId="3271" xr:uid="{A676C690-E266-49B3-8F56-5CFAB15D7BFC}"/>
    <cellStyle name="Note 2 3 2 2 2 2 2" xfId="5590" xr:uid="{8C10468F-BCF3-458C-9D34-E653A7DAB2A0}"/>
    <cellStyle name="Note 2 3 2 2 2 2 3" xfId="5535" xr:uid="{55594B91-97BA-4CAF-8303-D89FFF735A27}"/>
    <cellStyle name="Note 2 3 2 2 2 2 4" xfId="5527" xr:uid="{C3D32480-710A-4ED8-9779-CF6C10556D09}"/>
    <cellStyle name="Note 2 3 2 2 2 2 5" xfId="9662" xr:uid="{1CF7AD25-8E0D-4091-84B8-BD820D8D2A4B}"/>
    <cellStyle name="Note 2 3 2 2 2 3" xfId="4589" xr:uid="{B370667E-8F4C-46BD-9A1D-E53B765183A0}"/>
    <cellStyle name="Note 2 3 2 2 2 3 2" xfId="5635" xr:uid="{0BF67769-4A1F-4C0D-8491-8A7126F6E19F}"/>
    <cellStyle name="Note 2 3 2 2 2 3 3" xfId="5592" xr:uid="{81DF19EB-2FA5-421A-9339-51736587E952}"/>
    <cellStyle name="Note 2 3 2 2 2 3 4" xfId="5663" xr:uid="{20100B9A-D3BD-4356-925E-77B890285D93}"/>
    <cellStyle name="Note 2 3 2 2 2 3 5" xfId="9651" xr:uid="{FF61F3BD-4631-44B6-8DAD-4E114B6710E8}"/>
    <cellStyle name="Note 2 3 2 2 2 4" xfId="5526" xr:uid="{F2148D83-BF7A-4E14-908E-0895D1FC3DD9}"/>
    <cellStyle name="Note 2 3 2 2 2 5" xfId="5512" xr:uid="{39055B57-E046-4231-9739-B81E6DD839D9}"/>
    <cellStyle name="Note 2 3 2 2 2 6" xfId="5555" xr:uid="{776B0914-24A6-4202-9C99-3DDC54F44C9E}"/>
    <cellStyle name="Note 2 3 2 2 2 7" xfId="9665" xr:uid="{027749A5-7D41-4386-950E-E09C599E0B14}"/>
    <cellStyle name="Note 2 3 2 2 3" xfId="2884" xr:uid="{9C0EF09B-3ED5-4D22-A863-3D80469CC08A}"/>
    <cellStyle name="Note 2 3 2 2 3 2" xfId="5577" xr:uid="{A471D68C-CD9B-4D1D-B99A-A1883C67354C}"/>
    <cellStyle name="Note 2 3 2 2 3 3" xfId="5563" xr:uid="{EA6F7209-D677-4949-8CF9-6D895D9B868D}"/>
    <cellStyle name="Note 2 3 2 2 3 4" xfId="5609" xr:uid="{3744CA4B-6969-4AC8-B450-A94C2AD7B663}"/>
    <cellStyle name="Note 2 3 2 2 3 5" xfId="9640" xr:uid="{33EF77B9-2EA5-4313-95DA-E8CFC74E61EE}"/>
    <cellStyle name="Note 2 3 2 2 4" xfId="4195" xr:uid="{5624AF28-3765-472E-AEAA-DCC5B13C0C5A}"/>
    <cellStyle name="Note 2 3 2 2 4 2" xfId="5620" xr:uid="{AE0CE3C6-ACF9-4BEF-A996-3CC3BFAD9D40}"/>
    <cellStyle name="Note 2 3 2 2 4 3" xfId="5517" xr:uid="{988699AB-5117-4BBD-854A-B52123AD8576}"/>
    <cellStyle name="Note 2 3 2 2 4 4" xfId="5651" xr:uid="{69DE78EB-EFEF-4D2B-B384-1ECD94387C50}"/>
    <cellStyle name="Note 2 3 2 2 4 5" xfId="9643" xr:uid="{E2659E3B-34A3-4D0C-BB3B-3B98BE4346F7}"/>
    <cellStyle name="Note 2 3 2 2 5" xfId="5511" xr:uid="{F509CDDB-01DF-47F5-ADFF-D31E153923C0}"/>
    <cellStyle name="Note 2 3 2 2 6" xfId="5569" xr:uid="{ADC6BB65-05E9-4038-AC7E-BCC448A20FD3}"/>
    <cellStyle name="Note 2 3 2 2 7" xfId="5548" xr:uid="{0B2A9B70-78AC-409E-9772-614E5DEEFF20}"/>
    <cellStyle name="Note 2 3 2 2 8" xfId="9631" xr:uid="{46C9F587-08A9-4F94-930F-B0E207AA09CB}"/>
    <cellStyle name="Note 2 3 2 3" xfId="1047" xr:uid="{74356FEB-CB1B-4416-A94F-1FAD76017974}"/>
    <cellStyle name="Note 2 3 2 3 2" xfId="3255" xr:uid="{4BB43F4A-600F-45B6-ACF2-B79E5FF69899}"/>
    <cellStyle name="Note 2 3 2 3 2 2" xfId="5588" xr:uid="{7AD4FD3D-C47C-4CE5-9813-4FE571FCADEC}"/>
    <cellStyle name="Note 2 3 2 3 2 3" xfId="5546" xr:uid="{CE304AF9-4D1F-450E-A51B-8E4607159E6D}"/>
    <cellStyle name="Note 2 3 2 3 2 4" xfId="5593" xr:uid="{98FDB2B6-323C-4ECF-A495-EE652F298C4A}"/>
    <cellStyle name="Note 2 3 2 3 2 5" xfId="9672" xr:uid="{F25F3F1C-E3A3-4FD2-9132-C4D35EEA011C}"/>
    <cellStyle name="Note 2 3 2 3 3" xfId="4572" xr:uid="{67DCCE1D-88AB-4D00-9DC0-43BBAB746E36}"/>
    <cellStyle name="Note 2 3 2 3 3 2" xfId="5632" xr:uid="{7685178C-7893-443E-80AC-99A30F287C1B}"/>
    <cellStyle name="Note 2 3 2 3 3 3" xfId="5579" xr:uid="{A5C32AE7-541B-4C12-A24D-2B3002FDA2C8}"/>
    <cellStyle name="Note 2 3 2 3 3 4" xfId="5520" xr:uid="{4080E46F-B57C-4B07-AADF-1C526605D41B}"/>
    <cellStyle name="Note 2 3 2 3 3 5" xfId="9664" xr:uid="{16E60312-EF25-4635-B9D3-24F82E8DE6C5}"/>
    <cellStyle name="Note 2 3 2 3 4" xfId="5524" xr:uid="{D3AFCE61-49D8-4013-BB53-BE3BED9A81C6}"/>
    <cellStyle name="Note 2 3 2 3 5" xfId="5598" xr:uid="{68EEF30C-06C4-4E8B-A2EE-F552A02A1BB6}"/>
    <cellStyle name="Note 2 3 2 3 6" xfId="5630" xr:uid="{1BD8F5FC-2062-49EE-A746-F53FF9A9C396}"/>
    <cellStyle name="Note 2 3 2 3 7" xfId="6006" xr:uid="{C2FA1108-6FA8-4582-A20B-2122195FFF72}"/>
    <cellStyle name="Note 2 3 2 4" xfId="2873" xr:uid="{5AA55B56-D893-4051-A04C-7596C341BA52}"/>
    <cellStyle name="Note 2 3 2 4 2" xfId="5575" xr:uid="{9C87EEDE-A07A-471C-B4B1-39E63A9BFCD6}"/>
    <cellStyle name="Note 2 3 2 4 3" xfId="5653" xr:uid="{0C6310C3-ADBF-4547-943A-747EB9C7D272}"/>
    <cellStyle name="Note 2 3 2 4 4" xfId="5567" xr:uid="{B22778A2-E8CA-4CE3-80C2-E0BC2693F51F}"/>
    <cellStyle name="Note 2 3 2 4 5" xfId="9670" xr:uid="{3E9B1301-2360-4491-9C39-6FA3B9F0C51F}"/>
    <cellStyle name="Note 2 3 2 5" xfId="4184" xr:uid="{1D6D2D83-0E40-47E6-8041-05428A018AEF}"/>
    <cellStyle name="Note 2 3 2 5 2" xfId="5618" xr:uid="{5A500FED-CC70-4745-9B6B-24E9A0A3AC9B}"/>
    <cellStyle name="Note 2 3 2 5 3" xfId="5595" xr:uid="{2DBFE685-8583-4E4E-9E4F-BF541CA93EBA}"/>
    <cellStyle name="Note 2 3 2 5 4" xfId="5561" xr:uid="{25C944BA-CE41-4735-8690-A88CFFE107FD}"/>
    <cellStyle name="Note 2 3 2 5 5" xfId="9636" xr:uid="{A43A60E1-E20C-45D1-AD98-C37B162231EA}"/>
    <cellStyle name="Note 2 3 2 6" xfId="5507" xr:uid="{0EA8A920-718E-427F-A260-B7AE060A255D}"/>
    <cellStyle name="Note 2 3 2 7" xfId="5623" xr:uid="{720195C0-31C1-4EC5-A379-42E602BF5CB1}"/>
    <cellStyle name="Note 2 3 2 8" xfId="5560" xr:uid="{E2B7E8EF-074D-4C5A-A7A5-240E33237980}"/>
    <cellStyle name="Note 2 3 2 9" xfId="9632" xr:uid="{59F55239-728C-4A9A-B7A0-880571D70A19}"/>
    <cellStyle name="Note 2 3 3" xfId="559" xr:uid="{F5BD9666-AC70-4951-8EDD-0760DAF45FD2}"/>
    <cellStyle name="Note 2 3 3 2" xfId="1046" xr:uid="{814F4479-640A-4EBF-9884-D356002B2B2A}"/>
    <cellStyle name="Note 2 3 3 2 2" xfId="3254" xr:uid="{DB63A2EC-C4F2-4A8E-9199-59984D41C157}"/>
    <cellStyle name="Note 2 3 3 2 2 2" xfId="5587" xr:uid="{09C74F03-6C1C-45E1-B708-3178D9068B7B}"/>
    <cellStyle name="Note 2 3 3 2 2 3" xfId="5616" xr:uid="{FDBE853B-7AF0-4A6C-961C-1F77AC58CF88}"/>
    <cellStyle name="Note 2 3 3 2 2 4" xfId="5522" xr:uid="{1F107F3D-A7D2-47AE-A8B4-EC43D439469B}"/>
    <cellStyle name="Note 2 3 3 2 2 5" xfId="9646" xr:uid="{43F3FDD2-C66F-4523-92D9-2CC0FD0EEC31}"/>
    <cellStyle name="Note 2 3 3 2 3" xfId="4571" xr:uid="{A8C9DD66-A11C-4DA4-8EC4-5CD90B146110}"/>
    <cellStyle name="Note 2 3 3 2 3 2" xfId="5631" xr:uid="{BA7EED89-05BD-4935-8273-32D80509213E}"/>
    <cellStyle name="Note 2 3 3 2 3 3" xfId="5531" xr:uid="{DF31A789-8D60-45B9-BB38-4BA60D2A259A}"/>
    <cellStyle name="Note 2 3 3 2 3 4" xfId="5594" xr:uid="{8D59C9CB-7595-4B86-B5A4-5DDAC8933B04}"/>
    <cellStyle name="Note 2 3 3 2 3 5" xfId="5670" xr:uid="{177C5FC8-4AC0-4D33-9F16-C3C52D8A72CB}"/>
    <cellStyle name="Note 2 3 3 2 4" xfId="5523" xr:uid="{5C999FF4-0F66-48CD-93D7-8C9073B13D54}"/>
    <cellStyle name="Note 2 3 3 2 5" xfId="5641" xr:uid="{2735E194-726E-45C2-959E-E01F6CF3859D}"/>
    <cellStyle name="Note 2 3 3 2 6" xfId="5508" xr:uid="{81BBD3FB-B81A-4048-8051-D98DB03546F7}"/>
    <cellStyle name="Note 2 3 3 2 7" xfId="9649" xr:uid="{040712AB-5D3A-4F7D-8D30-AA6B30698617}"/>
    <cellStyle name="Note 2 3 3 3" xfId="2883" xr:uid="{E35B62A8-F7A4-46E0-9532-670223B684EB}"/>
    <cellStyle name="Note 2 3 3 3 2" xfId="5576" xr:uid="{5199F5B8-A9C8-4C10-87B8-CB3AA88D9CFC}"/>
    <cellStyle name="Note 2 3 3 3 3" xfId="5622" xr:uid="{D6A3BFE5-7039-4C6C-867E-3502A998BA2E}"/>
    <cellStyle name="Note 2 3 3 3 4" xfId="5528" xr:uid="{8881BA17-3619-4DCB-9AA5-009A2922DD51}"/>
    <cellStyle name="Note 2 3 3 3 5" xfId="9642" xr:uid="{F55BA527-67FE-4807-94E5-8F7BB0616BDF}"/>
    <cellStyle name="Note 2 3 3 4" xfId="4194" xr:uid="{8505461C-193E-449E-8D19-C11E69C3C9AD}"/>
    <cellStyle name="Note 2 3 3 4 2" xfId="5619" xr:uid="{E86076F9-7CA1-44E3-8300-7BF5B56394E7}"/>
    <cellStyle name="Note 2 3 3 4 3" xfId="5562" xr:uid="{67F69A1B-8409-4C76-B579-64161CEB2C57}"/>
    <cellStyle name="Note 2 3 3 4 4" xfId="5597" xr:uid="{77C04EC1-6BB7-4A7A-916D-658DBF36DF6D}"/>
    <cellStyle name="Note 2 3 3 4 5" xfId="9659" xr:uid="{13B94C70-F6D3-4A14-9F68-90F9C67C2E7F}"/>
    <cellStyle name="Note 2 3 3 5" xfId="5510" xr:uid="{79C024DA-E9E4-46F7-A7F0-E92687E66600}"/>
    <cellStyle name="Note 2 3 3 6" xfId="5509" xr:uid="{609E85A6-230E-4438-AF31-6DAE3709E5D2}"/>
    <cellStyle name="Note 2 3 3 7" xfId="5549" xr:uid="{ABFC5660-A45E-48AF-ADCC-1622DA05E02F}"/>
    <cellStyle name="Note 2 3 3 8" xfId="5763" xr:uid="{4F81C16F-5037-41D5-BDA5-8FDD0E8D3C3D}"/>
    <cellStyle name="Note 2 3 4" xfId="1048" xr:uid="{081DA820-C49C-4824-A95D-8AEC9CEF1E56}"/>
    <cellStyle name="Note 2 3 4 2" xfId="3256" xr:uid="{1C8F6B1B-8E3F-47D2-960B-B3A52E8D9BBD}"/>
    <cellStyle name="Note 2 3 4 2 2" xfId="5589" xr:uid="{DE46A402-D6C1-4EE1-A238-9D062AF498D6}"/>
    <cellStyle name="Note 2 3 4 2 3" xfId="5599" xr:uid="{24C91561-08F1-4394-B753-A701A5F4D3F6}"/>
    <cellStyle name="Note 2 3 4 2 4" xfId="5608" xr:uid="{F2764ABD-8876-4025-86C4-3EFEBCB862A8}"/>
    <cellStyle name="Note 2 3 4 2 5" xfId="9658" xr:uid="{584F8B51-AC13-42D5-A9C0-B2D493401FC4}"/>
    <cellStyle name="Note 2 3 4 3" xfId="4573" xr:uid="{7A5314B2-0FDD-4A9A-B4F0-2998509054D9}"/>
    <cellStyle name="Note 2 3 4 3 2" xfId="5633" xr:uid="{1A6325F9-C1DA-4A72-9E82-D7000C682624}"/>
    <cellStyle name="Note 2 3 4 3 3" xfId="5584" xr:uid="{DA6B675F-2B58-40D0-AD23-B20CB3BFBE30}"/>
    <cellStyle name="Note 2 3 4 3 4" xfId="5505" xr:uid="{082AD956-ED04-4176-949C-0E31A45F7DCE}"/>
    <cellStyle name="Note 2 3 4 3 5" xfId="9648" xr:uid="{81B264E4-1014-40C4-9CA4-1ABC4371E63C}"/>
    <cellStyle name="Note 2 3 4 4" xfId="5525" xr:uid="{897F818D-A421-4DE7-AEA3-72E39B1818FA}"/>
    <cellStyle name="Note 2 3 4 5" xfId="5554" xr:uid="{F4A74CDC-8D12-44CF-B681-A76839D687E0}"/>
    <cellStyle name="Note 2 3 4 6" xfId="5610" xr:uid="{EAFEC8D4-9771-4C0B-9370-8FDCAFDD48E6}"/>
    <cellStyle name="Note 2 3 4 7" xfId="9668" xr:uid="{3E6452E7-9C61-4EA8-B968-9EAAF0CD6669}"/>
    <cellStyle name="Note 2 3 5" xfId="2872" xr:uid="{D9F24AB8-02FB-4E9D-B680-D6139E9D1933}"/>
    <cellStyle name="Note 2 3 5 2" xfId="5574" xr:uid="{477686F1-552C-4FB8-ABDF-95181372DD8D}"/>
    <cellStyle name="Note 2 3 5 3" xfId="5533" xr:uid="{195B047B-BB2B-4CDB-9896-6FD72BFDF0A6}"/>
    <cellStyle name="Note 2 3 5 4" xfId="5521" xr:uid="{2D027B97-6157-411A-A96E-405F9F9BE6CE}"/>
    <cellStyle name="Note 2 3 5 5" xfId="9635" xr:uid="{8CDE80B4-FF20-4A0C-8184-0E764998237A}"/>
    <cellStyle name="Note 2 3 6" xfId="4183" xr:uid="{943B8E0E-8D07-4ED0-875D-8ECDBB2B11FB}"/>
    <cellStyle name="Note 2 3 6 2" xfId="5617" xr:uid="{A68B9626-CAF1-47AD-BF92-9970A7EFE633}"/>
    <cellStyle name="Note 2 3 6 3" xfId="5537" xr:uid="{51056805-877A-4604-963F-B14E6E010482}"/>
    <cellStyle name="Note 2 3 6 4" xfId="5545" xr:uid="{2BF76325-E34B-400F-9EA2-7D93B205246A}"/>
    <cellStyle name="Note 2 3 6 5" xfId="9654" xr:uid="{EB3A89D5-AF25-4028-96DE-5F6EED3D9025}"/>
    <cellStyle name="Note 2 3 7" xfId="5506" xr:uid="{52FC318B-3D0E-48C9-8DEA-7ECCAA5C833C}"/>
    <cellStyle name="Note 2 3 8" xfId="5552" xr:uid="{4C03E882-D7B7-4B98-B00B-F979E3A70E35}"/>
    <cellStyle name="Note 2 3 9" xfId="5532" xr:uid="{1AFB28B7-3079-467C-8C33-EC8CD9054DA5}"/>
    <cellStyle name="Note 2 4" xfId="646" xr:uid="{670FD866-7715-4BAF-A334-5F8DD58345C0}"/>
    <cellStyle name="Note 2 4 2" xfId="1207" xr:uid="{10FFF883-8A42-4742-BEBE-744B57C7B504}"/>
    <cellStyle name="Note 2 4 2 2" xfId="3400" xr:uid="{B21E2C22-9A7E-4A9A-87E3-F20D963B655A}"/>
    <cellStyle name="Note 2 4 2 2 2" xfId="7597" xr:uid="{2C54E8C4-DB6E-45C2-9075-983164AF8667}"/>
    <cellStyle name="Note 2 4 2 3" xfId="4718" xr:uid="{34869540-6968-41C1-8395-66B2B8826E50}"/>
    <cellStyle name="Note 2 4 2 3 2" xfId="8897" xr:uid="{EB395975-5DC6-40DE-A4D9-883FE7717482}"/>
    <cellStyle name="Note 2 4 2 4" xfId="6282" xr:uid="{95F4B4A4-5E15-4537-BB6B-9F1AC9C0BAE2}"/>
    <cellStyle name="Note 2 4 3" xfId="1441" xr:uid="{8EB36785-3258-4E12-B234-3F7D56EF8BED}"/>
    <cellStyle name="Note 2 4 3 2" xfId="3523" xr:uid="{AA8AB597-1108-4A11-8C37-EE4BC58800B6}"/>
    <cellStyle name="Note 2 4 3 2 2" xfId="5602" xr:uid="{A369F7D3-5699-43DB-8FD2-544057D4102F}"/>
    <cellStyle name="Note 2 4 3 2 3" xfId="5578" xr:uid="{EEBEFB11-15CA-45B4-B7ED-9689C9F83939}"/>
    <cellStyle name="Note 2 4 3 2 4" xfId="5664" xr:uid="{EAC6B391-97AC-40EB-8F6B-8E4C8DC5C667}"/>
    <cellStyle name="Note 2 4 3 2 5" xfId="9641" xr:uid="{D2C7499A-59EF-4D58-A2B6-757AB6762391}"/>
    <cellStyle name="Note 2 4 3 3" xfId="4843" xr:uid="{D0C9DB2E-5E92-4E0E-A7C2-8D328D7F1E16}"/>
    <cellStyle name="Note 2 4 3 3 2" xfId="5645" xr:uid="{D76818CD-15BB-4606-B2DE-04AC00A1E3BD}"/>
    <cellStyle name="Note 2 4 3 3 3" xfId="5591" xr:uid="{D244FF64-5DFF-4842-B541-464934CB9FEE}"/>
    <cellStyle name="Note 2 4 3 3 4" xfId="5657" xr:uid="{25C281B9-DE87-4CDD-9830-C673BF902708}"/>
    <cellStyle name="Note 2 4 3 3 5" xfId="9666" xr:uid="{32A60E24-7FA6-4444-B65E-565BCAD2A5A1}"/>
    <cellStyle name="Note 2 4 3 4" xfId="5540" xr:uid="{41525680-C762-4B50-AA0D-F574620D3EFE}"/>
    <cellStyle name="Note 2 4 3 5" xfId="5662" xr:uid="{2A3EC381-5AB6-44D7-A248-C72ACB786830}"/>
    <cellStyle name="Note 2 4 3 6" xfId="1841" xr:uid="{8C991D0A-209D-49EC-A374-54066FA672C0}"/>
    <cellStyle name="Note 2 4 3 7" xfId="9634" xr:uid="{2777A182-83B3-4709-A19B-8515920E5580}"/>
    <cellStyle name="Note 2 4 4" xfId="2963" xr:uid="{B53B95A2-5A1F-4D47-B30B-5317EA033BF3}"/>
    <cellStyle name="Note 2 4 4 2" xfId="7166" xr:uid="{849F7DA5-B0A2-4A68-B60E-19F7BABB9402}"/>
    <cellStyle name="Note 2 4 5" xfId="4274" xr:uid="{8D1C4500-9768-422C-9B70-AFF022C1F8C7}"/>
    <cellStyle name="Note 2 4 5 2" xfId="8459" xr:uid="{05874709-884E-408A-8A40-57AC165A0C37}"/>
    <cellStyle name="Note 2 4 6" xfId="5843" xr:uid="{2073BE62-7F19-40A9-A269-743D07E8467B}"/>
    <cellStyle name="Note 2 5" xfId="1032" xr:uid="{0BEF219B-9F26-444A-A0EB-CB8B85880A2C}"/>
    <cellStyle name="Note 2 5 2" xfId="1273" xr:uid="{53E2F771-9FA6-4138-BF3F-BCC108C26D5B}"/>
    <cellStyle name="Note 2 5 2 2" xfId="3466" xr:uid="{9859887F-67B6-4013-9266-C6EE62596FD9}"/>
    <cellStyle name="Note 2 5 2 2 2" xfId="7663" xr:uid="{8C7441A1-5C6A-47A2-AEE7-6D7D35280926}"/>
    <cellStyle name="Note 2 5 2 3" xfId="4784" xr:uid="{F26B4491-5E2F-45E7-950A-BF49BAED52DE}"/>
    <cellStyle name="Note 2 5 2 3 2" xfId="8963" xr:uid="{4F572682-A7CD-4752-986B-D8A15B0B22C9}"/>
    <cellStyle name="Note 2 5 2 4" xfId="6348" xr:uid="{9C45AF52-E4A4-4D46-BA78-B4EC5221373B}"/>
    <cellStyle name="Note 2 5 3" xfId="1442" xr:uid="{6BCB35A7-7B89-4335-ADA4-C7629FD4DE0F}"/>
    <cellStyle name="Note 2 5 3 2" xfId="3524" xr:uid="{3A234FDB-790D-42E7-AADA-DBCFDE65D6F4}"/>
    <cellStyle name="Note 2 5 3 2 2" xfId="5603" xr:uid="{3C7B1067-ED24-41ED-80EE-94D77750B9C3}"/>
    <cellStyle name="Note 2 5 3 2 3" xfId="5665" xr:uid="{747E5FDE-7423-4E61-BBDA-610FF8C6D8EE}"/>
    <cellStyle name="Note 2 5 3 2 4" xfId="5614" xr:uid="{9EE10F66-3F15-4D09-B1A1-54F1C7D8CEE9}"/>
    <cellStyle name="Note 2 5 3 2 5" xfId="9638" xr:uid="{46EF3AEA-7CE8-452B-927E-6FD64749DB4B}"/>
    <cellStyle name="Note 2 5 3 3" xfId="4844" xr:uid="{3C849D94-027D-4327-A004-C8C062F7A3BF}"/>
    <cellStyle name="Note 2 5 3 3 2" xfId="5646" xr:uid="{2DBE2A6F-7FD3-4319-B8D3-3A1A0275B702}"/>
    <cellStyle name="Note 2 5 3 3 3" xfId="5547" xr:uid="{C6C5B7CA-B113-4D02-B9A9-BEC4EE55060E}"/>
    <cellStyle name="Note 2 5 3 3 4" xfId="5513" xr:uid="{837D3856-C348-4871-9E7A-5EA7C242C768}"/>
    <cellStyle name="Note 2 5 3 3 5" xfId="9650" xr:uid="{B3EAED68-67E1-4A2D-8327-840AE0717948}"/>
    <cellStyle name="Note 2 5 3 4" xfId="5541" xr:uid="{EE7818EC-7A7F-4494-AD44-803B03931F8B}"/>
    <cellStyle name="Note 2 5 3 5" xfId="5558" xr:uid="{71F4476D-207B-4314-9D5E-0A00FB57CD32}"/>
    <cellStyle name="Note 2 5 3 6" xfId="5654" xr:uid="{1D4663DB-050A-490E-9627-1C90E39CF0CB}"/>
    <cellStyle name="Note 2 5 3 7" xfId="9645" xr:uid="{9699C90E-C26F-4492-BB69-EA6FD6F742C7}"/>
    <cellStyle name="Note 2 5 4" xfId="3240" xr:uid="{60B5EF03-5775-4D86-A302-A57F88BECA1D}"/>
    <cellStyle name="Note 2 5 4 2" xfId="7441" xr:uid="{7FA810DD-C2F4-412F-A501-3EB56B7C1419}"/>
    <cellStyle name="Note 2 5 5" xfId="4557" xr:uid="{0BAFD000-2D13-4B22-B584-2BDD3CE4C8D8}"/>
    <cellStyle name="Note 2 5 5 2" xfId="8740" xr:uid="{54C763B6-A844-4F53-B9B0-E7D7C879C247}"/>
    <cellStyle name="Note 2 5 6" xfId="6125" xr:uid="{BCEAFD19-58FB-4E6C-93AA-58E5CEBB01E1}"/>
    <cellStyle name="Note 2 6" xfId="1141" xr:uid="{B39F1D1E-0462-48FB-9D91-F5BD65AFD858}"/>
    <cellStyle name="Note 2 6 2" xfId="3334" xr:uid="{9693628F-CBE7-41D3-9B68-A5DAEBA7348E}"/>
    <cellStyle name="Note 2 6 2 2" xfId="7531" xr:uid="{562D36F0-DB4D-4166-9996-30F59B33ABAF}"/>
    <cellStyle name="Note 2 6 3" xfId="4652" xr:uid="{A2EFAA4E-9D61-4C84-B521-E84CC6803BDD}"/>
    <cellStyle name="Note 2 6 3 2" xfId="8831" xr:uid="{B88EA09C-F4B0-43DB-BEAD-D07943ADF5FD}"/>
    <cellStyle name="Note 2 6 4" xfId="6216" xr:uid="{67A87FB2-0AF3-4344-8FD4-C8AA5C714858}"/>
    <cellStyle name="Note 2 7" xfId="2870" xr:uid="{E7D0DC63-A52B-4E35-8475-4FF894B26E93}"/>
    <cellStyle name="Note 2 7 2" xfId="7077" xr:uid="{41DFC5CB-2DEC-44FC-A6D0-8BEDBC61DAD4}"/>
    <cellStyle name="Note 2 8" xfId="4181" xr:uid="{51356934-DF70-44D6-A13C-F67AF16ABF4A}"/>
    <cellStyle name="Note 2 8 2" xfId="8370" xr:uid="{A4B59AC4-6469-41D5-801B-D799F9E6B043}"/>
    <cellStyle name="Note 2 9" xfId="5753" xr:uid="{BE2D95EA-74E1-49D5-9354-CD50FC980827}"/>
    <cellStyle name="Note 3" xfId="280" xr:uid="{E99E5EA8-52E6-4C54-9815-053FBF7C0170}"/>
    <cellStyle name="Note 3 2" xfId="648" xr:uid="{35647265-B9B9-479E-A5D2-15F687445A50}"/>
    <cellStyle name="Note 3 2 2" xfId="1209" xr:uid="{6C298027-D3C1-430F-AE18-DAE8EFA677AA}"/>
    <cellStyle name="Note 3 2 2 2" xfId="1445" xr:uid="{A9A15F25-46DB-40E8-A1C6-670C03781175}"/>
    <cellStyle name="Note 3 2 2 3" xfId="1444" xr:uid="{54A07CA6-EEA8-40F5-94FD-2B1F299F066C}"/>
    <cellStyle name="Note 3 2 2 4" xfId="3402" xr:uid="{B9A91D0E-6F6A-4F52-821C-F0908DE6B249}"/>
    <cellStyle name="Note 3 2 2 4 2" xfId="7599" xr:uid="{718670C5-E011-40E7-B80D-218A5AD7FA92}"/>
    <cellStyle name="Note 3 2 2 5" xfId="4720" xr:uid="{85D4702F-20F2-46EB-B43F-8F167CBAC481}"/>
    <cellStyle name="Note 3 2 2 5 2" xfId="8899" xr:uid="{8D7AADFE-84B3-42A2-85B8-A6E4DACC46BE}"/>
    <cellStyle name="Note 3 2 2 6" xfId="6284" xr:uid="{A7B762EE-F13B-4A01-8719-AC8925758995}"/>
    <cellStyle name="Note 3 2 3" xfId="1446" xr:uid="{A4F05290-9B4A-4BDB-851D-051FF39EB715}"/>
    <cellStyle name="Note 3 2 4" xfId="1443" xr:uid="{38552B3D-AB5B-4751-91CC-DE1FF6FFF5D1}"/>
    <cellStyle name="Note 3 2 5" xfId="2965" xr:uid="{292030A6-5514-4023-811A-041DBD32F855}"/>
    <cellStyle name="Note 3 2 5 2" xfId="7168" xr:uid="{BA7E8351-37BC-4217-8B4C-1D7F90B7A5B5}"/>
    <cellStyle name="Note 3 2 6" xfId="4276" xr:uid="{57543114-55DB-475B-8B41-7577611BCC85}"/>
    <cellStyle name="Note 3 2 6 2" xfId="8461" xr:uid="{A26D5BFF-20A2-419B-AABB-BF844CA3C467}"/>
    <cellStyle name="Note 3 2 7" xfId="5845" xr:uid="{26DB2760-0E1C-4260-A7DF-A015A1D88B8C}"/>
    <cellStyle name="Note 3 3" xfId="1034" xr:uid="{1A0FF89B-26E8-48D8-BB79-97A267DF43EA}"/>
    <cellStyle name="Note 3 3 2" xfId="1275" xr:uid="{1FE9B7E7-0BEF-456C-B3AC-63404F759516}"/>
    <cellStyle name="Note 3 3 2 2" xfId="1448" xr:uid="{8372810A-81B2-4929-B387-8E0DDECDC7A2}"/>
    <cellStyle name="Note 3 3 2 3" xfId="3468" xr:uid="{1ABED09F-219C-4010-8123-50068E3424EC}"/>
    <cellStyle name="Note 3 3 2 3 2" xfId="7665" xr:uid="{668B8D9D-EBC4-46DA-8B26-57073ED7AB41}"/>
    <cellStyle name="Note 3 3 2 4" xfId="4786" xr:uid="{2F2B5255-35ED-4497-A860-CCA6EDD796C1}"/>
    <cellStyle name="Note 3 3 2 4 2" xfId="8965" xr:uid="{04CF6B62-0E76-4577-96A3-77F11F176BEC}"/>
    <cellStyle name="Note 3 3 2 5" xfId="6350" xr:uid="{813448D2-0089-4856-9168-0D3344890FEC}"/>
    <cellStyle name="Note 3 3 3" xfId="1447" xr:uid="{F7556F77-0B63-4AC3-A2B7-4F6605D295B8}"/>
    <cellStyle name="Note 3 3 4" xfId="3242" xr:uid="{31564182-1C78-4CB8-A12B-F5AACFA00FE6}"/>
    <cellStyle name="Note 3 3 4 2" xfId="7443" xr:uid="{21A0906A-70FF-4B1C-9C27-A634C02568DF}"/>
    <cellStyle name="Note 3 3 5" xfId="4559" xr:uid="{F9155419-09C4-4C05-BD6D-4CBEF137D17F}"/>
    <cellStyle name="Note 3 3 5 2" xfId="8742" xr:uid="{D05BEFF9-023D-4F37-8985-CA63746EAD8C}"/>
    <cellStyle name="Note 3 3 6" xfId="6127" xr:uid="{E95DF7C0-8559-467D-A56E-7397A1B84AE9}"/>
    <cellStyle name="Note 3 4" xfId="1143" xr:uid="{99DAD298-164E-48C5-9F0D-337AC92EAE10}"/>
    <cellStyle name="Note 3 4 2" xfId="1450" xr:uid="{13F34FC0-6820-40C4-BA0F-92CD23CFB4E8}"/>
    <cellStyle name="Note 3 4 3" xfId="1449" xr:uid="{8F735ED2-01FD-4366-B867-B146E244DADC}"/>
    <cellStyle name="Note 3 4 4" xfId="3336" xr:uid="{5127D9D0-2314-4675-AF00-9F6863DBED1B}"/>
    <cellStyle name="Note 3 4 4 2" xfId="7533" xr:uid="{EF037266-79E8-456C-8AE7-42C09BB4DC60}"/>
    <cellStyle name="Note 3 4 5" xfId="4654" xr:uid="{7A148339-5F59-4841-B5B8-BCDEFA5FCD2E}"/>
    <cellStyle name="Note 3 4 5 2" xfId="8833" xr:uid="{FC5AA027-94D6-41DD-BDD7-D12766687560}"/>
    <cellStyle name="Note 3 4 6" xfId="6218" xr:uid="{BB66B6DC-60A9-4386-9F1A-BFDE701B91E6}"/>
    <cellStyle name="Note 3 5" xfId="2874" xr:uid="{D711C1F6-3D3F-4C92-B4EE-3CCB86C92E32}"/>
    <cellStyle name="Note 3 5 2" xfId="7079" xr:uid="{4BBE1D15-EEAC-43A1-ACF2-42D106CA743E}"/>
    <cellStyle name="Note 3 6" xfId="4185" xr:uid="{3C410FFA-6064-4654-B817-03953F7DE6EF}"/>
    <cellStyle name="Note 3 6 2" xfId="8372" xr:uid="{5F7444F4-B5FD-49CC-96CD-4DF2BF7F04AB}"/>
    <cellStyle name="Note 3 7" xfId="5755" xr:uid="{49FBD5CE-E12A-47C8-9AB9-BA213C5AB680}"/>
    <cellStyle name="Note 4" xfId="281" xr:uid="{9D19F83A-3064-4ADB-BCF2-05FCA7A72CCC}"/>
    <cellStyle name="Note 4 2" xfId="649" xr:uid="{F92C187B-D15A-4AFE-BE14-FECA4F760CCC}"/>
    <cellStyle name="Note 4 2 2" xfId="1210" xr:uid="{7AB9DD37-FEE2-4185-B070-EFDC4304F5F3}"/>
    <cellStyle name="Note 4 2 2 2" xfId="1453" xr:uid="{EE27A15A-9BEF-446B-BB6C-A82983FE291C}"/>
    <cellStyle name="Note 4 2 2 3" xfId="1452" xr:uid="{A160EA38-B946-4EC6-8170-B32AFDF2CA92}"/>
    <cellStyle name="Note 4 2 2 4" xfId="3403" xr:uid="{6987366E-5E45-41DF-BA13-5D7656362011}"/>
    <cellStyle name="Note 4 2 2 4 2" xfId="7600" xr:uid="{C2F92007-F490-471F-9498-9DE858B88A2F}"/>
    <cellStyle name="Note 4 2 2 5" xfId="4721" xr:uid="{DE7D8D78-B218-41D1-8255-9375F13C5891}"/>
    <cellStyle name="Note 4 2 2 5 2" xfId="8900" xr:uid="{CD8329E3-B31A-40CC-B66E-A5085BC0292F}"/>
    <cellStyle name="Note 4 2 2 6" xfId="6285" xr:uid="{4055C51F-4855-47BC-BD46-FEFFBD558928}"/>
    <cellStyle name="Note 4 2 3" xfId="1454" xr:uid="{B47DB611-8E38-48F3-BE22-7F7390154012}"/>
    <cellStyle name="Note 4 2 4" xfId="1451" xr:uid="{A26D841E-54CE-4D83-85C1-92792D6A270D}"/>
    <cellStyle name="Note 4 2 5" xfId="2966" xr:uid="{5770ACAF-EE36-4087-9C91-30D127EBE4A6}"/>
    <cellStyle name="Note 4 2 5 2" xfId="7169" xr:uid="{6C98C8FE-EE75-4960-B7BC-B9FC3887CFAD}"/>
    <cellStyle name="Note 4 2 6" xfId="4277" xr:uid="{DAF4E87B-4BD0-4013-B730-722598134DBD}"/>
    <cellStyle name="Note 4 2 6 2" xfId="8462" xr:uid="{1A24EFE6-56E3-479F-B7DB-B38C2F536F6B}"/>
    <cellStyle name="Note 4 2 7" xfId="5846" xr:uid="{9DF0D4E7-38F0-4FA8-8BE8-11AC01AA9A1D}"/>
    <cellStyle name="Note 4 3" xfId="1035" xr:uid="{16807475-959B-4A29-8FE5-6155C51EACDE}"/>
    <cellStyle name="Note 4 3 2" xfId="1276" xr:uid="{8CE1FF37-A316-4A6A-BA1B-6549A52FE359}"/>
    <cellStyle name="Note 4 3 2 2" xfId="1456" xr:uid="{3F1278B1-80A5-4DDC-8AE1-5D7C9B69FFC9}"/>
    <cellStyle name="Note 4 3 2 3" xfId="3469" xr:uid="{2C6B0755-ACAE-4C84-BC8A-EDE7FCF44E94}"/>
    <cellStyle name="Note 4 3 2 3 2" xfId="7666" xr:uid="{A937D329-8C3A-447A-86DD-95353B27D602}"/>
    <cellStyle name="Note 4 3 2 4" xfId="4787" xr:uid="{5F2AE1EB-B3B5-4375-B8B1-EA85CF4D415F}"/>
    <cellStyle name="Note 4 3 2 4 2" xfId="8966" xr:uid="{94F4E7D7-4BCA-4A69-9C55-0C87ACA09314}"/>
    <cellStyle name="Note 4 3 2 5" xfId="6351" xr:uid="{296934D3-384F-4646-8095-F4EB9BA68365}"/>
    <cellStyle name="Note 4 3 3" xfId="1455" xr:uid="{0E7F6A9D-1206-4B28-833C-D5DAC71D0839}"/>
    <cellStyle name="Note 4 3 4" xfId="3243" xr:uid="{7219B432-FD10-4E6D-83BF-1EC5AA355130}"/>
    <cellStyle name="Note 4 3 4 2" xfId="7444" xr:uid="{9F9FD82F-540A-45A2-9D1F-D3711514A621}"/>
    <cellStyle name="Note 4 3 5" xfId="4560" xr:uid="{530F8491-BF51-4BE4-A368-80A759F44CF0}"/>
    <cellStyle name="Note 4 3 5 2" xfId="8743" xr:uid="{76DA2767-848A-40DD-A2A5-ABD6D91E3C7D}"/>
    <cellStyle name="Note 4 3 6" xfId="6128" xr:uid="{24F18693-48AF-49EA-AA78-2F709F0EF4F0}"/>
    <cellStyle name="Note 4 4" xfId="1144" xr:uid="{56C93743-4016-45E5-879E-24AF43D8C847}"/>
    <cellStyle name="Note 4 4 2" xfId="1458" xr:uid="{195E25B3-FAAC-476C-8238-4D379833DFA7}"/>
    <cellStyle name="Note 4 4 3" xfId="1457" xr:uid="{8E646DE0-C28C-4049-90BA-EDFA03AB5963}"/>
    <cellStyle name="Note 4 4 4" xfId="3337" xr:uid="{E9937568-A9C2-4F52-AB4D-5B922942F582}"/>
    <cellStyle name="Note 4 4 4 2" xfId="7534" xr:uid="{9D81CCC9-5D4C-4BD2-B77D-97B77EC14FF2}"/>
    <cellStyle name="Note 4 4 5" xfId="4655" xr:uid="{A3717851-11C2-4951-AED2-E2B1724E3FB7}"/>
    <cellStyle name="Note 4 4 5 2" xfId="8834" xr:uid="{DE134C4B-E17C-40B5-BAD2-862B15E74705}"/>
    <cellStyle name="Note 4 4 6" xfId="6219" xr:uid="{24C092CD-DC48-452A-8054-8CAFA8BF9801}"/>
    <cellStyle name="Note 4 5" xfId="2875" xr:uid="{CD435FBE-2D5E-4040-AB2A-92A76C98507C}"/>
    <cellStyle name="Note 4 5 2" xfId="7080" xr:uid="{77A9FCAA-17F1-429A-B7DE-F5EC1A04C176}"/>
    <cellStyle name="Note 4 6" xfId="4186" xr:uid="{193ED467-F667-4A12-A122-DAA1F6042E9B}"/>
    <cellStyle name="Note 4 6 2" xfId="8373" xr:uid="{7D5D0E80-6AD7-4473-B981-460796BE6793}"/>
    <cellStyle name="Note 4 7" xfId="5756" xr:uid="{C113DEAD-CAA3-45DD-AA8D-635F2DA48326}"/>
    <cellStyle name="Output 2" xfId="1459" xr:uid="{18EAF54E-7B74-4030-BDC6-48C114E5ABC5}"/>
    <cellStyle name="Output 2 2" xfId="1460" xr:uid="{C9936152-7675-4EBF-ADB0-C564CE040E82}"/>
    <cellStyle name="Output 2 2 2" xfId="3526" xr:uid="{8D3F687C-1241-4D7A-BE93-8DC3C6D492E7}"/>
    <cellStyle name="Output 2 2 2 2" xfId="5605" xr:uid="{1872D7D4-BF21-4273-ABBB-F3FB49847D33}"/>
    <cellStyle name="Output 2 2 2 3" xfId="5612" xr:uid="{6DE04026-9D46-48B5-BDF4-FB8F4F1C27E1}"/>
    <cellStyle name="Output 2 2 2 4" xfId="5566" xr:uid="{2483AF71-E674-4E19-9D29-A3C624D3F9DC}"/>
    <cellStyle name="Output 2 2 2 5" xfId="9653" xr:uid="{66ED3E75-D67B-4C60-BFB8-82C0C661E21F}"/>
    <cellStyle name="Output 2 2 3" xfId="4846" xr:uid="{401419DB-946E-49BC-89B9-27D20691ED58}"/>
    <cellStyle name="Output 2 2 3 2" xfId="5648" xr:uid="{DB003EC4-AA05-4D44-A826-267DE8C5F53F}"/>
    <cellStyle name="Output 2 2 3 3" xfId="5571" xr:uid="{9D0B9623-E38D-4F84-AD2E-AE8ABCD3060C}"/>
    <cellStyle name="Output 2 2 3 4" xfId="5557" xr:uid="{341A3718-5D86-4345-A080-9AF5B32416A0}"/>
    <cellStyle name="Output 2 2 3 5" xfId="9663" xr:uid="{F5B19D46-2C57-43D9-B40F-73DF1EC430E7}"/>
    <cellStyle name="Output 2 2 4" xfId="5544" xr:uid="{C2D8DC83-DEEE-4AF4-BB41-A6AD13A740BB}"/>
    <cellStyle name="Output 2 2 5" xfId="5564" xr:uid="{007B4981-2FAD-49E3-8287-D3D51367F0C7}"/>
    <cellStyle name="Output 2 2 6" xfId="5659" xr:uid="{65C86675-C3ED-47BA-8B4F-2E448F3BA66F}"/>
    <cellStyle name="Output 2 2 7" xfId="6412" xr:uid="{6C06BAE4-E9D1-4F06-B27C-BB0A6BFAA1BC}"/>
    <cellStyle name="Output 2 3" xfId="3525" xr:uid="{167BEEF9-A790-4A70-B36C-F67EDD341FD8}"/>
    <cellStyle name="Output 2 3 2" xfId="5604" xr:uid="{2227FFFC-BFF5-4622-8EA0-2A824A30B446}"/>
    <cellStyle name="Output 2 3 3" xfId="5514" xr:uid="{04CD3BC3-1836-4967-B867-05DE3EA9F844}"/>
    <cellStyle name="Output 2 3 4" xfId="5580" xr:uid="{17860666-2A6A-45C3-B39F-D17E359CFB05}"/>
    <cellStyle name="Output 2 3 5" xfId="9669" xr:uid="{95F31216-52F8-41C8-B3D2-BCE9D3D893F4}"/>
    <cellStyle name="Output 2 4" xfId="4845" xr:uid="{91F53062-4B23-41AB-8ED5-45C92DE8EB90}"/>
    <cellStyle name="Output 2 4 2" xfId="5647" xr:uid="{B8C33D23-A268-476A-A6FC-BE3A649E10C4}"/>
    <cellStyle name="Output 2 4 3" xfId="5556" xr:uid="{89DC0EA6-CDE8-471E-B6F0-59AA38CC598F}"/>
    <cellStyle name="Output 2 4 4" xfId="5613" xr:uid="{36815360-C066-412A-993F-C406B1E65D34}"/>
    <cellStyle name="Output 2 4 5" xfId="5752" xr:uid="{3CA9F791-F11E-4FCA-9664-EDF8B4A08685}"/>
    <cellStyle name="Output 2 5" xfId="5543" xr:uid="{32DF39B7-090E-4A13-80E6-EDBB11E3E2EA}"/>
    <cellStyle name="Output 2 6" xfId="5636" xr:uid="{B71863E0-55FD-4EF3-8570-948B418F3C40}"/>
    <cellStyle name="Output 2 7" xfId="5536" xr:uid="{D9C9AA9C-FBDF-4DF4-A4FE-9D9C8481AFF5}"/>
    <cellStyle name="Output 2 8" xfId="9644" xr:uid="{1C28ADA0-F7D3-4192-BE4B-A4AE26C82A0D}"/>
    <cellStyle name="Paragraph Han" xfId="2760" xr:uid="{E824660F-A395-4A40-9A6F-784A98B85FC5}"/>
    <cellStyle name="Percent" xfId="32" builtinId="5"/>
    <cellStyle name="Percent 10" xfId="2026" xr:uid="{CB20D8D6-5971-4CE4-85DC-88859F044548}"/>
    <cellStyle name="Percent 11" xfId="5492" xr:uid="{469A68F7-98C5-416A-A13E-8C62AF1B74C6}"/>
    <cellStyle name="Percent 12" xfId="9619" xr:uid="{E702E6C1-90E9-43A1-931C-1F22E2A860DD}"/>
    <cellStyle name="Percent 2" xfId="282" xr:uid="{8F276468-1BD6-4D15-98EF-6CCD4CA891FA}"/>
    <cellStyle name="Percent 2 2" xfId="55" xr:uid="{77CD3533-D2CB-4CAA-99AD-941EF3DA0711}"/>
    <cellStyle name="Percent 2 2 10" xfId="2762" xr:uid="{42CFC080-4D66-43E7-B9A1-E134C5A57354}"/>
    <cellStyle name="Percent 2 2 10 2" xfId="6979" xr:uid="{198175C2-EE62-4F8C-887B-48D643BB7B2D}"/>
    <cellStyle name="Percent 2 2 11" xfId="2781" xr:uid="{915D5B4A-6770-4E96-828A-B4AEEA8657F7}"/>
    <cellStyle name="Percent 2 2 11 2" xfId="6993" xr:uid="{5371E592-ACBE-4250-ADA6-2B5304D8D41E}"/>
    <cellStyle name="Percent 2 2 12" xfId="5463" xr:uid="{0400198C-A45C-45FF-A8FC-C024850DCEB2}"/>
    <cellStyle name="Percent 2 2 12 2" xfId="9598" xr:uid="{ECC821EE-33BD-4E3B-AC71-D88CFCA85CA7}"/>
    <cellStyle name="Percent 2 2 2" xfId="283" xr:uid="{E274B1A5-5BE8-4191-834B-BF2A2AA1CA81}"/>
    <cellStyle name="Percent 2 2 2 2" xfId="1461" xr:uid="{E1B90B15-ECAD-45D6-9558-D52075D2AFA0}"/>
    <cellStyle name="Percent 2 2 2 2 2" xfId="1462" xr:uid="{868C12F9-FDDA-4CCD-949D-D61A9F6636E5}"/>
    <cellStyle name="Percent 2 2 2 2 2 2" xfId="1463" xr:uid="{627D16FA-698B-49B1-8A21-8CDF1441C33F}"/>
    <cellStyle name="Percent 2 2 2 2 2 2 2" xfId="1464" xr:uid="{54E8D6E2-C1EF-4177-AD49-4E1E21E08103}"/>
    <cellStyle name="Percent 2 2 2 2 2 2 2 2" xfId="27" xr:uid="{B1F5B962-2262-445F-B208-F5FFA42D2DFC}"/>
    <cellStyle name="Percent 2 2 2 2 2 3" xfId="1465" xr:uid="{51B4B4BE-7CC5-4C8D-97D9-CCAA4AFF81C2}"/>
    <cellStyle name="Percent 2 2 2 2 3" xfId="1466" xr:uid="{29D26883-A307-4A60-A425-6BF1599213DE}"/>
    <cellStyle name="Percent 2 2 2 2 3 2" xfId="1467" xr:uid="{2FB2838A-DEC3-4273-934C-D649F99D065C}"/>
    <cellStyle name="Percent 2 2 2 2 4" xfId="1468" xr:uid="{C8FC8F44-7DE3-4E8A-B04A-41B8EB97C4D6}"/>
    <cellStyle name="Percent 2 2 2 3" xfId="1469" xr:uid="{79C4B25D-F075-47E1-88F5-186C95D18BE2}"/>
    <cellStyle name="Percent 2 2 2 3 2" xfId="1470" xr:uid="{E8BB667D-87A0-48FE-9CF7-D2ED6F798878}"/>
    <cellStyle name="Percent 2 2 2 3 2 2" xfId="1471" xr:uid="{DD2759C1-85DA-439E-9BCC-4C7B17130F67}"/>
    <cellStyle name="Percent 2 2 2 3 3" xfId="1472" xr:uid="{5F953B3A-ADFB-4309-8EEE-FB6F75BBD86A}"/>
    <cellStyle name="Percent 2 2 2 4" xfId="1473" xr:uid="{83473313-8F6A-48E4-A63D-28B3C6FB63A4}"/>
    <cellStyle name="Percent 2 2 2 4 2" xfId="1474" xr:uid="{3C03F445-A3B6-456A-925A-6883ACD9BB3C}"/>
    <cellStyle name="Percent 2 2 2 4 2 2" xfId="1475" xr:uid="{C05F32DC-825B-4FA1-B0D7-4602EAD1D35A}"/>
    <cellStyle name="Percent 2 2 2 4 3" xfId="1476" xr:uid="{A4018D09-E64D-4F17-8218-7F5D198FEB9D}"/>
    <cellStyle name="Percent 2 2 2 5" xfId="2785" xr:uid="{5F14B345-A93A-471F-99EF-185AF9B9C286}"/>
    <cellStyle name="Percent 2 2 2 5 2" xfId="6997" xr:uid="{7B590D67-FBBF-43A4-8808-DFB8FB476C77}"/>
    <cellStyle name="Percent 2 2 3" xfId="1477" xr:uid="{CCCE6BAA-BD15-4E92-A670-CEA68ADDE3E6}"/>
    <cellStyle name="Percent 2 2 3 2" xfId="1478" xr:uid="{42BE8397-34F6-4D1D-93C0-D92ACD3905CB}"/>
    <cellStyle name="Percent 2 2 3 2 2" xfId="1479" xr:uid="{C03E1B9A-65D3-41A8-98BB-D836C53501AA}"/>
    <cellStyle name="Percent 2 2 3 2 2 2" xfId="1480" xr:uid="{3FAB3F8F-F884-4F44-8B5F-3CB6E4DF2715}"/>
    <cellStyle name="Percent 2 2 3 2 2 2 2" xfId="1481" xr:uid="{D520C4EF-9BF9-40AF-B389-4A2E2E9029A4}"/>
    <cellStyle name="Percent 2 2 3 2 2 3" xfId="1482" xr:uid="{907F3EA6-6F05-4C2B-8552-A6FE3D161B54}"/>
    <cellStyle name="Percent 2 2 3 2 3" xfId="1483" xr:uid="{73385625-1B46-4D9B-A332-A59038BE1C9D}"/>
    <cellStyle name="Percent 2 2 3 2 3 2" xfId="1484" xr:uid="{86109E8B-5856-42A5-952F-4391065595E4}"/>
    <cellStyle name="Percent 2 2 3 2 4" xfId="1485" xr:uid="{5D8E33D1-5620-4BFE-B4D9-33C2557D1BCA}"/>
    <cellStyle name="Percent 2 2 3 3" xfId="1486" xr:uid="{C93171AC-FECF-4FA8-9E68-50F4EEE19C86}"/>
    <cellStyle name="Percent 2 2 3 3 2" xfId="1487" xr:uid="{6DFF6A8B-E48F-4646-97A8-1B0779147A6C}"/>
    <cellStyle name="Percent 2 2 3 3 2 2" xfId="1488" xr:uid="{4229A01A-2406-4018-8D54-14BFF93B02BF}"/>
    <cellStyle name="Percent 2 2 3 3 3" xfId="1489" xr:uid="{45CF0876-E5F1-4A2F-8D85-32639BD99A84}"/>
    <cellStyle name="Percent 2 2 3 4" xfId="1490" xr:uid="{FA3C7635-A049-4E85-B7D7-B3E46696AD3A}"/>
    <cellStyle name="Percent 2 2 3 4 2" xfId="1491" xr:uid="{3C85BA5A-32EC-4AB3-868E-770D4E1D49C5}"/>
    <cellStyle name="Percent 2 2 3 5" xfId="1492" xr:uid="{58C4CA39-5B87-482C-AEC6-44690EA44083}"/>
    <cellStyle name="Percent 2 2 4" xfId="1493" xr:uid="{035BCA7A-FA0F-4B32-B11F-60EA91954A0B}"/>
    <cellStyle name="Percent 2 2 5" xfId="1494" xr:uid="{1F04FA99-5547-4CB3-8C3F-1D42BE38AEE4}"/>
    <cellStyle name="Percent 2 2 5 2" xfId="1495" xr:uid="{279F7703-897B-4C6F-BFF0-87B69D42EFFD}"/>
    <cellStyle name="Percent 2 2 5 2 2" xfId="1496" xr:uid="{FEC5D752-1EE6-4B91-B760-799F080FCADF}"/>
    <cellStyle name="Percent 2 2 5 2 2 2" xfId="1497" xr:uid="{A2E06CD3-86D1-4CC3-AE75-FFF920306798}"/>
    <cellStyle name="Percent 2 2 5 2 3" xfId="1498" xr:uid="{D2454ED7-F3DC-438B-BD1E-A7817731FC6B}"/>
    <cellStyle name="Percent 2 2 5 3" xfId="1499" xr:uid="{D2D82440-98BA-4336-AE7D-3D314725D9CF}"/>
    <cellStyle name="Percent 2 2 5 3 2" xfId="1500" xr:uid="{E3EA8FF4-8F12-49A0-9C83-464831FAE5FE}"/>
    <cellStyle name="Percent 2 2 5 4" xfId="1501" xr:uid="{269A21B6-1C06-4FEE-A671-7B702EF6A1C6}"/>
    <cellStyle name="Percent 2 2 6" xfId="1502" xr:uid="{D434D6E6-DF46-48C0-A1C8-0CAF39983702}"/>
    <cellStyle name="Percent 2 2 6 2" xfId="1503" xr:uid="{50711C19-E362-4BDE-9B0C-114AF0C090E5}"/>
    <cellStyle name="Percent 2 2 6 2 2" xfId="1504" xr:uid="{20834DBE-71F6-45FD-993B-D32640D4E201}"/>
    <cellStyle name="Percent 2 2 6 3" xfId="1505" xr:uid="{2AB1F557-0F9A-44EF-B6B5-B7A3790592FF}"/>
    <cellStyle name="Percent 2 2 7" xfId="1506" xr:uid="{26518E7F-F174-45BC-955A-98E6DFC651CC}"/>
    <cellStyle name="Percent 2 2 7 2" xfId="1507" xr:uid="{88A98B63-5DCD-4D66-9A08-B50624DFBE55}"/>
    <cellStyle name="Percent 2 2 7 2 2" xfId="1508" xr:uid="{8335D569-4817-49EF-B56B-394AE96AFB38}"/>
    <cellStyle name="Percent 2 2 7 3" xfId="1509" xr:uid="{A88704EB-A879-4D9D-B3B1-760D6D7723FB}"/>
    <cellStyle name="Percent 2 2 8" xfId="1510" xr:uid="{AFAD322B-74F0-4CC7-8684-6BC736BCB2C8}"/>
    <cellStyle name="Percent 2 2 9" xfId="2017" xr:uid="{237B8689-53F2-488A-A944-D61F357BABC5}"/>
    <cellStyle name="Percent 2 2 9 2" xfId="3534" xr:uid="{15E3AB05-F37E-4ED4-8C77-0B20FC6FA475}"/>
    <cellStyle name="Percent 2 2 9 2 2" xfId="7723" xr:uid="{1463A50C-8B83-42D9-B31A-5F44863EF4CB}"/>
    <cellStyle name="Percent 2 2 9 3" xfId="4855" xr:uid="{5DA3CC8F-18BD-4320-AA63-0E2A2A63D06D}"/>
    <cellStyle name="Percent 2 2 9 3 2" xfId="9026" xr:uid="{B42BF230-4050-4F1C-AD9B-0ED7625FFE05}"/>
    <cellStyle name="Percent 2 2 9 4" xfId="6414" xr:uid="{4601557E-47C5-4924-BC52-5ED2AAC1DC90}"/>
    <cellStyle name="Percent 2 3" xfId="284" xr:uid="{E18CE5F6-3623-4F49-AF99-1F8D3E0227D7}"/>
    <cellStyle name="Percent 2 3 2" xfId="1511" xr:uid="{A64FD195-EB6A-46CF-8BDC-ABA8DE463452}"/>
    <cellStyle name="Percent 2 4" xfId="1512" xr:uid="{E3DBA7CB-4BB1-4243-8834-D1CF13A40FB7}"/>
    <cellStyle name="Percent 3" xfId="285" xr:uid="{7484B3C2-7E54-4E4F-BC74-D4A6654DB0A4}"/>
    <cellStyle name="Percent 3 2" xfId="286" xr:uid="{9BF9B18C-3CE7-44CC-9912-78BFD0B69F96}"/>
    <cellStyle name="Percent 3 2 2" xfId="651" xr:uid="{2225F04C-D825-42F9-9923-333C8E0BDC05}"/>
    <cellStyle name="Percent 3 2 2 2" xfId="1212" xr:uid="{D1A4CDA9-7DD8-4944-8721-923B0166CE96}"/>
    <cellStyle name="Percent 3 2 2 2 2" xfId="1515" xr:uid="{145C8A3A-628F-468C-B4E1-B23BEB0E2476}"/>
    <cellStyle name="Percent 3 2 2 2 3" xfId="1514" xr:uid="{31128B7E-E565-45C7-8AEE-53C70E846B92}"/>
    <cellStyle name="Percent 3 2 2 2 4" xfId="3405" xr:uid="{1193D29A-4E99-46A2-8CC0-52FA1D40F4B6}"/>
    <cellStyle name="Percent 3 2 2 2 4 2" xfId="7602" xr:uid="{FD34F9E8-5D55-4EB2-B551-35DF0AAF85E8}"/>
    <cellStyle name="Percent 3 2 2 2 5" xfId="4723" xr:uid="{F3DE6E92-6EA6-4433-8897-5697D97C75B7}"/>
    <cellStyle name="Percent 3 2 2 2 5 2" xfId="8902" xr:uid="{B1B72AAB-391C-41AB-96B2-D0AABE05214A}"/>
    <cellStyle name="Percent 3 2 2 2 6" xfId="6287" xr:uid="{731C43DA-E7C3-4056-B80C-241CDFA350B6}"/>
    <cellStyle name="Percent 3 2 2 3" xfId="1516" xr:uid="{C8FF3A57-EC7E-4F3D-94B1-1D416949D724}"/>
    <cellStyle name="Percent 3 2 2 4" xfId="1513" xr:uid="{329EE6D5-1663-415A-A7F1-51FBF22EE693}"/>
    <cellStyle name="Percent 3 2 2 5" xfId="2968" xr:uid="{4DF54B76-2B5B-4BAD-A709-836A9DE5A992}"/>
    <cellStyle name="Percent 3 2 2 5 2" xfId="7171" xr:uid="{E3015EB1-AE92-4FCB-96D5-5D9AC9E487E8}"/>
    <cellStyle name="Percent 3 2 2 6" xfId="4279" xr:uid="{21048AE3-802C-4511-9E07-E7F26AFEE684}"/>
    <cellStyle name="Percent 3 2 2 6 2" xfId="8464" xr:uid="{17B55A82-B896-4D9C-BF0A-44701E9EC3E6}"/>
    <cellStyle name="Percent 3 2 2 7" xfId="5848" xr:uid="{0C447537-BAE1-4284-9AAB-7E0EB7B7B7D6}"/>
    <cellStyle name="Percent 3 2 3" xfId="1037" xr:uid="{C6274AC8-22E4-44EF-BCF4-8AAEFD061A76}"/>
    <cellStyle name="Percent 3 2 3 2" xfId="1278" xr:uid="{24C5C2C4-F97E-41B3-B7BE-142F223D4AE6}"/>
    <cellStyle name="Percent 3 2 3 2 2" xfId="1518" xr:uid="{5007DBA1-F5D6-4E13-95AE-2FDC557ED3B1}"/>
    <cellStyle name="Percent 3 2 3 2 3" xfId="3471" xr:uid="{B8B31A1C-C233-4202-BE7A-F804D4FF0FAF}"/>
    <cellStyle name="Percent 3 2 3 2 3 2" xfId="7668" xr:uid="{9618734F-567D-47A2-8C1C-DA8F1A91A962}"/>
    <cellStyle name="Percent 3 2 3 2 4" xfId="4789" xr:uid="{AAE5FBE9-3B08-44BF-AE32-4AE56AB3B697}"/>
    <cellStyle name="Percent 3 2 3 2 4 2" xfId="8968" xr:uid="{0413DDFE-2D59-47C1-AF07-8CF8CF89806E}"/>
    <cellStyle name="Percent 3 2 3 2 5" xfId="6353" xr:uid="{FD2FBB1A-E6D7-45E1-BE60-38B612020ED7}"/>
    <cellStyle name="Percent 3 2 3 3" xfId="1517" xr:uid="{23341352-496E-4003-BB3D-766B692C8D57}"/>
    <cellStyle name="Percent 3 2 3 4" xfId="3245" xr:uid="{2C9FA6E8-F74C-4754-B3B3-9715892A560E}"/>
    <cellStyle name="Percent 3 2 3 4 2" xfId="7446" xr:uid="{0C07A1BA-B1E2-48DD-B446-1B3E2C8D7E05}"/>
    <cellStyle name="Percent 3 2 3 5" xfId="4562" xr:uid="{812B45D5-296B-496A-8EEF-D3C2EE671F0E}"/>
    <cellStyle name="Percent 3 2 3 5 2" xfId="8745" xr:uid="{B73CEB4C-9FCA-40C1-A397-C75C1C6FF276}"/>
    <cellStyle name="Percent 3 2 3 6" xfId="6130" xr:uid="{108DFEEA-717F-4B32-8F8B-004CE96A8CD6}"/>
    <cellStyle name="Percent 3 2 4" xfId="1146" xr:uid="{9E946D64-FEE7-453A-926D-02CAC083ABA7}"/>
    <cellStyle name="Percent 3 2 4 2" xfId="1520" xr:uid="{AE77FEF8-C4A2-4207-8B91-43A95BC62A8F}"/>
    <cellStyle name="Percent 3 2 4 3" xfId="1519" xr:uid="{6E23B8EF-B166-4907-B2E2-98383521D7D9}"/>
    <cellStyle name="Percent 3 2 4 4" xfId="3339" xr:uid="{D0C67BF1-1E14-4B9B-A40F-F1810E9FCB25}"/>
    <cellStyle name="Percent 3 2 4 4 2" xfId="7536" xr:uid="{2208DE99-A41A-4425-BF9F-F29AFA25A1DB}"/>
    <cellStyle name="Percent 3 2 4 5" xfId="4657" xr:uid="{77C88C34-0AB8-4273-AEAD-9A7531F86D6D}"/>
    <cellStyle name="Percent 3 2 4 5 2" xfId="8836" xr:uid="{8EE3EE89-D88E-4852-89E2-D04845BCAD3E}"/>
    <cellStyle name="Percent 3 2 4 6" xfId="6221" xr:uid="{C82B071E-11A6-41C8-8EB2-1EFE321C0FA5}"/>
    <cellStyle name="Percent 3 2 5" xfId="2877" xr:uid="{CCA7F1A9-1979-4B9C-8AD4-909115FE73FC}"/>
    <cellStyle name="Percent 3 2 5 2" xfId="7082" xr:uid="{D0224264-E052-4264-BA06-517ED08D74AA}"/>
    <cellStyle name="Percent 3 2 6" xfId="4188" xr:uid="{677CA931-E1B6-49AE-B0F5-9A10DAEB3086}"/>
    <cellStyle name="Percent 3 2 6 2" xfId="8375" xr:uid="{08B30341-CFA6-4559-844C-28ADE95088D0}"/>
    <cellStyle name="Percent 3 2 7" xfId="5758" xr:uid="{21BFEA2C-8E81-477A-8BF3-91B3E4371E71}"/>
    <cellStyle name="Percent 3 3" xfId="287" xr:uid="{6BD71B92-0D47-4CA9-AA03-FED0696880EB}"/>
    <cellStyle name="Percent 3 3 2" xfId="288" xr:uid="{41B793F0-62C9-48CB-A0FE-4BB4CC8FDB8B}"/>
    <cellStyle name="Percent 3 3 2 2" xfId="562" xr:uid="{F7964F70-01F4-40D8-A85D-5DC45BE60CAD}"/>
    <cellStyle name="Percent 3 3 3" xfId="561" xr:uid="{F3FC936D-914E-4606-AB66-043F58B07F88}"/>
    <cellStyle name="Percent 3 4" xfId="650" xr:uid="{49408C4A-E773-43D4-9364-3300C0273111}"/>
    <cellStyle name="Percent 3 4 2" xfId="1211" xr:uid="{EC1BB4B5-BEC5-4739-B667-479193932910}"/>
    <cellStyle name="Percent 3 4 2 2" xfId="3404" xr:uid="{19152C28-54B4-4196-B5A5-E4D77AAFAB0C}"/>
    <cellStyle name="Percent 3 4 2 2 2" xfId="7601" xr:uid="{DB57A53A-0F1D-4C1C-8DAD-129BFC607E3D}"/>
    <cellStyle name="Percent 3 4 2 3" xfId="4722" xr:uid="{D708FCE2-B43A-4153-81E2-0F1A724B244D}"/>
    <cellStyle name="Percent 3 4 2 3 2" xfId="8901" xr:uid="{F0802FB7-FCA9-40F0-B7AA-7E160008B612}"/>
    <cellStyle name="Percent 3 4 2 4" xfId="6286" xr:uid="{8DEB7C33-FDD3-4D12-BD14-3F60E08C1752}"/>
    <cellStyle name="Percent 3 4 3" xfId="1521" xr:uid="{EFE5F242-FFBE-490B-831A-9B3D7E3F16AE}"/>
    <cellStyle name="Percent 3 4 4" xfId="2967" xr:uid="{26F21B42-2BEB-4C28-897F-8ACB9FF5F150}"/>
    <cellStyle name="Percent 3 4 4 2" xfId="7170" xr:uid="{8A364899-BB36-4A0E-BF3C-D81E892212DE}"/>
    <cellStyle name="Percent 3 4 5" xfId="4278" xr:uid="{09BD698C-BBD5-401C-A27C-A20414056148}"/>
    <cellStyle name="Percent 3 4 5 2" xfId="8463" xr:uid="{75DE382F-CAA4-422C-BEEC-32E6DEF1F6F6}"/>
    <cellStyle name="Percent 3 4 6" xfId="5847" xr:uid="{985735B5-D1F1-4BC0-87E1-7C4D9B07DA91}"/>
    <cellStyle name="Percent 3 5" xfId="1036" xr:uid="{257E39C0-375C-4B6D-912A-F13CA1BC49B3}"/>
    <cellStyle name="Percent 3 5 2" xfId="1277" xr:uid="{DEC77356-48E9-4147-ABCA-C9767F30F79D}"/>
    <cellStyle name="Percent 3 5 2 2" xfId="3470" xr:uid="{B310B826-38F8-4CB1-A0A1-6021A8CAD77A}"/>
    <cellStyle name="Percent 3 5 2 2 2" xfId="7667" xr:uid="{8DD903A1-F11F-40B7-9232-71A61CA2DCAC}"/>
    <cellStyle name="Percent 3 5 2 3" xfId="4788" xr:uid="{EDF07AA1-1E6B-431E-9CF3-4B25C4880BEB}"/>
    <cellStyle name="Percent 3 5 2 3 2" xfId="8967" xr:uid="{4658247A-E71C-4B21-9E28-CC2EB5CA1F1E}"/>
    <cellStyle name="Percent 3 5 2 4" xfId="6352" xr:uid="{70612ECF-B2D0-433D-B30D-B0C97D6DC5CC}"/>
    <cellStyle name="Percent 3 5 3" xfId="3244" xr:uid="{C1F05374-3CEC-4897-AFA8-8B2DFC7C54DA}"/>
    <cellStyle name="Percent 3 5 3 2" xfId="7445" xr:uid="{6B3844AA-A333-4572-A0A1-20BC9FC8930E}"/>
    <cellStyle name="Percent 3 5 4" xfId="4561" xr:uid="{A52E4692-AF02-47E2-BB63-E5260299DE0D}"/>
    <cellStyle name="Percent 3 5 4 2" xfId="8744" xr:uid="{272A4E6E-921B-4887-9A21-D93317626118}"/>
    <cellStyle name="Percent 3 5 5" xfId="6129" xr:uid="{DF0B2D47-8F3C-4D5F-9DB1-9EEA3949A832}"/>
    <cellStyle name="Percent 3 6" xfId="1145" xr:uid="{84FAF9E0-56AE-41E2-8643-62FB2497A788}"/>
    <cellStyle name="Percent 3 6 2" xfId="3338" xr:uid="{29EAFDF5-942D-4AA2-8307-423812FC6AF2}"/>
    <cellStyle name="Percent 3 6 2 2" xfId="7535" xr:uid="{AEB93EF3-6027-4A69-B3F6-1FE473CDB222}"/>
    <cellStyle name="Percent 3 6 3" xfId="4656" xr:uid="{B54340B6-138F-4563-8DE1-F27301CABD52}"/>
    <cellStyle name="Percent 3 6 3 2" xfId="8835" xr:uid="{64CA384B-89A2-4DA4-9A54-FAA614B79762}"/>
    <cellStyle name="Percent 3 6 4" xfId="6220" xr:uid="{97C1CEF5-A5A2-424F-A4A2-87C7E1C8E8C1}"/>
    <cellStyle name="Percent 3 7" xfId="2876" xr:uid="{8634C90C-3AB7-4AE2-A713-623940BC1E9F}"/>
    <cellStyle name="Percent 3 7 2" xfId="7081" xr:uid="{2C9ACF04-6306-461E-858C-E677FD2B6520}"/>
    <cellStyle name="Percent 3 8" xfId="4187" xr:uid="{A4399CF5-7C43-4EA6-92A6-0DA53261B4D3}"/>
    <cellStyle name="Percent 3 8 2" xfId="8374" xr:uid="{5DD2A01D-F69D-4811-A54E-109D63DAEAE5}"/>
    <cellStyle name="Percent 3 9" xfId="5757" xr:uid="{5C702E13-D6E9-48B4-AAC8-E8E8C6063E55}"/>
    <cellStyle name="Percent 4" xfId="289" xr:uid="{EA3B2D1D-F37D-40D0-87B6-677E016E860F}"/>
    <cellStyle name="Percent 4 10" xfId="4189" xr:uid="{E6BE71C5-FFAF-41FE-8A5F-5539B0B2A90A}"/>
    <cellStyle name="Percent 4 10 2" xfId="8376" xr:uid="{EA531000-F156-40B2-90D1-552FEF27364B}"/>
    <cellStyle name="Percent 4 11" xfId="5759" xr:uid="{FBB1DE85-5B98-4154-A697-4178AE6A3429}"/>
    <cellStyle name="Percent 4 2" xfId="290" xr:uid="{D0C4B12E-BE94-4A91-AC45-EFEBBB008AA0}"/>
    <cellStyle name="Percent 4 2 2" xfId="653" xr:uid="{120CC186-9668-4FCB-8AC2-2432849328BA}"/>
    <cellStyle name="Percent 4 2 2 2" xfId="1214" xr:uid="{3BE32BE1-8CB9-49EB-84F0-F125F58543E6}"/>
    <cellStyle name="Percent 4 2 2 2 2" xfId="1524" xr:uid="{7486FAD9-4A39-4005-BD89-8519F0D2E806}"/>
    <cellStyle name="Percent 4 2 2 2 3" xfId="1523" xr:uid="{1A246EA7-DA30-4094-8834-BDD745F20F10}"/>
    <cellStyle name="Percent 4 2 2 2 4" xfId="3407" xr:uid="{CC130F79-ECEC-492E-98EA-145A27E0A1CC}"/>
    <cellStyle name="Percent 4 2 2 2 4 2" xfId="7604" xr:uid="{EEF032D5-0D49-428C-8FE5-6E4A9FC427DC}"/>
    <cellStyle name="Percent 4 2 2 2 5" xfId="4725" xr:uid="{AF18FCAD-1AB9-4CE6-8E0D-CF71FA97E141}"/>
    <cellStyle name="Percent 4 2 2 2 5 2" xfId="8904" xr:uid="{D967F8BC-7EEF-4615-8545-40FEE251D02D}"/>
    <cellStyle name="Percent 4 2 2 2 6" xfId="6289" xr:uid="{39816A08-5B5C-4322-8AD8-14C982BF3B15}"/>
    <cellStyle name="Percent 4 2 2 3" xfId="1525" xr:uid="{EE22DE0D-EB4A-4627-A394-DA0FEC20ECAA}"/>
    <cellStyle name="Percent 4 2 2 4" xfId="1522" xr:uid="{C2C3510B-67E5-4F2D-BCC8-51723BF5E5F6}"/>
    <cellStyle name="Percent 4 2 2 5" xfId="2970" xr:uid="{44D8A18A-3EF0-431A-A6A7-D29B4369B0C9}"/>
    <cellStyle name="Percent 4 2 2 5 2" xfId="7173" xr:uid="{434003C5-AC5F-4AAD-87F4-738D1A3A9520}"/>
    <cellStyle name="Percent 4 2 2 6" xfId="4281" xr:uid="{92FB9FDE-6606-4B32-A6F0-BF371159139C}"/>
    <cellStyle name="Percent 4 2 2 6 2" xfId="8466" xr:uid="{398539C7-FD0F-47AE-AE8E-45F312E6E43A}"/>
    <cellStyle name="Percent 4 2 2 7" xfId="5850" xr:uid="{64CD9243-4601-4AB8-8583-AF0A29CB773A}"/>
    <cellStyle name="Percent 4 2 3" xfId="1039" xr:uid="{DEAB16B3-CD22-4B3F-ACA2-C6EE593E12E5}"/>
    <cellStyle name="Percent 4 2 3 2" xfId="1280" xr:uid="{699B51A7-E211-46A4-A990-907BA789D02C}"/>
    <cellStyle name="Percent 4 2 3 2 2" xfId="1527" xr:uid="{AE205ABF-F953-4723-92B2-A85891013EE2}"/>
    <cellStyle name="Percent 4 2 3 2 3" xfId="3473" xr:uid="{AD515076-102B-4565-8AFB-A6D7039BE860}"/>
    <cellStyle name="Percent 4 2 3 2 3 2" xfId="7670" xr:uid="{56225789-58DC-462C-B17F-9E498180FACA}"/>
    <cellStyle name="Percent 4 2 3 2 4" xfId="4791" xr:uid="{A38ACC42-0498-432A-8008-7A9758D44CCA}"/>
    <cellStyle name="Percent 4 2 3 2 4 2" xfId="8970" xr:uid="{8D705AFB-7C4E-44E4-A7E2-A3FF3171AA9A}"/>
    <cellStyle name="Percent 4 2 3 2 5" xfId="6355" xr:uid="{1EB333E1-F0F4-42A5-8AA7-E8C4DAA6A178}"/>
    <cellStyle name="Percent 4 2 3 3" xfId="1526" xr:uid="{BFB19D95-EECB-4C54-BEE3-BB016DB9F29C}"/>
    <cellStyle name="Percent 4 2 3 4" xfId="3247" xr:uid="{0BE95A30-A253-4E83-A078-6960F6AF7777}"/>
    <cellStyle name="Percent 4 2 3 4 2" xfId="7448" xr:uid="{0C40F5F9-F21C-4DA7-AE5F-E64412174DEC}"/>
    <cellStyle name="Percent 4 2 3 5" xfId="4564" xr:uid="{6AB6991C-1CCD-4F77-B0C6-507D2FD7EF07}"/>
    <cellStyle name="Percent 4 2 3 5 2" xfId="8747" xr:uid="{748BF3DC-685C-40C3-803D-845E8F16151D}"/>
    <cellStyle name="Percent 4 2 3 6" xfId="6132" xr:uid="{46DBECFE-6C3E-4A9F-9209-45B4BB2BE8E8}"/>
    <cellStyle name="Percent 4 2 4" xfId="1148" xr:uid="{B739375B-6BE6-4FC7-B9E2-CC9BDE0CF045}"/>
    <cellStyle name="Percent 4 2 4 2" xfId="1529" xr:uid="{BCAC6CF7-8232-46F2-9D0B-0829F91AB1D0}"/>
    <cellStyle name="Percent 4 2 4 3" xfId="1528" xr:uid="{A0E0ED10-F065-48D4-9CD7-9609F03B5472}"/>
    <cellStyle name="Percent 4 2 4 4" xfId="3341" xr:uid="{A8B684E7-76B2-44AC-BC3A-E5D77A309453}"/>
    <cellStyle name="Percent 4 2 4 4 2" xfId="7538" xr:uid="{BCD8773C-8CBA-4518-970C-ECD765816A1B}"/>
    <cellStyle name="Percent 4 2 4 5" xfId="4659" xr:uid="{F61C4D2A-57DF-46D3-9421-29AEDCBBEA93}"/>
    <cellStyle name="Percent 4 2 4 5 2" xfId="8838" xr:uid="{5C82A0ED-F96B-4857-B849-680D96DBD35A}"/>
    <cellStyle name="Percent 4 2 4 6" xfId="6223" xr:uid="{7613DBBC-950D-4DE7-BD31-CF53A0F56403}"/>
    <cellStyle name="Percent 4 2 5" xfId="2879" xr:uid="{56FD7E63-3A6D-4C44-B585-29494FBB956A}"/>
    <cellStyle name="Percent 4 2 5 2" xfId="7084" xr:uid="{CD43EA2F-ECF1-4D38-ADF3-631BDB50AFC0}"/>
    <cellStyle name="Percent 4 2 6" xfId="4190" xr:uid="{94765EDE-601C-45A3-80F3-74FD1B699D6B}"/>
    <cellStyle name="Percent 4 2 6 2" xfId="8377" xr:uid="{E8E2153A-E2A2-42C9-9602-382137C07493}"/>
    <cellStyle name="Percent 4 2 7" xfId="5760" xr:uid="{63B80497-6039-42EC-8355-FF159BA2C6D0}"/>
    <cellStyle name="Percent 4 3" xfId="291" xr:uid="{4D322D71-CF76-4E1A-98C8-8E7E40A434DF}"/>
    <cellStyle name="Percent 4 3 2" xfId="654" xr:uid="{3A41CFB8-927E-47BB-963E-88B8E4BB28B0}"/>
    <cellStyle name="Percent 4 3 2 2" xfId="1215" xr:uid="{22121562-5CF8-4752-9569-3976D303B338}"/>
    <cellStyle name="Percent 4 3 2 2 2" xfId="1532" xr:uid="{CB0D9A1A-DA0F-4C1B-82EB-99898F6085D8}"/>
    <cellStyle name="Percent 4 3 2 2 3" xfId="1531" xr:uid="{A5D36915-21C3-4312-B37D-7CB4278233A8}"/>
    <cellStyle name="Percent 4 3 2 2 4" xfId="3408" xr:uid="{26D1A308-6911-4244-8D99-93D2E12DCEB4}"/>
    <cellStyle name="Percent 4 3 2 2 4 2" xfId="7605" xr:uid="{24D8AC95-7DE8-4467-AC95-EA25F2A5DA75}"/>
    <cellStyle name="Percent 4 3 2 2 5" xfId="4726" xr:uid="{5C432404-E612-4924-AC9E-E1A38E738DDD}"/>
    <cellStyle name="Percent 4 3 2 2 5 2" xfId="8905" xr:uid="{37D79E8D-42B0-4F12-BB78-1D94C2F434DB}"/>
    <cellStyle name="Percent 4 3 2 2 6" xfId="6290" xr:uid="{AA2275A8-6711-4C9B-A835-78DA66100E9B}"/>
    <cellStyle name="Percent 4 3 2 3" xfId="1533" xr:uid="{7C66478D-D53B-4CF1-8FFA-BB7E17529DF7}"/>
    <cellStyle name="Percent 4 3 2 4" xfId="1530" xr:uid="{A5FF38D6-8EB5-451A-8FA3-3ADD16507A07}"/>
    <cellStyle name="Percent 4 3 2 5" xfId="2971" xr:uid="{B39EC587-B09A-4980-A900-53C740715F92}"/>
    <cellStyle name="Percent 4 3 2 5 2" xfId="7174" xr:uid="{94A11EAF-B2AA-4EBB-811D-591705537E7C}"/>
    <cellStyle name="Percent 4 3 2 6" xfId="4282" xr:uid="{533DC1BC-2AFE-4C32-92F3-8A900E13ABD4}"/>
    <cellStyle name="Percent 4 3 2 6 2" xfId="8467" xr:uid="{46D9F372-BA46-4AFB-A60D-C6AA89651EA6}"/>
    <cellStyle name="Percent 4 3 2 7" xfId="5851" xr:uid="{06872CC9-779F-4B5E-BA9E-D0B51E6BFA6E}"/>
    <cellStyle name="Percent 4 3 3" xfId="1040" xr:uid="{9D085B91-1242-4A57-9A4A-2847B1B4FA69}"/>
    <cellStyle name="Percent 4 3 3 2" xfId="1281" xr:uid="{E1259A13-C626-4C90-BED5-ED137BA3EDFA}"/>
    <cellStyle name="Percent 4 3 3 2 2" xfId="1535" xr:uid="{5C739EDB-FFB1-422D-A345-64C336C533BE}"/>
    <cellStyle name="Percent 4 3 3 2 3" xfId="3474" xr:uid="{E5578AB3-9D41-47CC-A521-47C5A880BED2}"/>
    <cellStyle name="Percent 4 3 3 2 3 2" xfId="7671" xr:uid="{55332127-1AD3-4CFD-813D-F99F76B28D94}"/>
    <cellStyle name="Percent 4 3 3 2 4" xfId="4792" xr:uid="{ABC7E1B8-D951-43B4-B82B-6F466B5897B8}"/>
    <cellStyle name="Percent 4 3 3 2 4 2" xfId="8971" xr:uid="{BB97B1CC-5555-46F9-A072-5C1132AD53CC}"/>
    <cellStyle name="Percent 4 3 3 2 5" xfId="6356" xr:uid="{069E1D9D-669D-47B9-9C14-E99A4C8BEED9}"/>
    <cellStyle name="Percent 4 3 3 3" xfId="1534" xr:uid="{2AE1393F-E644-46AC-B06C-284FA30D4C13}"/>
    <cellStyle name="Percent 4 3 3 4" xfId="3248" xr:uid="{D6C557EE-F01E-4747-B427-6E60B22A5147}"/>
    <cellStyle name="Percent 4 3 3 4 2" xfId="7449" xr:uid="{2F753CD6-66E8-421F-9386-1A60E9C522A8}"/>
    <cellStyle name="Percent 4 3 3 5" xfId="4565" xr:uid="{D9743B50-BC0D-410D-943C-2FAC4716DCF3}"/>
    <cellStyle name="Percent 4 3 3 5 2" xfId="8748" xr:uid="{EEF4534C-5EBA-4972-90D9-D5CC7B6B8938}"/>
    <cellStyle name="Percent 4 3 3 6" xfId="6133" xr:uid="{46497249-068F-47AF-9C1F-187005E103DA}"/>
    <cellStyle name="Percent 4 3 4" xfId="1149" xr:uid="{C86DF45C-30CA-4EAD-888F-DAA8847F47D7}"/>
    <cellStyle name="Percent 4 3 4 2" xfId="1537" xr:uid="{243FF354-3636-4909-AB07-8E4D6E4E537C}"/>
    <cellStyle name="Percent 4 3 4 3" xfId="1536" xr:uid="{7A8E3AC1-F81B-43A8-9F5C-0DFAA529416C}"/>
    <cellStyle name="Percent 4 3 4 4" xfId="3342" xr:uid="{EFFC9A2B-1EC4-4A66-9BD8-0B080589EF78}"/>
    <cellStyle name="Percent 4 3 4 4 2" xfId="7539" xr:uid="{EE96F598-06A5-404F-846E-E720E785BE01}"/>
    <cellStyle name="Percent 4 3 4 5" xfId="4660" xr:uid="{311BD0FE-9362-47C3-999C-91F9DF92A6F5}"/>
    <cellStyle name="Percent 4 3 4 5 2" xfId="8839" xr:uid="{7230F56C-C000-4082-9BD6-0C966EE2D5A6}"/>
    <cellStyle name="Percent 4 3 4 6" xfId="6224" xr:uid="{B32F0029-FB0D-4103-8094-07C28AA7C7CD}"/>
    <cellStyle name="Percent 4 3 5" xfId="2880" xr:uid="{329B52C6-8635-4510-997D-520955E39988}"/>
    <cellStyle name="Percent 4 3 5 2" xfId="7085" xr:uid="{BDB7F500-AC87-428E-B04A-B3A91ED4905E}"/>
    <cellStyle name="Percent 4 3 6" xfId="4191" xr:uid="{FE71B1B4-9F7D-4586-BEEB-F93F9D9622E0}"/>
    <cellStyle name="Percent 4 3 6 2" xfId="8378" xr:uid="{205AFC03-39CD-4693-8904-4F38906FF434}"/>
    <cellStyle name="Percent 4 3 7" xfId="5761" xr:uid="{17D7192F-1768-49B6-B5E1-AE20331DB2F8}"/>
    <cellStyle name="Percent 4 4" xfId="292" xr:uid="{DE9F82E0-6AF5-4D83-8BCE-52A424BC186F}"/>
    <cellStyle name="Percent 4 4 2" xfId="655" xr:uid="{89AA5B73-7128-4425-9F47-632A671DD6A4}"/>
    <cellStyle name="Percent 4 4 2 2" xfId="1216" xr:uid="{7A2FBB86-8D21-4379-A22A-B489A2D4C65E}"/>
    <cellStyle name="Percent 4 4 2 2 2" xfId="1540" xr:uid="{D7FA5668-21B2-4F9B-B91A-CCAB632B72DB}"/>
    <cellStyle name="Percent 4 4 2 2 3" xfId="1539" xr:uid="{F75C7803-58FF-4267-AD9B-18875CF37EDB}"/>
    <cellStyle name="Percent 4 4 2 2 4" xfId="3409" xr:uid="{8AF2AC5F-6F3F-4391-8F75-96BD21503E16}"/>
    <cellStyle name="Percent 4 4 2 2 4 2" xfId="7606" xr:uid="{819988CA-3173-41EE-AFC4-25F642787890}"/>
    <cellStyle name="Percent 4 4 2 2 5" xfId="4727" xr:uid="{7DBD142E-2220-4A9A-A3B6-61566488EB9A}"/>
    <cellStyle name="Percent 4 4 2 2 5 2" xfId="8906" xr:uid="{5B287B36-41AB-4B95-9178-14824C36CAEA}"/>
    <cellStyle name="Percent 4 4 2 2 6" xfId="6291" xr:uid="{6B82C2DB-97A2-4305-BF50-C991D26AADEB}"/>
    <cellStyle name="Percent 4 4 2 3" xfId="1541" xr:uid="{CDFDAF55-A580-42F7-9CC4-9FA307AEC493}"/>
    <cellStyle name="Percent 4 4 2 4" xfId="1538" xr:uid="{F8C2C270-DBA9-4CFD-8269-A5AD252E1D3B}"/>
    <cellStyle name="Percent 4 4 2 5" xfId="2972" xr:uid="{AD7215CA-4B00-4A2D-B882-1A7AC82B7A2C}"/>
    <cellStyle name="Percent 4 4 2 5 2" xfId="7175" xr:uid="{5E5A06D1-AE1C-4579-BE64-D57AAA827F31}"/>
    <cellStyle name="Percent 4 4 2 6" xfId="4283" xr:uid="{DEA53F72-E15A-4F43-9348-9E8BDC5FDDA0}"/>
    <cellStyle name="Percent 4 4 2 6 2" xfId="8468" xr:uid="{B2695B9B-57C3-4797-AE4C-879261B102B7}"/>
    <cellStyle name="Percent 4 4 2 7" xfId="5852" xr:uid="{4D4E8BDF-8D4F-4E63-8FC6-C905E2E7EBE4}"/>
    <cellStyle name="Percent 4 4 3" xfId="1041" xr:uid="{959B1C5D-8566-4103-B2C7-EF25B1948A3B}"/>
    <cellStyle name="Percent 4 4 3 2" xfId="1282" xr:uid="{22D274A6-5A47-4846-AB83-C5AD3A2F6852}"/>
    <cellStyle name="Percent 4 4 3 2 2" xfId="1543" xr:uid="{D45C7D97-5743-4E96-8799-60883833FCBC}"/>
    <cellStyle name="Percent 4 4 3 2 3" xfId="3475" xr:uid="{EF39368F-A0D9-4DB7-9665-A91C3835041F}"/>
    <cellStyle name="Percent 4 4 3 2 3 2" xfId="7672" xr:uid="{D83FB025-C927-454F-A570-0F931F75DD10}"/>
    <cellStyle name="Percent 4 4 3 2 4" xfId="4793" xr:uid="{D74F663A-DC96-4B17-9A5D-403062CBA019}"/>
    <cellStyle name="Percent 4 4 3 2 4 2" xfId="8972" xr:uid="{6EE594D6-58E3-4F06-98A6-DC5945FAF2BF}"/>
    <cellStyle name="Percent 4 4 3 2 5" xfId="6357" xr:uid="{DAAE147F-4FF4-4F8C-845C-C06FE32D0D4E}"/>
    <cellStyle name="Percent 4 4 3 3" xfId="1542" xr:uid="{8501F183-A6A0-4032-A1C0-F5C9F6995B37}"/>
    <cellStyle name="Percent 4 4 3 4" xfId="3249" xr:uid="{E8477F95-7525-497D-9B81-7FCE70FBE933}"/>
    <cellStyle name="Percent 4 4 3 4 2" xfId="7450" xr:uid="{E6CEA023-ADE2-4AA2-8D71-7AD059D31012}"/>
    <cellStyle name="Percent 4 4 3 5" xfId="4566" xr:uid="{695656E3-3338-4C91-8383-8A250B1EB4FC}"/>
    <cellStyle name="Percent 4 4 3 5 2" xfId="8749" xr:uid="{A0344F61-DF01-4690-8324-B98A6C0733AE}"/>
    <cellStyle name="Percent 4 4 3 6" xfId="6134" xr:uid="{02423E01-B888-4A22-844C-501A56DCB690}"/>
    <cellStyle name="Percent 4 4 4" xfId="1150" xr:uid="{AD4370D2-D4CB-4A81-91A5-39C74913633F}"/>
    <cellStyle name="Percent 4 4 4 2" xfId="1545" xr:uid="{1BFFBFD2-3990-4FE7-8740-DFA2DDB26E7C}"/>
    <cellStyle name="Percent 4 4 4 3" xfId="1544" xr:uid="{7EC23918-4882-4721-B6A1-6218F60C4D3D}"/>
    <cellStyle name="Percent 4 4 4 4" xfId="3343" xr:uid="{87D4C8ED-E83A-4F7D-A53F-3A5B174FFF21}"/>
    <cellStyle name="Percent 4 4 4 4 2" xfId="7540" xr:uid="{5369BEFA-6847-4F77-9414-D9DF10675F0E}"/>
    <cellStyle name="Percent 4 4 4 5" xfId="4661" xr:uid="{9A19F964-839D-4B3B-A639-9BE7F7465775}"/>
    <cellStyle name="Percent 4 4 4 5 2" xfId="8840" xr:uid="{D64F774C-E601-4095-93DC-EDF933E752E9}"/>
    <cellStyle name="Percent 4 4 4 6" xfId="6225" xr:uid="{83E3031F-4C67-4790-95A7-B80A5C3175F0}"/>
    <cellStyle name="Percent 4 4 5" xfId="2881" xr:uid="{54F8B9FA-2CC3-47FF-94F2-061ED21BE6F2}"/>
    <cellStyle name="Percent 4 4 5 2" xfId="7086" xr:uid="{5F7061B2-72F6-4652-9373-8806F4FD5B84}"/>
    <cellStyle name="Percent 4 4 6" xfId="4192" xr:uid="{9177C766-F400-46BA-AFFC-79519A89D046}"/>
    <cellStyle name="Percent 4 4 6 2" xfId="8379" xr:uid="{515181D4-CD91-4F8A-B01A-7EF8ACF66A15}"/>
    <cellStyle name="Percent 4 4 7" xfId="5762" xr:uid="{602FFB51-452C-41F3-A5D4-B4B811A8D98D}"/>
    <cellStyle name="Percent 4 5" xfId="652" xr:uid="{8E66C0C7-A3FC-4674-84E7-EA81512CB5F3}"/>
    <cellStyle name="Percent 4 5 2" xfId="1213" xr:uid="{0FA5E093-54E2-494E-B3DF-E30A712F84B3}"/>
    <cellStyle name="Percent 4 5 2 2" xfId="70" xr:uid="{E00A5689-87BA-435B-B8F9-8B10F08B32AB}"/>
    <cellStyle name="Percent 4 5 2 3" xfId="1547" xr:uid="{0628D8D6-1404-464A-9E4A-FF5C8814349E}"/>
    <cellStyle name="Percent 4 5 2 4" xfId="3406" xr:uid="{DC86300A-278E-4BCD-B8B1-C33ACA10B4F3}"/>
    <cellStyle name="Percent 4 5 2 4 2" xfId="7603" xr:uid="{9A14243F-1725-4825-8973-D9DA1168CD0E}"/>
    <cellStyle name="Percent 4 5 2 5" xfId="4724" xr:uid="{392F50B2-0B4B-4ADA-AE37-507963A013C7}"/>
    <cellStyle name="Percent 4 5 2 5 2" xfId="8903" xr:uid="{6FC86BE5-A085-4887-BBA1-AEA1524F2B40}"/>
    <cellStyle name="Percent 4 5 2 6" xfId="6288" xr:uid="{A079DD83-9AE4-4E68-8A97-94574ECFBE92}"/>
    <cellStyle name="Percent 4 5 3" xfId="1548" xr:uid="{5AD26FE2-0D8F-4A61-88E1-13DA9A8FD7E5}"/>
    <cellStyle name="Percent 4 5 4" xfId="1546" xr:uid="{2181509E-843E-47A2-A8CD-FF3D7FB8F3B3}"/>
    <cellStyle name="Percent 4 5 5" xfId="2969" xr:uid="{9A69FE80-AB75-43C3-B2D9-E2A7469A0F32}"/>
    <cellStyle name="Percent 4 5 5 2" xfId="7172" xr:uid="{C8D08C91-4479-469C-8847-4D47DF62A687}"/>
    <cellStyle name="Percent 4 5 6" xfId="4280" xr:uid="{625340FD-8CFD-458F-960F-F8C422B6288D}"/>
    <cellStyle name="Percent 4 5 6 2" xfId="8465" xr:uid="{E5D0EFEE-0C12-4EF1-8C55-58C112D200BF}"/>
    <cellStyle name="Percent 4 5 7" xfId="5849" xr:uid="{E26733D1-CF9C-40BF-8478-04C433E12221}"/>
    <cellStyle name="Percent 4 6" xfId="1038" xr:uid="{CEB983FC-BF69-48CC-8BC7-3DF0F4630BA4}"/>
    <cellStyle name="Percent 4 6 2" xfId="1279" xr:uid="{5C773B24-CC53-4E1F-B225-8391984B4876}"/>
    <cellStyle name="Percent 4 6 2 2" xfId="1550" xr:uid="{940F6647-BDB8-43E4-86DE-7F965BA8D076}"/>
    <cellStyle name="Percent 4 6 2 3" xfId="3472" xr:uid="{9A55D706-4360-4A18-BAE4-2301865CF3EB}"/>
    <cellStyle name="Percent 4 6 2 3 2" xfId="7669" xr:uid="{6164DDB4-1B89-4540-9CFF-6CE6189C00D9}"/>
    <cellStyle name="Percent 4 6 2 4" xfId="4790" xr:uid="{0974D577-3241-4E82-BEA8-189D87C55C6D}"/>
    <cellStyle name="Percent 4 6 2 4 2" xfId="8969" xr:uid="{AA071789-76D1-4E08-B0AE-B8E497581D02}"/>
    <cellStyle name="Percent 4 6 2 5" xfId="6354" xr:uid="{77FBEE29-A1E9-4FD7-A909-97317FDE2D72}"/>
    <cellStyle name="Percent 4 6 3" xfId="1549" xr:uid="{C77A2561-D0AA-49D2-939C-C59BA294FF9D}"/>
    <cellStyle name="Percent 4 6 4" xfId="3246" xr:uid="{AE3F15E2-0DFA-4229-AAE1-4D40E34962B9}"/>
    <cellStyle name="Percent 4 6 4 2" xfId="7447" xr:uid="{A9552044-BC11-4E5A-A626-016714C1F70F}"/>
    <cellStyle name="Percent 4 6 5" xfId="4563" xr:uid="{9F2676FF-DF75-4000-94A3-07A677127688}"/>
    <cellStyle name="Percent 4 6 5 2" xfId="8746" xr:uid="{8C59A9F9-2CA3-4EEB-8606-29B268845866}"/>
    <cellStyle name="Percent 4 6 6" xfId="6131" xr:uid="{CC243C5E-79E6-4E84-81FF-6E99B2701E6C}"/>
    <cellStyle name="Percent 4 7" xfId="1147" xr:uid="{0B7F8156-A5B8-4437-8EEE-FE676313AEAF}"/>
    <cellStyle name="Percent 4 7 2" xfId="1552" xr:uid="{AEF7B0B7-A67E-4113-A72C-BFB618ADD580}"/>
    <cellStyle name="Percent 4 7 3" xfId="1551" xr:uid="{375BF6C6-581C-4951-BBFD-D816C714F833}"/>
    <cellStyle name="Percent 4 7 4" xfId="3340" xr:uid="{F628912C-6057-4EF0-8DBC-59887E7C8797}"/>
    <cellStyle name="Percent 4 7 4 2" xfId="7537" xr:uid="{F9E81F9F-B36C-470F-A922-412B93C180C0}"/>
    <cellStyle name="Percent 4 7 5" xfId="4658" xr:uid="{266A44C5-4AE7-44DE-8255-57B84194BFCC}"/>
    <cellStyle name="Percent 4 7 5 2" xfId="8837" xr:uid="{8E9C9DC6-EC03-4CA9-A475-123C8E7A4A9A}"/>
    <cellStyle name="Percent 4 7 6" xfId="6222" xr:uid="{DBA62DBC-FCD3-41D4-8C72-3191039F701F}"/>
    <cellStyle name="Percent 4 8" xfId="1553" xr:uid="{528678F0-B831-4A45-940E-85252C1F37C3}"/>
    <cellStyle name="Percent 4 8 2" xfId="3527" xr:uid="{51B2C9BA-436C-4920-914D-5434F0403807}"/>
    <cellStyle name="Percent 4 8 2 2" xfId="7718" xr:uid="{9D8ED354-83DB-488D-9D46-98E2ED668CC8}"/>
    <cellStyle name="Percent 4 8 3" xfId="4847" xr:uid="{B602A501-392B-4099-A898-1EED11A6FBD9}"/>
    <cellStyle name="Percent 4 8 3 2" xfId="9020" xr:uid="{33DBB451-37FD-4E75-9E34-6B1F7625592D}"/>
    <cellStyle name="Percent 4 8 4" xfId="6405" xr:uid="{03EC451F-D9C3-420C-BBE8-3F1087DDC2A2}"/>
    <cellStyle name="Percent 4 9" xfId="2878" xr:uid="{3DB6B7FD-6098-41FA-AA8A-97F2F48FA370}"/>
    <cellStyle name="Percent 4 9 2" xfId="7083" xr:uid="{50EA8CED-4BDB-48FA-9BAC-96BCBC2BAAF3}"/>
    <cellStyle name="Percent 5" xfId="293" xr:uid="{7F82F47C-4512-4DFB-82E0-7C338D9BB3C1}"/>
    <cellStyle name="Percent 5 2" xfId="1554" xr:uid="{A1A112B5-D5D8-47A8-B625-A410743BCD6C}"/>
    <cellStyle name="Percent 5 2 2" xfId="1555" xr:uid="{1930E1D5-D805-4155-9641-08C8657EF056}"/>
    <cellStyle name="Percent 5 2 2 2" xfId="1556" xr:uid="{6C444B80-C3A4-4CE4-8947-7AAE5A6F602E}"/>
    <cellStyle name="Percent 5 2 2 2 2" xfId="1557" xr:uid="{84589C58-1AC7-47B8-846D-FB3D52B3FCBD}"/>
    <cellStyle name="Percent 5 2 2 2 2 2" xfId="1558" xr:uid="{4EAEEB09-A793-4E9E-87ED-E1FAA8F1B83A}"/>
    <cellStyle name="Percent 5 2 2 2 2 3" xfId="71" xr:uid="{0A4E4141-9E3E-468E-994D-66243AB4A0F5}"/>
    <cellStyle name="Percent 5 2 2 2 3" xfId="1559" xr:uid="{24C7B69E-8F79-45A3-A538-A8C0657D0D87}"/>
    <cellStyle name="Percent 5 2 2 3" xfId="1560" xr:uid="{3AC1CB7A-1DE8-4FD3-ACBD-F0D19B98B553}"/>
    <cellStyle name="Percent 5 2 2 3 2" xfId="1561" xr:uid="{ED2399A8-6B1D-40F6-814B-D49A6A9CE6C1}"/>
    <cellStyle name="Percent 5 2 2 4" xfId="1562" xr:uid="{B9BE8745-1244-4D6F-B3B4-7A0A6E640422}"/>
    <cellStyle name="Percent 5 2 3" xfId="1563" xr:uid="{2D683CC1-2F23-40DF-A3DB-F83C31BF4723}"/>
    <cellStyle name="Percent 5 2 3 2" xfId="1564" xr:uid="{7A634775-C7E9-4521-A441-C98C1C20C07A}"/>
    <cellStyle name="Percent 5 2 3 2 2" xfId="1565" xr:uid="{87F10AE3-0189-4702-9BED-D0EAD20836A2}"/>
    <cellStyle name="Percent 5 2 3 3" xfId="1566" xr:uid="{2B6BD5DD-1594-4B87-81E3-2E415E96CC1F}"/>
    <cellStyle name="Percent 5 2 4" xfId="1567" xr:uid="{DCD7C27F-BD6F-42F6-91CE-0D89D96D6F0F}"/>
    <cellStyle name="Percent 5 2 4 2" xfId="1568" xr:uid="{29817CCA-5237-4669-9D64-07ECCAE051E8}"/>
    <cellStyle name="Percent 5 2 5" xfId="1569" xr:uid="{58401A64-9F93-40D6-9AB1-F77C47644DAA}"/>
    <cellStyle name="Percent 5 3" xfId="1570" xr:uid="{8BBADA12-1D58-4459-9BA9-2BD7E804A65D}"/>
    <cellStyle name="Percent 5 3 2" xfId="1571" xr:uid="{8BE68C8F-9DE9-4F09-8388-EFDDC98651F7}"/>
    <cellStyle name="Percent 5 3 2 2" xfId="1572" xr:uid="{0C363B0F-BB7D-4E25-BC02-62E5C74C340E}"/>
    <cellStyle name="Percent 5 3 2 2 2" xfId="1573" xr:uid="{6591F692-FC89-435A-9B74-232E2CF516E8}"/>
    <cellStyle name="Percent 5 3 2 3" xfId="1574" xr:uid="{FBEFC8DE-DBEA-423A-96B4-F271761C6BDF}"/>
    <cellStyle name="Percent 5 3 3" xfId="1575" xr:uid="{39494CB0-1FB2-4EEA-B6CB-9167045ED138}"/>
    <cellStyle name="Percent 5 3 3 2" xfId="1576" xr:uid="{AF669A07-4E19-48B7-BFC1-5B5CB781ADC0}"/>
    <cellStyle name="Percent 5 3 4" xfId="1577" xr:uid="{905530F9-B273-4C8F-8DE9-9B18B5F3A4B7}"/>
    <cellStyle name="Percent 5 4" xfId="1578" xr:uid="{CADC08A7-ADB8-4AC4-8717-B055FEEDB065}"/>
    <cellStyle name="Percent 5 4 2" xfId="1579" xr:uid="{5ECF62E5-8191-46E5-AE37-88751E9B9763}"/>
    <cellStyle name="Percent 5 4 2 2" xfId="1580" xr:uid="{4D33E1C6-1D5A-49C7-9C14-7067C94E03ED}"/>
    <cellStyle name="Percent 5 4 3" xfId="1581" xr:uid="{292A135B-37F8-4204-802B-90C68099C868}"/>
    <cellStyle name="Percent 5 5" xfId="1582" xr:uid="{C98ED0E6-37DA-4BC0-BEB1-F793729952B1}"/>
    <cellStyle name="Percent 5 5 2" xfId="1583" xr:uid="{3A6B50FD-2284-458D-A5C9-5C3AECD81CE6}"/>
    <cellStyle name="Percent 6" xfId="94" xr:uid="{ED681665-3BCF-423C-9808-E92221E19B60}"/>
    <cellStyle name="Percent 6 2" xfId="971" xr:uid="{E49EAD15-41C6-4CDB-BF40-B8557EC46DF4}"/>
    <cellStyle name="Percent 6 2 2" xfId="1219" xr:uid="{D1FE8350-6089-4C52-9E3F-C91B4F2C46EB}"/>
    <cellStyle name="Percent 6 2 2 2" xfId="1587" xr:uid="{7E0F0F2C-6E7D-491C-B737-CA666AA023BD}"/>
    <cellStyle name="Percent 6 2 2 2 2" xfId="1588" xr:uid="{328385A8-502A-48A9-9A58-3E9F978A9CED}"/>
    <cellStyle name="Percent 6 2 2 3" xfId="1589" xr:uid="{150E1418-7DAA-459A-B4C1-1207FEFD28EC}"/>
    <cellStyle name="Percent 6 2 2 4" xfId="1586" xr:uid="{9723464E-A33D-4407-B49C-520BE6F42F0C}"/>
    <cellStyle name="Percent 6 2 2 5" xfId="3412" xr:uid="{EAAB6EEA-F820-4643-8A43-AE9788335AA8}"/>
    <cellStyle name="Percent 6 2 2 5 2" xfId="7609" xr:uid="{7BE1FC03-C790-4397-86A3-5BA3F84FD94F}"/>
    <cellStyle name="Percent 6 2 2 6" xfId="4730" xr:uid="{6449D99E-EAC1-4A75-98E9-2B5B385EF06F}"/>
    <cellStyle name="Percent 6 2 2 6 2" xfId="8909" xr:uid="{57E54F1E-1F45-40C2-A8B3-B706306EE181}"/>
    <cellStyle name="Percent 6 2 2 7" xfId="6294" xr:uid="{67ACDD70-F2B6-4937-A978-23765F94E36C}"/>
    <cellStyle name="Percent 6 2 3" xfId="1590" xr:uid="{B4594321-5F69-4407-A69B-CADE698EF4D2}"/>
    <cellStyle name="Percent 6 2 3 2" xfId="1591" xr:uid="{11D2A432-DE6F-4A6C-A274-D2DF48C792BE}"/>
    <cellStyle name="Percent 6 2 4" xfId="1592" xr:uid="{191F8CC3-60A5-4408-A00C-69D0CF38735E}"/>
    <cellStyle name="Percent 6 2 5" xfId="1585" xr:uid="{F2A031C6-75EA-443D-8491-5EEAC2786062}"/>
    <cellStyle name="Percent 6 2 6" xfId="3181" xr:uid="{4C6C412B-BF98-4527-8C0F-396DF379EC47}"/>
    <cellStyle name="Percent 6 2 6 2" xfId="7382" xr:uid="{DCE64DD6-DA65-4DC2-841C-5CCE1EAD5E60}"/>
    <cellStyle name="Percent 6 2 7" xfId="4498" xr:uid="{A4049CAC-4C44-4098-A9F3-E323A7297370}"/>
    <cellStyle name="Percent 6 2 7 2" xfId="8681" xr:uid="{877DBFAF-EBE4-45C8-BDF4-8DDE153A9A97}"/>
    <cellStyle name="Percent 6 2 8" xfId="6066" xr:uid="{667F351D-679B-4405-B220-2233BAB93217}"/>
    <cellStyle name="Percent 6 3" xfId="1044" xr:uid="{D0D36531-5220-4CE9-937F-C404728FC10B}"/>
    <cellStyle name="Percent 6 3 2" xfId="1285" xr:uid="{CFE034B0-D17C-498A-8C54-A7CB87FABFE4}"/>
    <cellStyle name="Percent 6 3 2 2" xfId="1595" xr:uid="{AFA13F69-6D2E-4DB6-BC8E-242A87A690E0}"/>
    <cellStyle name="Percent 6 3 2 3" xfId="1594" xr:uid="{C319D28B-AD05-4F30-88B7-7C38E6DE1783}"/>
    <cellStyle name="Percent 6 3 2 4" xfId="3478" xr:uid="{A23C2D41-31A3-422B-9F35-8434063156B9}"/>
    <cellStyle name="Percent 6 3 2 4 2" xfId="7675" xr:uid="{3CB8F914-2A90-4A29-ADC1-C29AFC206BCB}"/>
    <cellStyle name="Percent 6 3 2 5" xfId="4796" xr:uid="{BB3B543C-9A06-49DC-815F-00DEE12DA2FE}"/>
    <cellStyle name="Percent 6 3 2 5 2" xfId="8975" xr:uid="{229CD106-F945-49A6-98EF-C0780AB14096}"/>
    <cellStyle name="Percent 6 3 2 6" xfId="6360" xr:uid="{8A27E53E-E67E-4CFE-AAAA-3DA4650E8C41}"/>
    <cellStyle name="Percent 6 3 3" xfId="1596" xr:uid="{C866EAB2-A8C0-4D2E-B801-B0B9A565C9A0}"/>
    <cellStyle name="Percent 6 3 4" xfId="1593" xr:uid="{EFBFFD3E-35DE-44A2-BD18-2880000B4086}"/>
    <cellStyle name="Percent 6 3 5" xfId="3252" xr:uid="{391BB7C3-142F-4867-A626-45E1C79CEDE5}"/>
    <cellStyle name="Percent 6 3 5 2" xfId="7453" xr:uid="{2B1E8235-275F-48A7-BF02-6B0F239C2748}"/>
    <cellStyle name="Percent 6 3 6" xfId="4569" xr:uid="{16E92AD1-000E-4B0C-B24D-E465A2BBFD60}"/>
    <cellStyle name="Percent 6 3 6 2" xfId="8752" xr:uid="{E4B92D57-CE9D-4DC1-9EBF-A0D5D2F79428}"/>
    <cellStyle name="Percent 6 3 7" xfId="6137" xr:uid="{28BEDC21-EA50-4703-8136-237249BC924C}"/>
    <cellStyle name="Percent 6 4" xfId="1153" xr:uid="{18E76371-300E-4110-880F-D2E927428F1C}"/>
    <cellStyle name="Percent 6 4 2" xfId="1598" xr:uid="{8CC7EE93-730D-47CE-8230-BDAFF1A33D4D}"/>
    <cellStyle name="Percent 6 4 3" xfId="1597" xr:uid="{80271194-BB42-4103-971C-D354C4312711}"/>
    <cellStyle name="Percent 6 4 4" xfId="3346" xr:uid="{37F1E8F5-60D8-4CD2-9E66-51FF5DF091A3}"/>
    <cellStyle name="Percent 6 4 4 2" xfId="7543" xr:uid="{4C82B438-3C9A-41DF-9EC0-E732C2DBFF04}"/>
    <cellStyle name="Percent 6 4 5" xfId="4664" xr:uid="{93B37075-6A55-417E-A263-1C8E272B2537}"/>
    <cellStyle name="Percent 6 4 5 2" xfId="8843" xr:uid="{63FC8845-4EDC-46AC-B84D-48F974F5C74A}"/>
    <cellStyle name="Percent 6 4 6" xfId="6228" xr:uid="{D09DC0B9-597F-432B-8899-3FBCE1D61A6C}"/>
    <cellStyle name="Percent 6 5" xfId="1599" xr:uid="{6EA26766-7550-4DA0-B2F0-1E5663487008}"/>
    <cellStyle name="Percent 6 6" xfId="1584" xr:uid="{616C9E74-6BFE-4999-914B-800046A90F74}"/>
    <cellStyle name="Percent 6 7" xfId="2797" xr:uid="{28C0680F-B19E-4B3F-B0D3-78B7F1FE8A2A}"/>
    <cellStyle name="Percent 6 7 2" xfId="7008" xr:uid="{12B8B954-6929-4EC3-B0C9-883A441B021E}"/>
    <cellStyle name="Percent 6 8" xfId="4105" xr:uid="{9A15B8EB-97D5-4564-B9A3-6D59AE2B723C}"/>
    <cellStyle name="Percent 6 8 2" xfId="8294" xr:uid="{A989BFF7-B441-4695-9AAC-A6681B7E1283}"/>
    <cellStyle name="Percent 6 9" xfId="5676" xr:uid="{52CD2B5D-52AB-4D3D-93AF-74C0CD019544}"/>
    <cellStyle name="Percent 7" xfId="1287" xr:uid="{E4F6E98E-7C30-4C79-A49C-235B1A8D96B5}"/>
    <cellStyle name="Percent 7 2" xfId="1601" xr:uid="{A8BC23D4-2914-40BC-8905-47C2AC396DB4}"/>
    <cellStyle name="Percent 7 2 2" xfId="1602" xr:uid="{912922A4-560F-408F-8768-9548DFC046B0}"/>
    <cellStyle name="Percent 7 2 2 2" xfId="1603" xr:uid="{9E1A3A54-61D0-456B-B7E7-A8D0ECCE37B0}"/>
    <cellStyle name="Percent 7 2 3" xfId="1604" xr:uid="{F6111696-92EB-4253-9B1E-241A75E4B20F}"/>
    <cellStyle name="Percent 7 3" xfId="1605" xr:uid="{784D845A-E38C-4E35-9F2E-2C42DF2A6FC9}"/>
    <cellStyle name="Percent 7 3 2" xfId="1606" xr:uid="{19E07681-EBC3-4A19-8841-049E46BA40BE}"/>
    <cellStyle name="Percent 7 4" xfId="1607" xr:uid="{3B9EE64C-4CF0-40E7-AB35-C3F7C63578DB}"/>
    <cellStyle name="Percent 7 5" xfId="1600" xr:uid="{02397F67-FA8E-404F-9970-B826FD452CFF}"/>
    <cellStyle name="Percent 8" xfId="1608" xr:uid="{4902CA56-E60A-495A-B17C-D652C6B153D7}"/>
    <cellStyle name="Percent 8 2" xfId="1609" xr:uid="{E2BDE3CA-1D66-478A-8911-649B333649F1}"/>
    <cellStyle name="Percent 8 2 2" xfId="1610" xr:uid="{9CF8FCD4-9ADD-4385-8A7A-B09866442466}"/>
    <cellStyle name="Percent 8 3" xfId="1611" xr:uid="{FE8D0D2E-9201-4C00-B2EC-5A38AE36631B}"/>
    <cellStyle name="Percent 9" xfId="1612" xr:uid="{D291E9DE-70AC-4C93-8AAA-E4365C1A0873}"/>
    <cellStyle name="Percent 9 2" xfId="1613" xr:uid="{AAF3E0EE-2DEA-4922-A672-79B6B5B3E42E}"/>
    <cellStyle name="Percent 9 2 2" xfId="1614" xr:uid="{BB260570-19BF-48B2-A971-6C2974520E4B}"/>
    <cellStyle name="Percent 9 3" xfId="1615" xr:uid="{D8A2E0D2-2D2A-43A9-8E71-7DFBBD83C233}"/>
    <cellStyle name="Refdb standard" xfId="294" xr:uid="{4795C549-A4B0-41C1-A1E4-8A03A99ECF2C}"/>
    <cellStyle name="Refdb standard 2" xfId="1616" xr:uid="{170F8437-C0EA-40FF-88B6-B3D19CC0519E}"/>
    <cellStyle name="Row_Headings" xfId="1617" xr:uid="{F09F8E1D-9875-4E32-A0F2-F9DECDB22491}"/>
    <cellStyle name="style1433147724008" xfId="295" xr:uid="{71B2523F-71EA-49A8-9D42-290191DE8C2F}"/>
    <cellStyle name="style1433147724008 2" xfId="1618" xr:uid="{8A8F9397-4057-4BEF-AD8C-51C1E4165535}"/>
    <cellStyle name="style1433147724122" xfId="296" xr:uid="{69E81ACF-018B-479B-B2E2-62A6E398E97C}"/>
    <cellStyle name="style1433147724122 2" xfId="1619" xr:uid="{E4F1E925-2182-4C40-9764-A959DE4DE6D3}"/>
    <cellStyle name="style1433147724195" xfId="297" xr:uid="{5313C8E3-ECA8-4887-8F24-3D476306B112}"/>
    <cellStyle name="style1433147724195 2" xfId="1620" xr:uid="{590454F4-AC6E-42C2-B7FC-3FF55F6EAF97}"/>
    <cellStyle name="style1433147724270" xfId="298" xr:uid="{C40CB294-4949-4CB7-9B54-55E8AFA6A545}"/>
    <cellStyle name="style1433147724270 2" xfId="1621" xr:uid="{ADA44463-75A7-47E4-AA2F-257090F61095}"/>
    <cellStyle name="style1433147724345" xfId="299" xr:uid="{8A2656AA-F2A2-4B6F-9DE8-ADFAF69536A8}"/>
    <cellStyle name="style1433147724345 2" xfId="1622" xr:uid="{9A34A994-839D-4600-9264-23DE1DA98E53}"/>
    <cellStyle name="style1433147724422" xfId="300" xr:uid="{BF8E18F7-77A4-4A24-96CE-0AE9EDF29386}"/>
    <cellStyle name="style1433147724422 2" xfId="1623" xr:uid="{82950F43-48D5-400F-9C27-57C8832A7751}"/>
    <cellStyle name="style1433147724499" xfId="301" xr:uid="{C9D75DF2-DB05-464B-9B9F-B495D80BD281}"/>
    <cellStyle name="style1433147724499 2" xfId="1624" xr:uid="{E3B483A7-09A5-4912-9977-68FCD6CFC0F5}"/>
    <cellStyle name="style1433147724584" xfId="302" xr:uid="{F2988414-7EF3-4490-9EF3-C2524C34050D}"/>
    <cellStyle name="style1433147724584 2" xfId="1625" xr:uid="{B4BB23AE-2236-4934-A965-C66EE13F97E3}"/>
    <cellStyle name="style1433147724660" xfId="303" xr:uid="{F0B79A56-FFB0-4A2C-95C0-B104326C1633}"/>
    <cellStyle name="style1433147724660 2" xfId="1626" xr:uid="{400D1C9E-46DA-41C0-9A45-5F50563D1414}"/>
    <cellStyle name="style1433147724788" xfId="304" xr:uid="{FFD41333-1CFE-4C2D-B073-DF79A5729959}"/>
    <cellStyle name="style1433147724788 2" xfId="1627" xr:uid="{01F1030A-FAB9-4931-8613-E6B11369A8B0}"/>
    <cellStyle name="style1433147724862" xfId="305" xr:uid="{D828B650-6889-4588-8DA5-FA758362D59D}"/>
    <cellStyle name="style1433147724862 2" xfId="1628" xr:uid="{8DDF0B95-1076-40FF-A2FF-3F8A40AF9D1F}"/>
    <cellStyle name="style1433147724947" xfId="306" xr:uid="{6520827A-D715-4CFD-A094-C1A4EFC239AA}"/>
    <cellStyle name="style1433147724947 2" xfId="1629" xr:uid="{318BF0C5-AF7D-43BF-AFB3-2CA800006A34}"/>
    <cellStyle name="style1433147725013" xfId="307" xr:uid="{9357B4DA-5864-414F-B009-EA1D12F625B5}"/>
    <cellStyle name="style1433147725013 2" xfId="1630" xr:uid="{528CEDE5-0913-4572-A146-ABE1A81D58AC}"/>
    <cellStyle name="style1433147725076" xfId="308" xr:uid="{C86BCAD4-BD7A-4D58-B79F-5FCAFF1B64E1}"/>
    <cellStyle name="style1433147725076 2" xfId="1631" xr:uid="{32198B6C-6487-48DF-B88D-59F23388261E}"/>
    <cellStyle name="style1433147725154" xfId="309" xr:uid="{FC2AB90B-E2E9-4A92-97D4-60F6108DE6A3}"/>
    <cellStyle name="style1433147725154 2" xfId="1632" xr:uid="{C66B272E-094B-4443-8691-93AA152D6159}"/>
    <cellStyle name="style1433147725216" xfId="310" xr:uid="{11EB9799-587B-46C7-A95B-A536FC48465F}"/>
    <cellStyle name="style1433147725216 2" xfId="1633" xr:uid="{96E5CDB1-B724-40F4-B313-3F91C8FE43C0}"/>
    <cellStyle name="style1433147725290" xfId="311" xr:uid="{2351ED5F-E3A7-4779-80DD-78E565256C52}"/>
    <cellStyle name="style1433147725290 2" xfId="1634" xr:uid="{A8551A3F-3B0B-46EF-A37B-EE88D55DD0AE}"/>
    <cellStyle name="style1433147725360" xfId="312" xr:uid="{40A8AF83-2CF8-4BA7-B848-35582E543801}"/>
    <cellStyle name="style1433147725360 2" xfId="1635" xr:uid="{685AD340-A644-4C8D-8112-36FAB8FD8E0A}"/>
    <cellStyle name="style1433147725432" xfId="313" xr:uid="{DA386465-AE91-4638-971A-AA786E26611A}"/>
    <cellStyle name="style1433147725432 2" xfId="1636" xr:uid="{0287A94E-886C-4BC6-AEAD-297BBC877D3D}"/>
    <cellStyle name="style1433147725504" xfId="314" xr:uid="{4CF41E08-EB62-4516-8939-E3FD8E8E8CE5}"/>
    <cellStyle name="style1433147725504 2" xfId="1637" xr:uid="{5D23FEEF-8F5A-45D1-AE92-B27B7DEDF29C}"/>
    <cellStyle name="style1433147725573" xfId="315" xr:uid="{8BC798FA-32F4-4944-B0D4-89574203F6B2}"/>
    <cellStyle name="style1433147725573 2" xfId="1638" xr:uid="{AB40D1D5-20D3-4850-9445-FD5CD9C35679}"/>
    <cellStyle name="style1433147725644" xfId="316" xr:uid="{E8B132D3-94E9-4A60-B10B-B7A19772E376}"/>
    <cellStyle name="style1433147725644 2" xfId="1639" xr:uid="{DBECE58B-8DA1-4687-B939-E9A1CA434053}"/>
    <cellStyle name="style1433147725717" xfId="317" xr:uid="{B124B5F7-5ED5-4184-911F-95D6B4C13CA6}"/>
    <cellStyle name="style1433147725717 2" xfId="1640" xr:uid="{4D6D2C02-5DFB-440C-8015-D1D53EE91897}"/>
    <cellStyle name="style1433147725841" xfId="318" xr:uid="{BFFD200E-66DF-45CD-BCB2-511C27863A0A}"/>
    <cellStyle name="style1433147725841 2" xfId="1641" xr:uid="{71C5EF43-0329-4D98-A6E5-793F3B4EC083}"/>
    <cellStyle name="style1433147725917" xfId="319" xr:uid="{FFF2BCC1-44D4-44F4-AB7F-DB8D6F71CBE4}"/>
    <cellStyle name="style1433147725917 2" xfId="1642" xr:uid="{F6E254C8-491C-40A8-8312-7D03DD183B96}"/>
    <cellStyle name="style1433147725978" xfId="320" xr:uid="{FB8BB54C-BDE9-4538-98B9-BFCFF8A26BD3}"/>
    <cellStyle name="style1433147725978 2" xfId="1643" xr:uid="{89E98552-AE22-4453-BEC9-507D68765BE9}"/>
    <cellStyle name="style1433147726047" xfId="321" xr:uid="{CC80B4F6-5C1A-4958-84C8-7CB4815DD21F}"/>
    <cellStyle name="style1433147726047 2" xfId="1644" xr:uid="{EC6A680F-1F15-4F9D-A0B6-D0865DFFB857}"/>
    <cellStyle name="style1433147726102" xfId="322" xr:uid="{E0990D40-3FDA-4968-962F-C7FFAAD7676A}"/>
    <cellStyle name="style1433147726102 2" xfId="1645" xr:uid="{9CA58558-18E5-46C0-8954-98D05B753FE3}"/>
    <cellStyle name="style1433147726173" xfId="323" xr:uid="{B83E3E7A-DC7E-4699-BFC3-3DA5C7C3C60A}"/>
    <cellStyle name="style1433147726173 2" xfId="1646" xr:uid="{2CB94AC2-651F-4883-9D06-4F7C52E2BDE2}"/>
    <cellStyle name="style1433147726241" xfId="324" xr:uid="{ED275288-C2E0-43F2-9E78-BF7C06B18946}"/>
    <cellStyle name="style1433147726241 2" xfId="1647" xr:uid="{31351F0F-061A-4976-9C75-64C4F9877778}"/>
    <cellStyle name="style1433147726309" xfId="325" xr:uid="{CF812E7A-8E76-4171-8DCB-B20CDE6C3DF5}"/>
    <cellStyle name="style1433147726309 2" xfId="1648" xr:uid="{8072EF9E-E6C6-4EF3-B4BE-E508D7A285F5}"/>
    <cellStyle name="style1433147726366" xfId="326" xr:uid="{DCD4FEF7-ABCE-49D7-8A82-5C629392BA95}"/>
    <cellStyle name="style1433147726366 2" xfId="1649" xr:uid="{183D7255-332D-497A-89DE-9BBC8A29E6A3}"/>
    <cellStyle name="style1433147726423" xfId="327" xr:uid="{64FCB5E1-F850-4431-860A-27C6F1552279}"/>
    <cellStyle name="style1433147726423 2" xfId="1650" xr:uid="{5AA265B8-CAD6-4A03-AAEB-B6E399563E6E}"/>
    <cellStyle name="style1433147726478" xfId="328" xr:uid="{7E28FB3A-513D-43D2-AD03-FE15C11B87FF}"/>
    <cellStyle name="style1433147726478 2" xfId="1651" xr:uid="{9B92C195-D983-42B2-A349-F15D4C667917}"/>
    <cellStyle name="style1433147726546" xfId="329" xr:uid="{C42FF61C-A8CA-4D03-9DFC-A72FFAB7AEAF}"/>
    <cellStyle name="style1433147726546 2" xfId="1652" xr:uid="{4A362595-EF22-4877-A742-A659B46324E0}"/>
    <cellStyle name="style1433147726602" xfId="330" xr:uid="{AC0114D4-2233-4518-82D4-B367D681498F}"/>
    <cellStyle name="style1433147726602 2" xfId="1653" xr:uid="{7424E79B-3636-464F-942D-1E5568118E2F}"/>
    <cellStyle name="style1433147726682" xfId="331" xr:uid="{2753A7E7-B1D4-4999-B6AE-26BEE7B08EBB}"/>
    <cellStyle name="style1433147726682 2" xfId="1654" xr:uid="{3AECB155-2DD4-4887-AD7B-7665D0E177B5}"/>
    <cellStyle name="style1433147726805" xfId="332" xr:uid="{5644158E-C125-481D-BAC8-AD192B65727D}"/>
    <cellStyle name="style1433147726805 2" xfId="1655" xr:uid="{C10E4AF8-5735-48B3-BA0E-E13990FCA12E}"/>
    <cellStyle name="style1433147726861" xfId="333" xr:uid="{C912834C-66B8-470C-B27D-2E0D97C8644A}"/>
    <cellStyle name="style1433147726861 2" xfId="1656" xr:uid="{BB1B8AF2-9121-4C40-AA18-E99BA6482C2B}"/>
    <cellStyle name="style1433771017138" xfId="1845" xr:uid="{CF35E7B8-287F-415D-917B-DF39BBDEEEAC}"/>
    <cellStyle name="style1433771017279" xfId="1846" xr:uid="{30927A65-001C-4F5D-A972-E5A321568155}"/>
    <cellStyle name="style1433771017372" xfId="1847" xr:uid="{AF7CB9FB-3751-4D17-A67F-3298250DE7F8}"/>
    <cellStyle name="style1433771017450" xfId="1848" xr:uid="{EC9CB840-A895-4479-B886-4C817C5C5597}"/>
    <cellStyle name="style1433771017559" xfId="1849" xr:uid="{812AD282-24ED-4BD5-A4AF-57AE7AF16655}"/>
    <cellStyle name="style1433771017653" xfId="1850" xr:uid="{60E60B72-1FD7-4A58-AE16-FDCF37A7A886}"/>
    <cellStyle name="style1433771017762" xfId="1851" xr:uid="{34E97F8F-2E8D-4BEE-8B44-D62E7941D017}"/>
    <cellStyle name="style1433771017965" xfId="1852" xr:uid="{D2262BBC-E9C4-44E6-A11F-68D34176D7AA}"/>
    <cellStyle name="style1433771018074" xfId="1853" xr:uid="{898D1108-0C76-4F11-8D5D-E3FA79DC6404}"/>
    <cellStyle name="style1433771018183" xfId="1854" xr:uid="{B6D67540-F36E-4ECE-A88D-68A4746A9D35}"/>
    <cellStyle name="style1433771018293" xfId="1855" xr:uid="{E175F9D1-30C8-484A-AE95-975083EAA200}"/>
    <cellStyle name="style1433771018402" xfId="1856" xr:uid="{512E12F8-4DB7-4303-B099-86ADAF8C0935}"/>
    <cellStyle name="style1433771018495" xfId="1857" xr:uid="{B0383FF8-5AD4-4B06-BC06-E50E2518F865}"/>
    <cellStyle name="style1433771018589" xfId="1858" xr:uid="{AEE1BBBC-B45B-4752-AC76-C08B7DFE05AE}"/>
    <cellStyle name="style1433771018698" xfId="1859" xr:uid="{3D5CD441-4C02-461A-B1A3-2C15FFC1417B}"/>
    <cellStyle name="style1433771018807" xfId="1860" xr:uid="{3CA9EDCB-1205-4520-98E6-779817D22E9E}"/>
    <cellStyle name="style1433771018917" xfId="1861" xr:uid="{079855D0-DEFB-4EB0-A836-40E8F116C6D5}"/>
    <cellStyle name="style1433771019104" xfId="1862" xr:uid="{4A1EA269-5343-4459-9CC1-28B35B51186C}"/>
    <cellStyle name="style1433771019213" xfId="1863" xr:uid="{84D87586-2508-4CF0-9628-A5F8FE26DF37}"/>
    <cellStyle name="style1433771019338" xfId="1864" xr:uid="{4AAABC97-ABD9-40A4-BE84-BC0C50FE1BEF}"/>
    <cellStyle name="style1433771019431" xfId="1865" xr:uid="{EA83E965-AC8A-46B4-9668-1A20B5774B29}"/>
    <cellStyle name="style1433771019541" xfId="1866" xr:uid="{667D6309-631E-4467-94F8-1D0A23906D52}"/>
    <cellStyle name="style1433771019665" xfId="1867" xr:uid="{FC23013B-5833-4306-8837-1BF6F3F002B5}"/>
    <cellStyle name="style1433771019775" xfId="1868" xr:uid="{B4A83075-5996-418B-9179-B3F8296DBB64}"/>
    <cellStyle name="style1433771019899" xfId="1869" xr:uid="{932C9D46-5844-4830-B0CA-622AF0745953}"/>
    <cellStyle name="style1433771020009" xfId="1870" xr:uid="{584087BF-F352-4814-850A-0CE2AE4F0546}"/>
    <cellStyle name="style1433771020196" xfId="1871" xr:uid="{019EA50B-D16A-4DEC-91BF-CBC8F24CBD81}"/>
    <cellStyle name="style1433771020289" xfId="1872" xr:uid="{D15ED500-AFDD-4FF8-99F4-F7EDDB4DD97D}"/>
    <cellStyle name="style1433771020367" xfId="1873" xr:uid="{3823CE73-E310-40AA-A125-C9E1ACF607D0}"/>
    <cellStyle name="style1433771020445" xfId="1874" xr:uid="{2D2F1591-4D67-4215-915B-FE44E4C58B87}"/>
    <cellStyle name="style1433771020539" xfId="1875" xr:uid="{CBAC5B87-0C85-40E3-B9F2-82C8D4F41D63}"/>
    <cellStyle name="style1433771020601" xfId="1876" xr:uid="{A8BACB53-B9BA-4858-896F-9CAA730E5194}"/>
    <cellStyle name="style1433771020695" xfId="1877" xr:uid="{B8E6B816-61A6-4E1B-95D3-C6DF379FDC31}"/>
    <cellStyle name="style1433771020773" xfId="1878" xr:uid="{2102B0EB-48DF-4852-A002-4DC2327D64AC}"/>
    <cellStyle name="style1433771020851" xfId="1879" xr:uid="{39C1787C-9146-4140-BA26-0DE77DCAB2F4}"/>
    <cellStyle name="style1433771020929" xfId="1880" xr:uid="{65093BB1-CECE-48BC-BBF8-FB34410B4FDC}"/>
    <cellStyle name="style1433771020991" xfId="1881" xr:uid="{50F2928F-B801-4D31-A1C3-FA99EA3867EE}"/>
    <cellStyle name="style1433771021069" xfId="1882" xr:uid="{C95DDD53-3453-4EE7-BC22-9D2CF757E57F}"/>
    <cellStyle name="style1433771021881" xfId="1883" xr:uid="{F122A313-63B7-4E00-B7F4-18618C556CA5}"/>
    <cellStyle name="style1433771021959" xfId="1884" xr:uid="{F8D72DC0-2ADB-47BC-A0D0-77423C189BC8}"/>
    <cellStyle name="style1433771022052" xfId="1885" xr:uid="{B9A85789-4A4A-47E7-BA3F-4D65F628868C}"/>
    <cellStyle name="style1433771022146" xfId="1886" xr:uid="{76A2833A-1649-46C7-B8C5-A6C1FA8647D0}"/>
    <cellStyle name="style1433771022224" xfId="1887" xr:uid="{E3B85DC7-EF80-4A25-89A0-9044D536FC97}"/>
    <cellStyle name="style1433771022302" xfId="1888" xr:uid="{5128C9DC-7ED4-4951-96B0-EB4D7410240D}"/>
    <cellStyle name="style1433774819665" xfId="1889" xr:uid="{01AC5384-6123-4CD7-A9C2-A2ACAD8D38EF}"/>
    <cellStyle name="style1433774819777" xfId="1890" xr:uid="{DBA811F4-BCFB-4C79-AE0D-55CA6CE988CD}"/>
    <cellStyle name="style1433774819864" xfId="1891" xr:uid="{A99E3B84-7624-4981-A676-ABA1F1C496EC}"/>
    <cellStyle name="style1433774819928" xfId="1892" xr:uid="{BB5FB8E1-458A-442D-952E-1607ED9EBA34}"/>
    <cellStyle name="style1433774820006" xfId="1893" xr:uid="{E00618B0-52C9-4473-BAB0-204D4009A813}"/>
    <cellStyle name="style1433774820089" xfId="1894" xr:uid="{2310033A-FE00-450C-8968-BDFDE2F03BF1}"/>
    <cellStyle name="style1433774820170" xfId="1895" xr:uid="{9B6857A0-4BEF-49C8-868B-A6305D4F2E64}"/>
    <cellStyle name="style1433774820262" xfId="1896" xr:uid="{308FD58F-492F-46C7-86E9-C96665A78167}"/>
    <cellStyle name="style1433774820342" xfId="1897" xr:uid="{F34BFCAA-A3AB-4BCD-ACFB-2307BE25E0E3}"/>
    <cellStyle name="style1433774820418" xfId="1898" xr:uid="{ED5B2521-7147-4302-9FF2-4C97F2592DDD}"/>
    <cellStyle name="style1433774820494" xfId="1899" xr:uid="{B506A936-C73C-472C-82D6-298DD740864C}"/>
    <cellStyle name="style1433774820648" xfId="1900" xr:uid="{C8969A6C-5B12-4559-A833-72C35833F5B1}"/>
    <cellStyle name="style1433774820717" xfId="1901" xr:uid="{CDC3ADB8-5C25-4100-AE98-86E3D779B785}"/>
    <cellStyle name="style1433774820786" xfId="1902" xr:uid="{3D26B8EE-E610-4A6C-A8A4-2E0CBB44F12D}"/>
    <cellStyle name="style1433774820868" xfId="1903" xr:uid="{2350FE79-FEF1-49E8-9C58-B2B3D54475D2}"/>
    <cellStyle name="style1433774820938" xfId="1904" xr:uid="{D90EEAD8-71B7-47D7-82DE-F3A64D7DD0DB}"/>
    <cellStyle name="style1433774821016" xfId="1905" xr:uid="{AD908121-5F54-4D13-BA8E-52386631EE1E}"/>
    <cellStyle name="style1433774821091" xfId="1906" xr:uid="{0CE45F7E-8C20-4A5F-85CB-7F0183883FD6}"/>
    <cellStyle name="style1433774821165" xfId="1907" xr:uid="{7FFFAB71-C6D3-4961-81DC-DA25FB2C812A}"/>
    <cellStyle name="style1433774821246" xfId="1908" xr:uid="{2F70B66D-3E11-4A94-8BB5-6A87DFC613A1}"/>
    <cellStyle name="style1433774821323" xfId="1909" xr:uid="{E0F823D3-C346-44F2-BD44-A18ADFD40DF4}"/>
    <cellStyle name="style1433774821398" xfId="1910" xr:uid="{813E9C6B-D6CD-4357-A973-190E456C102D}"/>
    <cellStyle name="style1433774821479" xfId="1911" xr:uid="{772F8CF5-A27C-4C5D-A428-2345051B5A85}"/>
    <cellStyle name="style1433774821554" xfId="1912" xr:uid="{6092CE8D-F7D2-4678-8E2A-69C43FB1BFAA}"/>
    <cellStyle name="style1433774821630" xfId="1913" xr:uid="{DA1599B0-3DE9-4A95-B18A-0AB541E46475}"/>
    <cellStyle name="style1433774821709" xfId="1914" xr:uid="{8F7544D5-1DCA-46CE-AAD3-31E4AEA2FC84}"/>
    <cellStyle name="style1433774821856" xfId="1915" xr:uid="{61BA4530-0307-4C70-AD94-0F025B996543}"/>
    <cellStyle name="style1433774821917" xfId="1916" xr:uid="{C46F0E43-7D07-4ACA-B465-91C065D18122}"/>
    <cellStyle name="style1433774821977" xfId="1917" xr:uid="{0376C918-7FC6-4E0D-AB2E-70D52D37CBBD}"/>
    <cellStyle name="style1433774822052" xfId="1918" xr:uid="{92717731-48E2-4046-9748-54F17D456855}"/>
    <cellStyle name="style1433774822125" xfId="1919" xr:uid="{034AF739-E86B-4C48-A258-3E43123616CA}"/>
    <cellStyle name="style1433774822182" xfId="1920" xr:uid="{FF5F4692-C022-4743-8F23-4F80A1A7D31B}"/>
    <cellStyle name="style1433774822253" xfId="1921" xr:uid="{4D442966-C084-49ED-9C1F-F78A00B1748A}"/>
    <cellStyle name="style1433774822313" xfId="1922" xr:uid="{ECB84D42-D03C-472D-82CD-5585EDE90153}"/>
    <cellStyle name="style1433774822370" xfId="1923" xr:uid="{1017E1EC-E9D5-448D-8D7D-5F8A9438F3B8}"/>
    <cellStyle name="style1433774822427" xfId="1924" xr:uid="{6470156A-A31E-49F1-A354-6A7B78B43B29}"/>
    <cellStyle name="style1433774822484" xfId="1925" xr:uid="{D651F59C-3B11-4619-B9E6-48DE3AAEFDD6}"/>
    <cellStyle name="style1433774822550" xfId="1926" xr:uid="{0B1ACA1E-3C24-4722-9971-C696AD8E0719}"/>
    <cellStyle name="style1433833429726" xfId="1927" xr:uid="{0815902E-6ED0-4712-BCE7-2CB466153325}"/>
    <cellStyle name="style1433833429853" xfId="1928" xr:uid="{45875689-BC26-4D3D-8163-BB2D33F5786D}"/>
    <cellStyle name="style1433833429935" xfId="1929" xr:uid="{9461BD71-8766-45F8-8C1F-7E97211E90DB}"/>
    <cellStyle name="style1433833430007" xfId="1930" xr:uid="{6E99229E-4DF8-4E0C-8AA4-7FAF6EFF20C0}"/>
    <cellStyle name="style1433833430091" xfId="1931" xr:uid="{94C0AC42-8E6D-4530-BC02-0B2C10D07A16}"/>
    <cellStyle name="style1433833430173" xfId="1932" xr:uid="{5F5DE7F6-B4F4-4D87-AD80-1FC2D7DB7802}"/>
    <cellStyle name="style1433833430255" xfId="1933" xr:uid="{32F203F3-BC8F-4FD1-B401-D390F37BFEFE}"/>
    <cellStyle name="style1433833430350" xfId="1934" xr:uid="{1846D18B-6901-4F1B-946B-2B2080F9DE66}"/>
    <cellStyle name="style1433833430436" xfId="1935" xr:uid="{79CCAEED-5A4B-4910-ADB5-075791C20EF1}"/>
    <cellStyle name="style1433833430518" xfId="1936" xr:uid="{C6D420DB-521E-4D99-B1BD-E09F1AE10784}"/>
    <cellStyle name="style1433833430602" xfId="1937" xr:uid="{C2E4C13F-94FE-4AAE-BDCD-B1CBCB2F072F}"/>
    <cellStyle name="style1433833430684" xfId="1938" xr:uid="{BA8E357A-891C-4D2F-9E77-074AF7713146}"/>
    <cellStyle name="style1433833430750" xfId="1939" xr:uid="{0784A836-BA56-4319-ABD1-0AB12EE0E4A7}"/>
    <cellStyle name="style1433833430821" xfId="1940" xr:uid="{540F3C39-C293-47BF-BD09-07F82886261D}"/>
    <cellStyle name="style1433833430901" xfId="1941" xr:uid="{F606FEDB-D662-41F8-A45A-5811706269C2}"/>
    <cellStyle name="style1433833430972" xfId="1942" xr:uid="{26D38DD2-A3AF-4F8C-95C5-3EB62D42B56B}"/>
    <cellStyle name="style1433833431052" xfId="1943" xr:uid="{4A446535-C246-4F3D-8318-7B27E53E7745}"/>
    <cellStyle name="style1433833431131" xfId="1944" xr:uid="{582BC028-E708-43D3-9777-F996F0BA30ED}"/>
    <cellStyle name="style1433833431284" xfId="1945" xr:uid="{E2169FC1-1603-4E13-8265-AF45FDA2D09B}"/>
    <cellStyle name="style1433833431371" xfId="1946" xr:uid="{59B4E6FF-01CD-44F7-A402-D9C1C791DC43}"/>
    <cellStyle name="style1433833431455" xfId="1947" xr:uid="{6B0DC310-5219-49E7-BE59-E59A70B0B0C2}"/>
    <cellStyle name="style1433833431534" xfId="1948" xr:uid="{FB8721E1-1EF9-4501-9092-5034E08B6245}"/>
    <cellStyle name="style1433833431617" xfId="1949" xr:uid="{F76A63DA-39B5-4E4C-8C5B-7A5A7ABE8D36}"/>
    <cellStyle name="style1433833431695" xfId="1950" xr:uid="{63BA9051-B53C-494F-8FB2-8892F3F3D87E}"/>
    <cellStyle name="style1433833431774" xfId="1951" xr:uid="{C473D268-3C56-4D11-B69F-97783E8FB4E4}"/>
    <cellStyle name="style1433833431853" xfId="1952" xr:uid="{4FA1F9A2-071F-4E2A-A70D-CC6D046045D2}"/>
    <cellStyle name="style1433833431960" xfId="1953" xr:uid="{29D0B078-EC47-46E8-A29C-7C446CB77665}"/>
    <cellStyle name="style1433833432021" xfId="1954" xr:uid="{83F275E4-3659-4FF1-A0EB-D5C0BA4DC8BC}"/>
    <cellStyle name="style1433833432081" xfId="1955" xr:uid="{1CC24023-BBA8-4759-BF80-63700F4902EF}"/>
    <cellStyle name="style1433833432158" xfId="1956" xr:uid="{8B25939B-65F3-4957-81B8-B9E0016B7E91}"/>
    <cellStyle name="style1433833432233" xfId="1957" xr:uid="{0DCDB45B-07DB-4E10-A009-51B85D468602}"/>
    <cellStyle name="style1433833432290" xfId="1958" xr:uid="{69DB9529-AC12-4C13-BE41-D2EA34E842EF}"/>
    <cellStyle name="style1433833432361" xfId="1959" xr:uid="{EDF2D2DA-383A-47CA-A073-FFE01E8A7DF8}"/>
    <cellStyle name="style1433833432422" xfId="1960" xr:uid="{3E35E18E-0A97-4E36-A1F6-8EBA941B67A2}"/>
    <cellStyle name="style1433833432480" xfId="1961" xr:uid="{70800B81-6AB1-4126-8801-8846A6DE54CC}"/>
    <cellStyle name="style1433833432536" xfId="1962" xr:uid="{FE9963FF-F189-45FC-B569-98A7F9B512A7}"/>
    <cellStyle name="style1433833432595" xfId="1963" xr:uid="{F6DB8525-3898-4C55-943D-763A46506326}"/>
    <cellStyle name="style1433833432657" xfId="1964" xr:uid="{843F02A8-2DC0-4921-96EF-4F3E3CB8957A}"/>
    <cellStyle name="style1433838290404" xfId="1965" xr:uid="{00C3AAE5-F5DB-4AF7-BD29-B50857955377}"/>
    <cellStyle name="style1433838290479" xfId="1966" xr:uid="{1F3DF679-EFB7-4B60-935A-A96E7631C7AD}"/>
    <cellStyle name="style1433838290549" xfId="1967" xr:uid="{EAC0ACEC-B847-4D1B-B3FD-12D997806E70}"/>
    <cellStyle name="style1433838290620" xfId="1968" xr:uid="{89BFB3D8-F2C8-4B11-8715-779D5A8ACDA0}"/>
    <cellStyle name="style1433838290691" xfId="1969" xr:uid="{B8642EEC-B019-441E-AA80-101624F92A93}"/>
    <cellStyle name="style1433838290761" xfId="1970" xr:uid="{DDBEEDC7-D6A3-4824-A686-0FBEB91AE7AB}"/>
    <cellStyle name="style1433838290835" xfId="1971" xr:uid="{54841428-82D1-4B8C-88CB-471FDA74FF5B}"/>
    <cellStyle name="style1433838290992" xfId="1972" xr:uid="{C832D5A3-8096-43AA-B3E7-C82E5B35775E}"/>
    <cellStyle name="style1433838291062" xfId="1973" xr:uid="{A822D98F-32A9-40D4-8476-5EC77171A932}"/>
    <cellStyle name="style1433838291187" xfId="1974" xr:uid="{028B14D6-E462-4CA2-B837-0D4FB0265462}"/>
    <cellStyle name="style1433839306102" xfId="1975" xr:uid="{E1F9EF75-A4FE-4F70-B7BB-8DC8D55766B3}"/>
    <cellStyle name="style1433839306223" xfId="1976" xr:uid="{741B64FE-A14C-41EF-9CD4-C78781291F0B}"/>
    <cellStyle name="style1433839306316" xfId="1977" xr:uid="{06CABDF1-7092-49A7-B91F-372167F6C804}"/>
    <cellStyle name="style1433839306386" xfId="1978" xr:uid="{BE68655B-3F3C-442E-9FEA-3ECA7FC22D46}"/>
    <cellStyle name="style1433839306477" xfId="1979" xr:uid="{AC91A3F4-3E9D-4138-90C9-B3E98D3AE313}"/>
    <cellStyle name="style1433839306565" xfId="1980" xr:uid="{0165173E-BC98-44B9-ADA4-FFE043C0708E}"/>
    <cellStyle name="style1433839306645" xfId="1981" xr:uid="{C49DF288-9DBF-49C7-8AC7-70E48C478068}"/>
    <cellStyle name="style1433839306736" xfId="1982" xr:uid="{7AF0BD76-84C2-4458-80EB-F05965BE69A9}"/>
    <cellStyle name="style1433839306820" xfId="1983" xr:uid="{CEB4BA92-F1D6-438A-B483-3A9708E7CD54}"/>
    <cellStyle name="style1433839306901" xfId="1984" xr:uid="{E1DF633F-6844-4F08-9EF3-2CA3791BDD7D}"/>
    <cellStyle name="style1433839306981" xfId="1985" xr:uid="{ABBEA897-18C0-48DA-9E6D-972AC810C84A}"/>
    <cellStyle name="style1433839307068" xfId="1986" xr:uid="{F570A061-45BB-418E-A961-2064DC8D475C}"/>
    <cellStyle name="style1433839307135" xfId="1987" xr:uid="{09310907-CF6E-4AED-B747-4DC960F7C09A}"/>
    <cellStyle name="style1433839307201" xfId="1988" xr:uid="{061C43B3-C71E-4A7C-9E58-256CF3CC9B3F}"/>
    <cellStyle name="style1433839307283" xfId="1989" xr:uid="{91671DF9-D676-43FC-B435-794E0A0A4B11}"/>
    <cellStyle name="style1433839307381" xfId="1990" xr:uid="{50ACA1C0-0628-48CB-A65C-556056A5A0CC}"/>
    <cellStyle name="style1433839307466" xfId="1991" xr:uid="{9F4FA861-796E-447A-A315-67B09E1A4CF2}"/>
    <cellStyle name="style1433839307569" xfId="1992" xr:uid="{8CBB0D11-718F-464C-B0E0-F1F344A56143}"/>
    <cellStyle name="style1433839307648" xfId="1993" xr:uid="{F043BE4A-C5ED-4BA4-894B-D0DA108C6A98}"/>
    <cellStyle name="style1433839307736" xfId="1994" xr:uid="{4DE98A2C-CD61-477B-974F-C31D06E1D7AB}"/>
    <cellStyle name="style1433839307820" xfId="1995" xr:uid="{6B6DA5CF-81CD-42E7-AB7C-0353D0D87645}"/>
    <cellStyle name="style1433839307965" xfId="1996" xr:uid="{54AD5682-1231-470B-9FCD-79011CAC971C}"/>
    <cellStyle name="style1433839308047" xfId="1997" xr:uid="{556A4D54-9216-4703-9E8B-EEFEDB0165D2}"/>
    <cellStyle name="style1433839308127" xfId="1998" xr:uid="{C16DE7F5-885B-4BA7-A79F-A16E707C1E18}"/>
    <cellStyle name="style1433839308204" xfId="1999" xr:uid="{1FADD467-3A26-4143-8FF4-EB9F6ECC8E86}"/>
    <cellStyle name="style1433839308281" xfId="2000" xr:uid="{B83B7E9C-0CA5-488B-8E81-515EB4B6BFF5}"/>
    <cellStyle name="style1433839308360" xfId="2001" xr:uid="{A0EDA28A-3B75-462E-B65C-8DC482E0432E}"/>
    <cellStyle name="style1433839308418" xfId="2002" xr:uid="{9CAED87D-77B0-4799-A386-EC578CF6622F}"/>
    <cellStyle name="style1433839308481" xfId="2003" xr:uid="{0979EF5E-2778-48F7-82E8-AC6C613A1584}"/>
    <cellStyle name="style1433839308539" xfId="2004" xr:uid="{EEB34CCE-DD6A-4056-9A63-2305D866C97F}"/>
    <cellStyle name="style1433839308595" xfId="2005" xr:uid="{E3E1D921-348A-4F31-A740-8A3865D0A444}"/>
    <cellStyle name="style1433839308661" xfId="2006" xr:uid="{D7DB27FF-CEF8-4911-8814-7E130F3D4C66}"/>
    <cellStyle name="style1433839308728" xfId="2007" xr:uid="{A269C961-7EA8-40BF-9402-01BF8C5D1400}"/>
    <cellStyle name="style1433839308797" xfId="2008" xr:uid="{A8D7BA8E-DB14-4D52-9994-D5A26300327E}"/>
    <cellStyle name="style1433839308860" xfId="2009" xr:uid="{5FFE19B8-7527-4D45-BD08-7E10196BBC33}"/>
    <cellStyle name="style1433839308918" xfId="2010" xr:uid="{FFA00A34-F545-43D2-BCAB-33FAD320785F}"/>
    <cellStyle name="style1440408612420" xfId="334" xr:uid="{881C7120-0C6A-4A3A-92C6-6AA1AA404EF4}"/>
    <cellStyle name="style1440408612420 2" xfId="1657" xr:uid="{B225E3C5-840F-4F32-BDBF-E2EAA8D40728}"/>
    <cellStyle name="style1440408612523" xfId="335" xr:uid="{969848A4-2715-4754-B305-26CEAE0B76CC}"/>
    <cellStyle name="style1440408612523 2" xfId="1658" xr:uid="{9C9B2158-E5A8-48B0-A736-A5F8211DEE6A}"/>
    <cellStyle name="style1440408612585" xfId="336" xr:uid="{00508162-C9E7-4D1E-89BE-1F9E95E205E4}"/>
    <cellStyle name="style1440408612585 2" xfId="1659" xr:uid="{FBB5E100-2A31-4735-966C-9A1CB8BE0C3E}"/>
    <cellStyle name="style1440408612647" xfId="337" xr:uid="{09B3AB6E-12C9-4C80-BDE5-3009EC5F7CB9}"/>
    <cellStyle name="style1440408612647 2" xfId="1660" xr:uid="{D3B95DD9-F9DB-4795-87DF-E52153B8B26D}"/>
    <cellStyle name="style1440408612705" xfId="338" xr:uid="{E2666057-7643-4F3E-A663-E45C87F6D846}"/>
    <cellStyle name="style1440408612705 2" xfId="1661" xr:uid="{9459B013-BC3F-4B2C-8A61-09DBA6B49B97}"/>
    <cellStyle name="style1440408612766" xfId="339" xr:uid="{FA4744DD-BA62-4B2E-8F1C-334E13618886}"/>
    <cellStyle name="style1440408612766 2" xfId="1662" xr:uid="{FB458B45-07C3-4571-BF98-10ED26CAED6E}"/>
    <cellStyle name="style1440408612830" xfId="340" xr:uid="{602B8A59-954D-46B4-9A97-0D803A495E72}"/>
    <cellStyle name="style1440408612830 2" xfId="1663" xr:uid="{DD9D44B8-38B5-4C8A-8DF2-299DA7975938}"/>
    <cellStyle name="style1440408612903" xfId="341" xr:uid="{6354F919-E3F2-4344-B694-4534F14821BD}"/>
    <cellStyle name="style1440408612903 2" xfId="1664" xr:uid="{092A454B-A964-4F89-92DF-37246F9D0D56}"/>
    <cellStyle name="style1440408612964" xfId="342" xr:uid="{523E3AAA-FE45-4579-AACD-2E6B65F6575E}"/>
    <cellStyle name="style1440408612964 2" xfId="1665" xr:uid="{DE3F89B3-7893-4C36-80CE-9B18DA3E7F13}"/>
    <cellStyle name="style1440408613083" xfId="343" xr:uid="{299A85E0-F0DF-443F-BF87-23F201599D26}"/>
    <cellStyle name="style1440408613083 2" xfId="1666" xr:uid="{14BA5ED7-3F6B-4B63-9A5D-19088891A9AC}"/>
    <cellStyle name="style1440408613139" xfId="344" xr:uid="{A8E1EF61-5075-40E4-978B-D95CC8EF8DC8}"/>
    <cellStyle name="style1440408613139 2" xfId="1667" xr:uid="{E34E6025-F2D6-4407-A348-7516DFE6ECE6}"/>
    <cellStyle name="style1440408613202" xfId="345" xr:uid="{19922566-AEFB-4BF4-914D-54B9B53AC127}"/>
    <cellStyle name="style1440408613202 2" xfId="1668" xr:uid="{359E5A1C-F5E0-485C-89D2-4127064633C8}"/>
    <cellStyle name="style1440408613247" xfId="346" xr:uid="{7DD07675-238D-4A33-81BD-3029CCFF1278}"/>
    <cellStyle name="style1440408613247 2" xfId="1669" xr:uid="{8A80F26D-16CD-4873-965A-B30101F6D078}"/>
    <cellStyle name="style1440408613292" xfId="347" xr:uid="{380B2FE1-3449-49AF-A34D-B37BA5574C49}"/>
    <cellStyle name="style1440408613292 2" xfId="1670" xr:uid="{E06E8E8A-DBF2-413B-88C1-15A38A537C1A}"/>
    <cellStyle name="style1440408613352" xfId="348" xr:uid="{2FB60F2E-897C-4568-841F-C1B5A111B0BC}"/>
    <cellStyle name="style1440408613352 2" xfId="1671" xr:uid="{F1495B90-64B5-40B0-96CE-6CBFDF825466}"/>
    <cellStyle name="style1440408613398" xfId="349" xr:uid="{BDD0803F-0F2A-4EAE-8E30-B2004A735EF9}"/>
    <cellStyle name="style1440408613398 2" xfId="1672" xr:uid="{1480BC7F-FE2F-4BEE-B29F-6A221E982B93}"/>
    <cellStyle name="style1440408613455" xfId="350" xr:uid="{2B1C2024-A05F-422F-BB62-CEA56735218D}"/>
    <cellStyle name="style1440408613455 2" xfId="1673" xr:uid="{2878481C-EF17-4BC7-80F0-4C2E324921AE}"/>
    <cellStyle name="style1440408613511" xfId="351" xr:uid="{20D6DA8C-20C7-4813-ACA9-FB802C6A035F}"/>
    <cellStyle name="style1440408613511 2" xfId="1674" xr:uid="{C965DBDA-2672-4CD1-9095-CF782A459AD8}"/>
    <cellStyle name="style1440408613566" xfId="352" xr:uid="{A835546F-8155-483E-80E1-3753C57B0115}"/>
    <cellStyle name="style1440408613566 2" xfId="1675" xr:uid="{6B20318C-919E-44A0-B32D-3AB79456F68D}"/>
    <cellStyle name="style1440408613623" xfId="353" xr:uid="{567C2B86-474D-4D3A-975E-458A12258866}"/>
    <cellStyle name="style1440408613623 2" xfId="1676" xr:uid="{8E440F78-6CE0-43C8-A0A2-31B38D939F39}"/>
    <cellStyle name="style1440408613680" xfId="354" xr:uid="{4D054270-498A-450E-936A-6BFCCF8E0FAA}"/>
    <cellStyle name="style1440408613680 2" xfId="1677" xr:uid="{E651B37A-6CAA-4D14-B2A5-AAB213C8C2DE}"/>
    <cellStyle name="style1440408613735" xfId="355" xr:uid="{CB863634-895F-4855-8F08-494F454CE779}"/>
    <cellStyle name="style1440408613735 2" xfId="1678" xr:uid="{F26C37A4-7707-4388-B8FD-8FD955BE4524}"/>
    <cellStyle name="style1440408613791" xfId="356" xr:uid="{4AC0BE71-3E89-474B-A460-AEE380A645E5}"/>
    <cellStyle name="style1440408613791 2" xfId="1679" xr:uid="{D03E6080-6582-4F85-A2D8-D8A44DB82A0B}"/>
    <cellStyle name="style1440408613913" xfId="357" xr:uid="{BCDD452E-A601-4EB9-9FA6-BB13FCFCAD0B}"/>
    <cellStyle name="style1440408613913 2" xfId="1680" xr:uid="{23D2E9A6-FF40-4D1F-8136-CE5568103AA5}"/>
    <cellStyle name="style1440408613973" xfId="358" xr:uid="{5C2EFC42-3123-45AD-B9D4-5BBCC559C810}"/>
    <cellStyle name="style1440408613973 2" xfId="1681" xr:uid="{65864CC5-464D-41D8-BC66-A2F177BD5D54}"/>
    <cellStyle name="style1440408614021" xfId="359" xr:uid="{74E1CC05-70A7-4735-B46F-B458DFA92E47}"/>
    <cellStyle name="style1440408614021 2" xfId="1682" xr:uid="{5AE9A227-D4E3-42C6-8DDE-5A3435374E12}"/>
    <cellStyle name="style1440408614086" xfId="360" xr:uid="{F8D40651-9551-44CD-9D13-0BE2F3915C15}"/>
    <cellStyle name="style1440408614086 2" xfId="1683" xr:uid="{E4B98C8F-1C7C-4D0C-8D05-A81081D9F2D7}"/>
    <cellStyle name="style1440408614135" xfId="361" xr:uid="{25AC8EEF-0750-44AC-8E17-A25DFC4C388B}"/>
    <cellStyle name="style1440408614135 2" xfId="1684" xr:uid="{7BA284BE-2916-4AEF-9C85-6FBAA109462D}"/>
    <cellStyle name="style1440408614192" xfId="362" xr:uid="{ECC28258-08E1-49BF-815C-4D2872BA3EF6}"/>
    <cellStyle name="style1440408614192 2" xfId="1685" xr:uid="{9E30FEBB-CD8C-427D-920D-6DB85D5FEDB1}"/>
    <cellStyle name="style1440408614245" xfId="363" xr:uid="{1ED6FA7C-70B3-4053-B500-9C8FECAE7A94}"/>
    <cellStyle name="style1440408614245 2" xfId="1686" xr:uid="{D4382288-92EC-456A-82C4-95187D03C58D}"/>
    <cellStyle name="style1440408614300" xfId="364" xr:uid="{ABA424F9-8BEF-44E6-A36E-0FC1877D1CB5}"/>
    <cellStyle name="style1440408614300 2" xfId="1687" xr:uid="{6EA8306B-CCD4-4FA8-8321-3D7A272A49FD}"/>
    <cellStyle name="style1440408614345" xfId="365" xr:uid="{93F5FA9B-BB67-47EB-852A-F1CB8D27E0B6}"/>
    <cellStyle name="style1440408614345 2" xfId="1688" xr:uid="{F75A1CE4-31AF-4FD1-AB5D-E4D73AC2089B}"/>
    <cellStyle name="style1440408614388" xfId="366" xr:uid="{1DE7BDD8-730E-4055-831E-F631D2AC90A0}"/>
    <cellStyle name="style1440408614388 2" xfId="1689" xr:uid="{1C03C0CD-3832-4952-8D39-C4B3B8ED2C36}"/>
    <cellStyle name="style1440408614429" xfId="367" xr:uid="{17E63F24-627B-4E38-AF22-1EB550EF631E}"/>
    <cellStyle name="style1440408614429 2" xfId="1690" xr:uid="{9FCF1095-576C-44FF-8D55-C2A5165A5FF1}"/>
    <cellStyle name="style1440408614482" xfId="368" xr:uid="{3F5CE0A5-13C3-4AEA-9BE5-C5E1C9B5654A}"/>
    <cellStyle name="style1440408614482 2" xfId="1691" xr:uid="{EA6BA729-B947-4961-8770-4211A8D9D2E2}"/>
    <cellStyle name="style1440408614524" xfId="369" xr:uid="{6DE291BD-0FAC-4233-84A0-A6863B88E6AB}"/>
    <cellStyle name="style1440408614524 2" xfId="1692" xr:uid="{AE793D09-2E20-439B-880F-6880AFA151BD}"/>
    <cellStyle name="style1440408614675" xfId="370" xr:uid="{8FA091E7-BB94-44BE-9994-F7482F727B95}"/>
    <cellStyle name="style1440408614675 2" xfId="1693" xr:uid="{8A813F68-4DC2-4747-AA62-78BE040F6EE6}"/>
    <cellStyle name="style1440408614725" xfId="371" xr:uid="{CBCBC4A1-B3E4-4932-AF47-E363C52A20F1}"/>
    <cellStyle name="style1440408614725 2" xfId="1694" xr:uid="{B655F244-BA68-42C5-B347-2E708130E9D3}"/>
    <cellStyle name="style1440408614762" xfId="372" xr:uid="{780CC27A-4E9E-48AC-998E-FA9BC48FBA5B}"/>
    <cellStyle name="style1440408614762 2" xfId="1695" xr:uid="{FD201B65-ED31-4EFE-9AA0-EF4CF7A9548D}"/>
    <cellStyle name="style1440410147053" xfId="373" xr:uid="{A2F91299-981C-498F-BC93-78D16A738FE8}"/>
    <cellStyle name="style1440410147053 2" xfId="1696" xr:uid="{271ABD98-46A8-4A8C-8522-D6D102AD6D23}"/>
    <cellStyle name="style1440410147106" xfId="374" xr:uid="{91A13048-5AE8-412E-B6E2-8E40BCB77676}"/>
    <cellStyle name="style1440410147106 2" xfId="1697" xr:uid="{F3526342-FB3B-48F7-997D-093041DB86A9}"/>
    <cellStyle name="style1440410147141" xfId="375" xr:uid="{216A2B83-9E7E-49BE-94BC-5DDD099CC0BD}"/>
    <cellStyle name="style1440410147141 2" xfId="1698" xr:uid="{5BF4DE95-31E3-4E93-ADFB-BF1AEB2E72C7}"/>
    <cellStyle name="style1440410147177" xfId="376" xr:uid="{6CB6140C-AA48-4225-866E-0105A4BA8181}"/>
    <cellStyle name="style1440410147177 2" xfId="1699" xr:uid="{1027A719-3E5C-4A15-B9A2-4A41E6239F79}"/>
    <cellStyle name="style1440410147221" xfId="377" xr:uid="{74E556B1-42B4-4ACD-BDE1-D7F51818F4BC}"/>
    <cellStyle name="style1440410147221 2" xfId="1700" xr:uid="{84AD9438-2C30-49D8-BC30-360AD151CFA9}"/>
    <cellStyle name="style1440410147264" xfId="378" xr:uid="{00A7A0C9-158F-4DCB-832C-4C9029ED3D4C}"/>
    <cellStyle name="style1440410147264 2" xfId="1701" xr:uid="{DDCC967E-D16B-4248-ABAB-E2C4D2794D1B}"/>
    <cellStyle name="style1440410147307" xfId="379" xr:uid="{2ADE5005-2DDD-4F61-9A88-CE8769A3F5F9}"/>
    <cellStyle name="style1440410147307 2" xfId="1702" xr:uid="{9D70E6E9-701A-495A-BF94-9892E8E66739}"/>
    <cellStyle name="style1440410147353" xfId="380" xr:uid="{2F67CE83-087D-469C-9E43-3BF8D2CD422A}"/>
    <cellStyle name="style1440410147353 2" xfId="1703" xr:uid="{5BDEFCF3-4493-4020-8A42-93A4392CC763}"/>
    <cellStyle name="style1440410147395" xfId="381" xr:uid="{B8C00951-2929-4BE1-95D6-C0059D72DEF3}"/>
    <cellStyle name="style1440410147395 2" xfId="1704" xr:uid="{A0E7A33E-2772-4F76-B7B1-59C69CC99D0B}"/>
    <cellStyle name="style1440410147438" xfId="382" xr:uid="{77805B28-D8CA-4BDF-B225-EA25E63E64E6}"/>
    <cellStyle name="style1440410147438 2" xfId="1705" xr:uid="{3F9B732C-3D54-4729-966F-9B72661E9FA1}"/>
    <cellStyle name="style1440410147481" xfId="383" xr:uid="{FEACB306-DDBD-4B38-87A2-68BC665F1339}"/>
    <cellStyle name="style1440410147481 2" xfId="1706" xr:uid="{3764F99A-971E-4922-BB1D-FCFAF66E1673}"/>
    <cellStyle name="style1440410147524" xfId="384" xr:uid="{90D02A55-DCDE-47B7-A7A4-ADA1B6AB1570}"/>
    <cellStyle name="style1440410147524 2" xfId="1707" xr:uid="{373BE374-1094-4C93-AE9A-FD016BF9A61A}"/>
    <cellStyle name="style1440410147560" xfId="385" xr:uid="{3CA5BD63-06D4-4A12-A360-D27D2DA2C974}"/>
    <cellStyle name="style1440410147560 2" xfId="1708" xr:uid="{E8FCD64F-42C5-4999-9674-64BF1E054201}"/>
    <cellStyle name="style1440410147595" xfId="386" xr:uid="{928EB8A3-1171-4730-914A-0016AEE29A49}"/>
    <cellStyle name="style1440410147595 2" xfId="1709" xr:uid="{DC2A67DB-48B0-446B-9768-7C0B5FAEB222}"/>
    <cellStyle name="style1440410147638" xfId="387" xr:uid="{86B6F7A1-401C-4083-BCFB-39C55D027EA4}"/>
    <cellStyle name="style1440410147638 2" xfId="1710" xr:uid="{ED5E1767-4793-4A04-BDCF-BE8976A217C5}"/>
    <cellStyle name="style1440410147673" xfId="388" xr:uid="{508BFDE4-7709-40CF-BB50-8D30EF2C3C1A}"/>
    <cellStyle name="style1440410147673 2" xfId="1711" xr:uid="{DF49964C-92C1-409F-83C3-845ED333F3DE}"/>
    <cellStyle name="style1440410147781" xfId="389" xr:uid="{266B9786-1D0D-4CFC-BCAE-4125FE21E49D}"/>
    <cellStyle name="style1440410147781 2" xfId="1712" xr:uid="{278BA592-3F8E-468E-AD52-FB3E5D079604}"/>
    <cellStyle name="style1440410147826" xfId="390" xr:uid="{B5FEB9EC-205E-4520-9E16-2846B1FE5286}"/>
    <cellStyle name="style1440410147826 2" xfId="1713" xr:uid="{D2357E75-042F-4C9C-BF8F-4D78F445AF8E}"/>
    <cellStyle name="style1440410147869" xfId="391" xr:uid="{652761A9-093C-4D6F-8E14-E8264EA91887}"/>
    <cellStyle name="style1440410147869 2" xfId="1714" xr:uid="{3619B290-4A6E-4862-870A-5F76904BA801}"/>
    <cellStyle name="style1440410147913" xfId="392" xr:uid="{7DF4A576-E1EF-4DDB-884C-DEDBC6B11A1E}"/>
    <cellStyle name="style1440410147913 2" xfId="1715" xr:uid="{C0CDB09E-F84D-4155-B707-5FFAD5E3689D}"/>
    <cellStyle name="style1440410147955" xfId="393" xr:uid="{F3D2DF62-67A5-48DB-90FA-54007968D180}"/>
    <cellStyle name="style1440410147955 2" xfId="1716" xr:uid="{84056863-2927-48C6-86A5-D7C0A1CAA099}"/>
    <cellStyle name="style1440410148001" xfId="394" xr:uid="{B80B1667-FC84-446D-9C5A-97546B4AB96A}"/>
    <cellStyle name="style1440410148001 2" xfId="1717" xr:uid="{62363414-D137-4FDC-BDEC-67D824E60907}"/>
    <cellStyle name="style1440410148055" xfId="395" xr:uid="{E20A0A22-0771-4582-80DB-ADB5FF3C76D0}"/>
    <cellStyle name="style1440410148055 2" xfId="1718" xr:uid="{85100709-9D22-40EB-8250-3515D695882C}"/>
    <cellStyle name="style1440410148103" xfId="396" xr:uid="{5DB27D87-1D04-4295-8843-0AE4E8AD9E4B}"/>
    <cellStyle name="style1440410148103 2" xfId="1719" xr:uid="{CD22B692-AEF5-4930-86BA-09066F8B3645}"/>
    <cellStyle name="style1440410148150" xfId="397" xr:uid="{0776E89A-1E89-449E-A6CC-867D43ED7ED4}"/>
    <cellStyle name="style1440410148150 2" xfId="1720" xr:uid="{6E3A1692-11C8-4188-842D-257FF528DC42}"/>
    <cellStyle name="style1440410148187" xfId="398" xr:uid="{F004DCB7-5694-4ACE-9050-B6F145BEC3E2}"/>
    <cellStyle name="style1440410148187 2" xfId="1721" xr:uid="{F679C5AC-A5DB-4281-B2BA-B79BAC12378D}"/>
    <cellStyle name="style1440410148235" xfId="399" xr:uid="{EF773B92-C11F-4CD0-ACEA-805FD8B94CCC}"/>
    <cellStyle name="style1440410148235 2" xfId="1722" xr:uid="{6BD38C19-F58F-47B9-B06F-19ADDCEE2B7D}"/>
    <cellStyle name="style1440410148270" xfId="400" xr:uid="{DA0F2AAD-5E4A-4E42-8C6C-55B3C57183AD}"/>
    <cellStyle name="style1440410148270 2" xfId="1723" xr:uid="{7D55D192-3115-41B4-9C68-BB1583367B6B}"/>
    <cellStyle name="style1440410148315" xfId="401" xr:uid="{04A1B4F9-C587-4D28-9975-31200CD8D0BA}"/>
    <cellStyle name="style1440410148315 2" xfId="1724" xr:uid="{1765FF36-28AA-46B8-A2AE-3ED25D897DC2}"/>
    <cellStyle name="style1440410148360" xfId="402" xr:uid="{4C002A9F-59B3-4D15-A0C5-CFC64D346C97}"/>
    <cellStyle name="style1440410148360 2" xfId="1725" xr:uid="{BC718C4D-170B-4A7A-A1D8-C50B1BAAA6C5}"/>
    <cellStyle name="style1440410148405" xfId="403" xr:uid="{A41DCCBC-7925-4F5A-8899-8CF55F9CEC12}"/>
    <cellStyle name="style1440410148405 2" xfId="1726" xr:uid="{B458A03C-7920-41C1-971A-8EA10A81F24C}"/>
    <cellStyle name="style1440410148440" xfId="404" xr:uid="{342A8BC1-11EA-49B1-BDC9-1546A778F17B}"/>
    <cellStyle name="style1440410148440 2" xfId="1727" xr:uid="{AFE54778-741D-439B-94EE-A35A349E55CC}"/>
    <cellStyle name="style1440410148475" xfId="405" xr:uid="{D4A1DD02-BEF5-4DD8-BB3D-88616208B63A}"/>
    <cellStyle name="style1440410148475 2" xfId="1728" xr:uid="{1CD3C2C0-8797-423B-B538-2535D2CE74AC}"/>
    <cellStyle name="style1440410148512" xfId="406" xr:uid="{00BC208A-537C-4833-92FC-54DEC82E1E12}"/>
    <cellStyle name="style1440410148512 2" xfId="1729" xr:uid="{A9181484-A4B5-4A8A-B9CF-2F83154AA735}"/>
    <cellStyle name="style1440410148624" xfId="407" xr:uid="{85942416-DF65-466C-B268-F59FD6C61802}"/>
    <cellStyle name="style1440410148624 2" xfId="1730" xr:uid="{31AEA688-1FBF-4E43-9414-EFF333C147C6}"/>
    <cellStyle name="style1440410148658" xfId="408" xr:uid="{2FE96671-A374-4445-B0ED-9E457F05FCCF}"/>
    <cellStyle name="style1440410148658 2" xfId="1731" xr:uid="{F751A81A-6DC4-4D22-9C30-4ED8D46F2229}"/>
    <cellStyle name="style1440410148707" xfId="409" xr:uid="{DA4BE0E6-F86F-419F-87A4-17920A0529F0}"/>
    <cellStyle name="style1440410148707 2" xfId="1732" xr:uid="{3E72AAB4-BE48-49BD-8F57-C8ACE59A5A68}"/>
    <cellStyle name="style1440410148750" xfId="410" xr:uid="{912BEB6E-23CA-4521-BB14-B21DE772295C}"/>
    <cellStyle name="style1440410148750 2" xfId="1733" xr:uid="{94DA8944-3642-42D2-A576-C8D5A0FFB341}"/>
    <cellStyle name="style1440410148786" xfId="411" xr:uid="{4BAA3FC7-3C6A-4A5A-98CF-8E399D9903AD}"/>
    <cellStyle name="style1440410148786 2" xfId="1734" xr:uid="{739EED23-620D-4D79-975E-1AC2663F982F}"/>
    <cellStyle name="style1448367159334" xfId="412" xr:uid="{55B80A9B-08EE-401C-B5E1-7C6CF65D35E9}"/>
    <cellStyle name="style1448367159411" xfId="413" xr:uid="{0A9F7414-9503-41BD-B9D7-0130B1841E92}"/>
    <cellStyle name="style1448367159465" xfId="414" xr:uid="{7D4ACBC0-0AB0-4CBE-8AB4-957CEB073CEA}"/>
    <cellStyle name="style1448367159518" xfId="415" xr:uid="{8BE6DF02-BE27-4378-A72C-FB1A0F9357BC}"/>
    <cellStyle name="style1448367159586" xfId="416" xr:uid="{A7EF6B76-F4DD-4920-A0E6-62B291B6DF26}"/>
    <cellStyle name="style1448367159649" xfId="417" xr:uid="{89BE44CC-77FC-4A0D-B3EB-C083C7801A09}"/>
    <cellStyle name="style1448367159713" xfId="418" xr:uid="{EEAF194A-2604-4752-A68D-162E94C60AC7}"/>
    <cellStyle name="style1448367159782" xfId="419" xr:uid="{EEA6580C-0586-4C19-9F2F-FAA73F41235F}"/>
    <cellStyle name="style1448367159840" xfId="420" xr:uid="{DFD80DD8-79BE-483F-A297-25A4BD318CFE}"/>
    <cellStyle name="style1448367159894" xfId="421" xr:uid="{01E9E5BB-AFB3-4D8B-A4A1-3E248A008DB9}"/>
    <cellStyle name="style1448367159950" xfId="422" xr:uid="{39BE782A-47AB-4E72-90EE-8C4D733959FA}"/>
    <cellStyle name="style1448367160013" xfId="423" xr:uid="{4D02A6E9-30CD-4A84-B5D2-4D22AE6F00F0}"/>
    <cellStyle name="style1448367160062" xfId="424" xr:uid="{9B64FAA4-F2EE-4D84-A882-C10CA1494CAB}"/>
    <cellStyle name="style1448367160211" xfId="425" xr:uid="{650B467A-1A6F-4F8E-A0C9-7B2DEC0C9140}"/>
    <cellStyle name="style1448367160273" xfId="426" xr:uid="{EC3AAB7F-795C-46E5-861F-F664BB317907}"/>
    <cellStyle name="style1448367160320" xfId="427" xr:uid="{BCEB876B-55BB-47D9-AA99-CCB4205E95ED}"/>
    <cellStyle name="style1448367160375" xfId="428" xr:uid="{459CD390-4C74-41BE-B13B-51644AE65C80}"/>
    <cellStyle name="style1448367160427" xfId="429" xr:uid="{2A695A81-D5A0-4D5E-8BCD-4ECC87C11FF6}"/>
    <cellStyle name="style1448367160479" xfId="430" xr:uid="{B0F495DE-CFDA-424D-BEB5-85DF3EC61DD4}"/>
    <cellStyle name="style1448367160535" xfId="431" xr:uid="{AAF803E9-59A7-4A77-81AA-96FA255158A4}"/>
    <cellStyle name="style1448367160613" xfId="432" xr:uid="{E58D9FE7-F939-4542-AD1A-39F84537F7BB}"/>
    <cellStyle name="style1448367160669" xfId="433" xr:uid="{680C0F23-A461-4140-B19A-941CC29005C1}"/>
    <cellStyle name="style1448367160731" xfId="434" xr:uid="{529CE704-FD6C-433E-AD4D-5D79709179F7}"/>
    <cellStyle name="style1448367160789" xfId="435" xr:uid="{DE61C942-1D6B-42FE-ADC6-CDD93C476774}"/>
    <cellStyle name="style1448367160845" xfId="436" xr:uid="{DD3DAF04-67C1-443A-B4AB-11AB07DABAFD}"/>
    <cellStyle name="style1448367160891" xfId="437" xr:uid="{E9F718A7-AF97-4782-8EB5-2992610DFCB5}"/>
    <cellStyle name="style1448367160942" xfId="438" xr:uid="{8EB145DE-82D2-44F8-97EA-2040D344F73D}"/>
    <cellStyle name="style1448367160982" xfId="439" xr:uid="{3AAC131F-902C-4BB9-B95E-18A6C67CF1F5}"/>
    <cellStyle name="style1448367161033" xfId="440" xr:uid="{AE2F81B3-E7AA-4693-A687-3ED0BD2C77D7}"/>
    <cellStyle name="style1448367161082" xfId="441" xr:uid="{0DD17903-DB91-4317-93B1-96AF8C54D041}"/>
    <cellStyle name="style1448367161198" xfId="442" xr:uid="{50736353-1648-4164-BB78-99CC9EB53855}"/>
    <cellStyle name="style1448367161240" xfId="443" xr:uid="{0F0BDF08-8873-4A9F-BABC-952039DC3BF3}"/>
    <cellStyle name="style1448367161279" xfId="444" xr:uid="{F0D9F9DB-5C78-45B0-887F-57AF0A0E927A}"/>
    <cellStyle name="style1448367161319" xfId="445" xr:uid="{2F7E01C8-9777-4519-B231-D104968F963B}"/>
    <cellStyle name="style1448367161368" xfId="446" xr:uid="{168AA796-7554-4A2E-9B34-D1C9D460193E}"/>
    <cellStyle name="style1448367161406" xfId="447" xr:uid="{C0308EDF-9B0B-4BDA-8EFD-28D3392E2AA7}"/>
    <cellStyle name="style1448367161478" xfId="448" xr:uid="{A6D8A48F-7C57-484A-A5DE-42E7FAC627A5}"/>
    <cellStyle name="style1448367161529" xfId="449" xr:uid="{F75C7181-5E94-495B-9ED1-512416BFACA3}"/>
    <cellStyle name="style1448367161569" xfId="450" xr:uid="{32C13FF5-EFF8-4965-B7EC-EE5B9A147B96}"/>
    <cellStyle name="style1448368022883" xfId="451" xr:uid="{9DF4F5B4-CF81-4C30-9DC1-80A3ADA793AE}"/>
    <cellStyle name="style1448368022968" xfId="452" xr:uid="{9E02F25F-3CEB-4202-8BCD-3A15D75B6CD8}"/>
    <cellStyle name="style1448368023032" xfId="453" xr:uid="{C96AC5AD-A0BF-4D9D-920D-1F71C6EF5FDA}"/>
    <cellStyle name="style1448368023085" xfId="454" xr:uid="{10AA08FA-BBD4-49E5-904A-7E61FB65895C}"/>
    <cellStyle name="style1448368023147" xfId="455" xr:uid="{7B80F727-1AD1-47C6-AFB2-51C92E35A2F5}"/>
    <cellStyle name="style1448368023206" xfId="456" xr:uid="{C0A1F3DC-F4DB-41B8-8B60-7DCA63D7B81F}"/>
    <cellStyle name="style1448368023262" xfId="457" xr:uid="{713232EF-1410-40A3-9712-B9C18655DAF2}"/>
    <cellStyle name="style1448368023324" xfId="458" xr:uid="{B307A444-22F9-4BC0-A19E-0776DBD57872}"/>
    <cellStyle name="style1448368023382" xfId="459" xr:uid="{6E5F86F7-6E87-4868-8854-F0EA50718DF9}"/>
    <cellStyle name="style1448368023438" xfId="460" xr:uid="{9037AD3C-B954-4FAE-8147-276F96A74F53}"/>
    <cellStyle name="style1448368023495" xfId="461" xr:uid="{1B487004-187E-4326-95B6-C00F393954BB}"/>
    <cellStyle name="style1448368023554" xfId="462" xr:uid="{0C8D4E83-7573-4551-8679-A7D241C44A0E}"/>
    <cellStyle name="style1448368023671" xfId="463" xr:uid="{4E5B5624-C813-4500-AA54-9D11DD8CD7F2}"/>
    <cellStyle name="style1448368023715" xfId="464" xr:uid="{E16FCE87-6E68-4140-85C5-6B595E1C40D9}"/>
    <cellStyle name="style1448368023772" xfId="465" xr:uid="{C4E1D24D-E467-4106-948A-FA0C2B2FB9A8}"/>
    <cellStyle name="style1448368023817" xfId="466" xr:uid="{90EA7D93-8022-4BCE-8465-7EC0DD00BFF5}"/>
    <cellStyle name="style1448368023873" xfId="467" xr:uid="{8834DB8F-BB5D-43A7-9D3A-A58B5CADBE90}"/>
    <cellStyle name="style1448368023926" xfId="468" xr:uid="{CB28B20A-2AA9-43B8-8211-958E66161C0B}"/>
    <cellStyle name="style1448368023980" xfId="469" xr:uid="{569677F0-67E2-43C6-8807-E14982CF3939}"/>
    <cellStyle name="style1448368024050" xfId="470" xr:uid="{DE1F598D-D3B8-4D80-A4E8-937AD07E44D3}"/>
    <cellStyle name="style1448368024106" xfId="471" xr:uid="{F94B9C8E-ADDA-4367-96CB-B5363B583905}"/>
    <cellStyle name="style1448368024161" xfId="472" xr:uid="{8ED1E687-E838-4B22-A75D-1CEA317B0D5F}"/>
    <cellStyle name="style1448368024214" xfId="473" xr:uid="{68278B47-7B15-4EA7-846B-AFB18762CE19}"/>
    <cellStyle name="style1448368024275" xfId="474" xr:uid="{C4EB0917-AAD9-4059-98C9-12D351A6D1AF}"/>
    <cellStyle name="style1448368024334" xfId="475" xr:uid="{06D8988D-B857-479E-814F-DCCC32D7CF2C}"/>
    <cellStyle name="style1448368024379" xfId="476" xr:uid="{B64AEE16-8BE0-4E7C-AB55-54AFF4DB3EF0}"/>
    <cellStyle name="style1448368024443" xfId="477" xr:uid="{67B0DE25-9570-4804-9FF6-DD258251D3EC}"/>
    <cellStyle name="style1448368024484" xfId="478" xr:uid="{F1B4F281-5E91-48EB-A91B-12CD9F15BFE5}"/>
    <cellStyle name="style1448368024536" xfId="479" xr:uid="{81A76E26-1230-4263-820F-E87776D547DA}"/>
    <cellStyle name="style1448368024662" xfId="480" xr:uid="{07704085-1297-4CC0-A955-8DDBDD864526}"/>
    <cellStyle name="style1448368024713" xfId="481" xr:uid="{420B3A13-AEA5-49F2-BD63-CA7825994273}"/>
    <cellStyle name="style1448368024758" xfId="482" xr:uid="{846B1CB1-D65D-4843-885F-5B654875FD87}"/>
    <cellStyle name="style1448368024803" xfId="483" xr:uid="{10183C63-7F0D-4F29-B08F-68D66FDB588A}"/>
    <cellStyle name="style1448368024845" xfId="484" xr:uid="{79B87F7F-76BB-4FE6-9F3F-36D05208DB0F}"/>
    <cellStyle name="style1448368024895" xfId="485" xr:uid="{16DF1F62-751C-4E8C-8AC4-90F3110DF095}"/>
    <cellStyle name="style1448368024934" xfId="486" xr:uid="{7AEB66D9-D30E-4031-B2DE-A4B45EA2AA28}"/>
    <cellStyle name="style1448368025009" xfId="487" xr:uid="{80F43A66-D6D8-42EC-9F09-A1F789FB5467}"/>
    <cellStyle name="style1448368025056" xfId="488" xr:uid="{D3F51E72-85A5-49CB-B8F3-7DB57C553C6D}"/>
    <cellStyle name="style1448368025092" xfId="489" xr:uid="{C203F4D3-CF34-4863-8287-A7538BE93B23}"/>
    <cellStyle name="style1456217380155" xfId="490" xr:uid="{EA66C62B-8767-450E-9F1E-F82A838A4168}"/>
    <cellStyle name="style1456217380256" xfId="491" xr:uid="{4E42D71D-07E1-4929-BB8F-75F86959D8FB}"/>
    <cellStyle name="style1456217380317" xfId="492" xr:uid="{92EA0C62-D544-48A0-B5B1-6092739B3560}"/>
    <cellStyle name="style1456217380371" xfId="493" xr:uid="{15304725-EC89-4765-9EC5-DF60BFBCDB29}"/>
    <cellStyle name="style1456217380441" xfId="494" xr:uid="{5238CD6B-ED58-421D-8E66-BE4A2FF2348D}"/>
    <cellStyle name="style1456217380512" xfId="495" xr:uid="{09907AEF-1F77-465F-B86E-6EE462C85770}"/>
    <cellStyle name="style1456217380568" xfId="496" xr:uid="{B0F3C507-8734-416F-AB90-C0ACBC123247}"/>
    <cellStyle name="style1456217380631" xfId="497" xr:uid="{E9B0F7AF-70F1-400B-885D-E88059D270E9}"/>
    <cellStyle name="style1456217380688" xfId="498" xr:uid="{33511BF9-0A4A-4DAA-9FF6-3302C479A77C}"/>
    <cellStyle name="style1456217380742" xfId="499" xr:uid="{F9E2F938-D863-4BDC-AB6D-F6A795491776}"/>
    <cellStyle name="style1456217380795" xfId="500" xr:uid="{D2C7D0E8-3964-4A9A-8DC5-6DDE9B99DF95}"/>
    <cellStyle name="style1456217380854" xfId="501" xr:uid="{D481C3B9-202B-41F8-91EA-A3DD88F49245}"/>
    <cellStyle name="style1456217380909" xfId="502" xr:uid="{49E0755C-DE88-4C49-82CC-13963FC1FD69}"/>
    <cellStyle name="style1456217380956" xfId="503" xr:uid="{01B86ECB-B7A8-45FF-A1CA-4E3F16B3E457}"/>
    <cellStyle name="style1456217381014" xfId="504" xr:uid="{1E5652FD-50B4-4363-97D3-BCB1AF8DFD1F}"/>
    <cellStyle name="style1456217381059" xfId="505" xr:uid="{E59D4B8B-6410-4F88-9419-AAE5717A4DAC}"/>
    <cellStyle name="style1456217381115" xfId="506" xr:uid="{9DB7925A-190D-4183-A79E-7713EFCE19BE}"/>
    <cellStyle name="style1456217381245" xfId="507" xr:uid="{2419A6B3-5E61-4D2E-B4BA-07B1CD899611}"/>
    <cellStyle name="style1456217381298" xfId="508" xr:uid="{7E0498CC-E32C-4670-B2AE-090E6C2899B9}"/>
    <cellStyle name="style1456217381355" xfId="509" xr:uid="{D7E88AAF-18DC-43D3-A971-51651D2DCBB7}"/>
    <cellStyle name="style1456217381409" xfId="510" xr:uid="{7CAB2E94-5470-4269-94B3-DE010244BE87}"/>
    <cellStyle name="style1456217381466" xfId="511" xr:uid="{BC7DE26A-EEE5-4FFC-AAB9-25241C099B48}"/>
    <cellStyle name="style1456217381520" xfId="512" xr:uid="{B452F547-5B5A-4A3F-AE43-5AEC07B6B471}"/>
    <cellStyle name="style1456217381582" xfId="513" xr:uid="{B5B13068-CCC1-40A1-B88A-12C5A2D7D3AB}"/>
    <cellStyle name="style1456217381640" xfId="514" xr:uid="{4BB8714A-5B1A-45E1-B0B1-7A9EA76F2B26}"/>
    <cellStyle name="style1456217381688" xfId="515" xr:uid="{2A5DF387-F17A-4E55-A066-35EDDA2B4631}"/>
    <cellStyle name="style1456217381743" xfId="516" xr:uid="{47A394F4-C30E-4F23-8271-E4941F3C3789}"/>
    <cellStyle name="style1456217381786" xfId="517" xr:uid="{26F179D2-9803-452A-882E-0463D5568989}"/>
    <cellStyle name="style1456217381841" xfId="518" xr:uid="{F16EAFA0-B8B8-43EF-BDD0-F8F508CB2A6A}"/>
    <cellStyle name="style1456217381894" xfId="519" xr:uid="{5249C73F-312B-484E-AE7C-FC229D2EB702}"/>
    <cellStyle name="style1456217381947" xfId="520" xr:uid="{D9316B83-3654-432D-9302-ACEE397C8C04}"/>
    <cellStyle name="style1456217381992" xfId="521" xr:uid="{45B37AA8-D70E-4287-87EC-E56F319D5963}"/>
    <cellStyle name="style1456217382033" xfId="522" xr:uid="{75FA262F-B627-4761-9E11-E1391E7B6BEC}"/>
    <cellStyle name="style1456217382078" xfId="523" xr:uid="{2813EED7-03BE-4B61-9557-23613D2CE577}"/>
    <cellStyle name="style1456217382130" xfId="524" xr:uid="{A5E6BDD6-46FE-4616-A41D-C841495EC464}"/>
    <cellStyle name="style1456217382172" xfId="525" xr:uid="{DFD544AF-B70C-4AB8-AC2D-CE18B0EC62D7}"/>
    <cellStyle name="style1456217382262" xfId="526" xr:uid="{94CB6A2A-0489-4970-8212-B9E4BABEECA0}"/>
    <cellStyle name="style1456217382312" xfId="527" xr:uid="{46D4FF5D-D81F-4B57-AB14-A78C025B332B}"/>
    <cellStyle name="style1456217382350" xfId="528" xr:uid="{D07E7B7B-3101-4F6B-98AD-1251355B2C47}"/>
    <cellStyle name="style1461879140443" xfId="1735" xr:uid="{5FF498EC-EDC2-4D07-8C86-14CCD5BCDD7A}"/>
    <cellStyle name="style1461879140677" xfId="1736" xr:uid="{463A925C-CBF0-4823-94DC-01A5EFA34A7B}"/>
    <cellStyle name="style1461879140900" xfId="1737" xr:uid="{440CCC40-2C24-4A39-AD53-0E6BFE1D1868}"/>
    <cellStyle name="style1462482255118" xfId="1738" xr:uid="{33C93351-7572-4BDE-957B-9405DC59068D}"/>
    <cellStyle name="style1462482255414" xfId="1739" xr:uid="{20819F5F-7190-48A6-BE1E-B02FD26FF7D2}"/>
    <cellStyle name="style1463396043414" xfId="1740" xr:uid="{A63EE30A-4974-4EF1-B80E-7017C4EB2891}"/>
    <cellStyle name="style1463396044643" xfId="1741" xr:uid="{AD0EC66B-D5D8-45C5-8D1E-4DCA6A3AC630}"/>
    <cellStyle name="style1463396044721" xfId="1742" xr:uid="{2C2D2B4F-AA60-4ABD-98AB-784DF8AD6BD7}"/>
    <cellStyle name="style1463396044813" xfId="1743" xr:uid="{370D9537-D74A-4C2F-A553-BE8DEEBD9578}"/>
    <cellStyle name="style1463396044895" xfId="1744" xr:uid="{7BBBF175-2F2F-4EC1-88CC-307B0D1A35B4}"/>
    <cellStyle name="style1463396045053" xfId="1745" xr:uid="{AA2E9079-876E-4444-A850-45E04F682A17}"/>
    <cellStyle name="style1463396045130" xfId="1746" xr:uid="{E80DF104-1E91-40ED-9413-9ED3610D744D}"/>
    <cellStyle name="style1463396045292" xfId="1747" xr:uid="{351710B1-BC3C-4589-BC09-23A7141B9855}"/>
    <cellStyle name="style1463396045354" xfId="1748" xr:uid="{5CC3F5EA-3B3E-4FB5-96C4-436432DB871C}"/>
    <cellStyle name="style1463404518845" xfId="1749" xr:uid="{304F612C-F597-4E5B-A2EE-BF574500CFBA}"/>
    <cellStyle name="style1463404519416" xfId="1750" xr:uid="{A8F275AC-9C81-4268-8DA7-D8B94D324012}"/>
    <cellStyle name="style1463404519624" xfId="1751" xr:uid="{913EA857-D829-4DE5-A7CD-E12513D1C2AE}"/>
    <cellStyle name="style1463404519699" xfId="1752" xr:uid="{C103F304-4711-43FC-A417-766493D3F4D8}"/>
    <cellStyle name="style1463404520060" xfId="1753" xr:uid="{0ED43E5A-2667-49AC-A96A-B51A494B8063}"/>
    <cellStyle name="style1473068834915" xfId="1754" xr:uid="{9D0E9ED4-5949-41BA-A4C8-D42727D032DE}"/>
    <cellStyle name="style1473068835009" xfId="1755" xr:uid="{5BF81E2B-AE8C-4A4E-8D84-C07FFAEAA72B}"/>
    <cellStyle name="style1473068835087" xfId="1756" xr:uid="{D0758C2A-097F-4A5B-9894-2B9EAB1AE5BF}"/>
    <cellStyle name="style1473068835212" xfId="1757" xr:uid="{F69238C8-AFF6-44E2-85C5-4083F4FECDFD}"/>
    <cellStyle name="style1473068835274" xfId="1758" xr:uid="{1F76B014-47B4-49BA-8491-08201A4E0B35}"/>
    <cellStyle name="style1473068835368" xfId="1759" xr:uid="{8F0BE309-B9C0-40C6-B495-2CCB42933EFB}"/>
    <cellStyle name="style1473068835446" xfId="1760" xr:uid="{1EAB1FE7-607B-44F5-91B5-AE4029C50464}"/>
    <cellStyle name="style1473068835524" xfId="1761" xr:uid="{E46B6737-3E33-410A-97D5-2A1CE9E68312}"/>
    <cellStyle name="style1473068835617" xfId="1762" xr:uid="{3CEEBA7C-58B9-4F0A-A57D-01B12050D3EC}"/>
    <cellStyle name="style1473068835695" xfId="1763" xr:uid="{AC1D2D4C-3175-471A-8BC3-105AE73FA062}"/>
    <cellStyle name="style1473068835773" xfId="1764" xr:uid="{F908356F-1C46-4147-A3DA-8E090D10A796}"/>
    <cellStyle name="style1473068835851" xfId="1765" xr:uid="{F3F9BB34-A4E5-4A17-A124-850720F3E544}"/>
    <cellStyle name="style1473068835914" xfId="1766" xr:uid="{56EF2B72-A456-4626-BF94-CFB59BB210C4}"/>
    <cellStyle name="style1473068835976" xfId="1767" xr:uid="{F673DE02-FACB-47AA-92DF-75C21979DCD0}"/>
    <cellStyle name="style1473068836039" xfId="1768" xr:uid="{81E13264-39C8-4E96-AA0A-A3CE837EEEB2}"/>
    <cellStyle name="style1473068836117" xfId="1769" xr:uid="{50FDA7C4-5C56-49FA-819F-FCF1DF739653}"/>
    <cellStyle name="style1473068836241" xfId="1770" xr:uid="{C39FF027-2E9D-490F-A19E-ACEF44ABF8D8}"/>
    <cellStyle name="style1473068836304" xfId="1771" xr:uid="{4B28F665-29B4-4626-94BB-EFE5B99842FE}"/>
    <cellStyle name="style1473068836382" xfId="1772" xr:uid="{88783911-7C03-47E4-BC08-8C8AA453F040}"/>
    <cellStyle name="style1473068836460" xfId="1773" xr:uid="{F85513FC-A288-499B-86CF-699ECBF7583E}"/>
    <cellStyle name="style1473068836522" xfId="1774" xr:uid="{BE623014-FBAE-44E2-B4CD-F3C61E585665}"/>
    <cellStyle name="style1473068836631" xfId="1775" xr:uid="{67C5213D-EA88-4673-81B9-41F1F3717405}"/>
    <cellStyle name="style1473068836709" xfId="1776" xr:uid="{7F168B0F-B803-4FF6-A5C0-8CB2E73BCB4D}"/>
    <cellStyle name="style1473068836772" xfId="1777" xr:uid="{E819C10A-6C32-4B3B-B33F-BD293B239ADF}"/>
    <cellStyle name="style1473068836850" xfId="1778" xr:uid="{F51A58F5-C6A2-4AD6-89D3-8036176BC8AA}"/>
    <cellStyle name="style1473068836912" xfId="1779" xr:uid="{F346E4BD-C421-43BD-B9E2-FD8F37185A5B}"/>
    <cellStyle name="style1473068836975" xfId="1780" xr:uid="{21FBF5DA-6FC2-4B8C-9E4E-C0ECA59E1C20}"/>
    <cellStyle name="style1473068837037" xfId="1781" xr:uid="{95BE18D5-17DF-47A3-AA0E-C955DCC8966E}"/>
    <cellStyle name="style1473068837162" xfId="1782" xr:uid="{D6EA9692-EB6F-4649-9C55-A327A25C3BC8}"/>
    <cellStyle name="style1473068837240" xfId="1783" xr:uid="{BC651EC9-0660-40BB-847B-523B283C1526}"/>
    <cellStyle name="style1473068837302" xfId="1784" xr:uid="{47B53312-F665-4BEB-957F-C35E42097DE9}"/>
    <cellStyle name="style1473068837365" xfId="1785" xr:uid="{FD760673-A630-4BF5-9E37-6762AF28FB39}"/>
    <cellStyle name="style1473068837411" xfId="1786" xr:uid="{C5263A86-C97C-4B52-B353-9CD51F0A97FF}"/>
    <cellStyle name="style1473068837474" xfId="1787" xr:uid="{A8949226-AA77-4FA8-9164-2BCC2CB8FEA8}"/>
    <cellStyle name="style1473068837536" xfId="1788" xr:uid="{18D04B02-0017-424B-A354-A904DA6AB794}"/>
    <cellStyle name="style1473068837599" xfId="1789" xr:uid="{E16A463A-9CAE-40D3-8D75-4D01D93719BD}"/>
    <cellStyle name="style1473068837677" xfId="1790" xr:uid="{8CBE8CF0-B5BF-49B3-9074-458B07FF3BBC}"/>
    <cellStyle name="style1473068837755" xfId="1791" xr:uid="{E6D3FC8B-E7C0-4AB2-B1DC-FF1BE5C8A7B7}"/>
    <cellStyle name="style1473068837801" xfId="1792" xr:uid="{EBB6B46E-2317-4E10-A178-EB2645EC85B9}"/>
    <cellStyle name="style1495702137959" xfId="1793" xr:uid="{BC9DF665-08F5-4D64-B291-13227A8A2CBB}"/>
    <cellStyle name="style1495702139004" xfId="1794" xr:uid="{5D1CBD36-D106-4581-9FE9-3AA4DEA405A6}"/>
    <cellStyle name="style1495702139082" xfId="1795" xr:uid="{47BE0984-725C-4471-AB36-D05E81E935E4}"/>
    <cellStyle name="style1495702139238" xfId="1796" xr:uid="{D6D40E82-349F-4D19-B616-7D9B069F572A}"/>
    <cellStyle name="style1495702139316" xfId="1797" xr:uid="{66E0BA1C-9E44-4799-8AED-D3D85B2AE3B3}"/>
    <cellStyle name="style1495702139394" xfId="1798" xr:uid="{96E70902-6DF7-4E9C-A4A7-81E228DF7F7E}"/>
    <cellStyle name="style1495702139456" xfId="1799" xr:uid="{AE5157C3-77CA-43F2-B445-7606EC081185}"/>
    <cellStyle name="style1495702139534" xfId="1800" xr:uid="{12517514-129D-4614-B954-8BE963F81232}"/>
    <cellStyle name="style1495702139597" xfId="1801" xr:uid="{96E511EE-C6C4-41EE-B623-BEE10BDA5A1F}"/>
    <cellStyle name="style1495702139675" xfId="1802" xr:uid="{67EF67B6-BCBA-4A5F-8895-BDC1B980CE62}"/>
    <cellStyle name="style1495702139753" xfId="1803" xr:uid="{DA41501A-5C8E-4412-8F08-106C1A8BADC7}"/>
    <cellStyle name="style1495702139815" xfId="1804" xr:uid="{3A6A4637-A2C7-4673-885C-FE62AB8CB452}"/>
    <cellStyle name="style1495702139893" xfId="1805" xr:uid="{97C7B750-4B17-4410-BDE7-F37DB6484A21}"/>
    <cellStyle name="style1495702139971" xfId="1806" xr:uid="{D83E1B10-F83E-4F3E-9BF4-DC9E193F0298}"/>
    <cellStyle name="style1495702140049" xfId="1807" xr:uid="{42C0C5E0-EEC9-45A9-BE25-9640626C4047}"/>
    <cellStyle name="style1495702140112" xfId="1808" xr:uid="{400FDF40-1D21-4A96-8C9B-8ED30A0411E5}"/>
    <cellStyle name="style1495702140205" xfId="1809" xr:uid="{B4738242-BDAA-4392-951A-C6E6554EFA4F}"/>
    <cellStyle name="style1495702140268" xfId="1810" xr:uid="{E542F755-1C1E-44EF-9F69-4CC0CB327B8F}"/>
    <cellStyle name="style1495702140424" xfId="1811" xr:uid="{4637C530-B754-4711-9058-737593B43810}"/>
    <cellStyle name="style1495702140502" xfId="1812" xr:uid="{C3E6E96B-20CF-4868-9CC0-2A0DCEC029E7}"/>
    <cellStyle name="style1495716497825" xfId="1813" xr:uid="{F0FBE726-5A08-4CFE-8909-65D1E61F70DD}"/>
    <cellStyle name="style1495716498855" xfId="1814" xr:uid="{3EF8B0A3-52B0-400C-9FCC-E7BB4A61FEB3}"/>
    <cellStyle name="style1495716498949" xfId="1815" xr:uid="{5B0563E0-9C5E-413D-BC0D-3C17831DDD7A}"/>
    <cellStyle name="style1495716499027" xfId="1816" xr:uid="{47061443-7E14-4022-8214-C8393B604D5F}"/>
    <cellStyle name="style1495716499089" xfId="1817" xr:uid="{74A41761-EC75-490F-950B-4BDFDB1C8137}"/>
    <cellStyle name="style1495716499167" xfId="1818" xr:uid="{CC20913B-B281-42A1-8308-30E4955A6820}"/>
    <cellStyle name="style1495716499229" xfId="1819" xr:uid="{81996E97-C2BB-40DA-B411-F75ADC3F1433}"/>
    <cellStyle name="style1495716499354" xfId="1820" xr:uid="{E006A071-F314-4303-9AFF-5EA5BCBB2E3F}"/>
    <cellStyle name="style1495716499417" xfId="1821" xr:uid="{AFE2EB3E-1CC1-4112-81FB-22806259FAD1}"/>
    <cellStyle name="style1495716499495" xfId="1822" xr:uid="{4BC7FB72-1696-4996-884C-8ACA8FA59002}"/>
    <cellStyle name="style1495716499557" xfId="1823" xr:uid="{0CEEBB67-DFB2-4B12-BA62-9751C9C276E7}"/>
    <cellStyle name="style1495716499697" xfId="1824" xr:uid="{37E40450-3200-488B-8175-A067EE118CCF}"/>
    <cellStyle name="style1495716499775" xfId="1825" xr:uid="{A39A11D7-1D86-4D07-A81F-0F899D2D2EFD}"/>
    <cellStyle name="style1587720972163" xfId="2097" xr:uid="{CDD4511C-EFF6-4C93-B602-2F603D9D74AB}"/>
    <cellStyle name="style1587724379325" xfId="2093" xr:uid="{704D586C-8403-485F-BF3A-377761AAA6F2}"/>
    <cellStyle name="style1588244162561" xfId="2098" xr:uid="{CD1898E1-0A8B-4F07-860B-74EAC2CC9689}"/>
    <cellStyle name="style1594037606697" xfId="2103" xr:uid="{2A9CDB12-D75C-404F-9675-33414CC0AB5B}"/>
    <cellStyle name="style1594644606434" xfId="2104" xr:uid="{322926EA-5B09-415C-BA73-0518672EE688}"/>
    <cellStyle name="style1594644606528" xfId="2105" xr:uid="{31AB9B30-A1F7-45D6-89D0-51B3828FD9B2}"/>
    <cellStyle name="style1594644608567" xfId="2106" xr:uid="{26801CEE-EC31-4CA5-A898-0CCBB4B29348}"/>
    <cellStyle name="style1595850965424" xfId="2393" xr:uid="{73A33C23-3CA6-4DB1-B135-78A145AFFEC0}"/>
    <cellStyle name="style1595850965528" xfId="2398" xr:uid="{A7184EF1-1844-4976-BB83-53099C4C64FB}"/>
    <cellStyle name="style1595850987749" xfId="2394" xr:uid="{ED08EEF3-A6D8-4826-90BA-D98197E8FB32}"/>
    <cellStyle name="style1595850987847" xfId="2395" xr:uid="{61F5F084-E370-4DA2-BEC6-9E92A31D0C01}"/>
    <cellStyle name="style1595850987956" xfId="2396" xr:uid="{4345242C-F83C-4CDE-B4BC-C3E4657A7401}"/>
    <cellStyle name="style1595850988054" xfId="2397" xr:uid="{F57488DC-9B9B-4F6C-9470-2BEF01D9181D}"/>
    <cellStyle name="style1605688346864" xfId="2236" xr:uid="{F9E79927-11D7-43C6-B3E7-44BA964047CF}"/>
    <cellStyle name="style1605688346913" xfId="2238" xr:uid="{216ADEFE-832E-4874-A1C0-7ADB47A98A91}"/>
    <cellStyle name="style1605688346957" xfId="2240" xr:uid="{471E4B36-FE16-4F74-8AF7-5B9A90614F0B}"/>
    <cellStyle name="style1605688347196" xfId="2237" xr:uid="{460C8552-EF1D-4004-9FAF-955435938908}"/>
    <cellStyle name="style1605688347240" xfId="2239" xr:uid="{668291B4-17BD-47C9-B3B4-43D9C97C0808}"/>
    <cellStyle name="style1605688347306" xfId="2241" xr:uid="{F61D6DF4-7712-4A58-BAA9-4606D09BF892}"/>
    <cellStyle name="style1605689470815" xfId="2131" xr:uid="{9D718D3E-7D36-4448-AD8A-92B8C6727F82}"/>
    <cellStyle name="style1605689470897" xfId="2132" xr:uid="{33C899C1-BA61-4AFB-8A44-CD95FEBF5F19}"/>
    <cellStyle name="style1605689472625" xfId="2133" xr:uid="{6866D086-A985-452D-905E-C0B97E7CB738}"/>
    <cellStyle name="style1605701416372" xfId="2242" xr:uid="{59398433-6DA8-4C17-B5F8-E80B43C28729}"/>
    <cellStyle name="style1605701416405" xfId="2244" xr:uid="{E8B920EA-46A8-451F-9344-C85733A66633}"/>
    <cellStyle name="style1605701416440" xfId="2246" xr:uid="{8E98E427-CE84-438E-89C0-B174883DC127}"/>
    <cellStyle name="style1605701416580" xfId="2243" xr:uid="{863F9A77-C298-4D11-AFD9-F53BF73A0F6F}"/>
    <cellStyle name="style1605701416613" xfId="2245" xr:uid="{0FB4B113-87F5-49F7-8376-B03D9CD20267}"/>
    <cellStyle name="style1605701416645" xfId="2247" xr:uid="{69AA19A0-1AC3-404B-BAA3-BDC2824DD947}"/>
    <cellStyle name="style1605705110802" xfId="2250" xr:uid="{05CA48A0-668E-4E55-BE88-B786C142248A}"/>
    <cellStyle name="style1605705110847" xfId="2252" xr:uid="{F81DB4F3-6E2E-40F3-B787-17818F1586A0}"/>
    <cellStyle name="style1605705110892" xfId="2254" xr:uid="{050BC788-E47E-4A71-8522-2E1BE59D61C4}"/>
    <cellStyle name="style1605705111143" xfId="2251" xr:uid="{DA442EFE-C5B5-46FF-8490-904DB8863964}"/>
    <cellStyle name="style1605705111188" xfId="2253" xr:uid="{016E3AE1-0CEC-45C7-8618-F0B3A492DE07}"/>
    <cellStyle name="style1605705111237" xfId="2255" xr:uid="{93355C4F-F32E-4435-8693-4E5CDA2C4D8D}"/>
    <cellStyle name="style1605705111325" xfId="2256" xr:uid="{8EC4AD51-47D8-4ED5-88EF-75551B4EE213}"/>
    <cellStyle name="style1605705111362" xfId="2258" xr:uid="{521464A2-CA3B-49DF-930C-69D9418F3FB5}"/>
    <cellStyle name="style1605705111395" xfId="2260" xr:uid="{8314D3E5-FF55-4968-9863-D07FD00C91A5}"/>
    <cellStyle name="style1605705111545" xfId="2257" xr:uid="{10393738-524F-4053-A297-329624C0181C}"/>
    <cellStyle name="style1605705111582" xfId="2259" xr:uid="{A401AD93-BD2A-4247-906B-D468043AE70E}"/>
    <cellStyle name="style1605705111619" xfId="2261" xr:uid="{98E99E3F-5471-4D78-A22A-AB7F70A3532F}"/>
    <cellStyle name="style1605705121137" xfId="2248" xr:uid="{B28DF8E9-846D-4E0C-BBDE-14C295A2FCAE}"/>
    <cellStyle name="style1605705121311" xfId="2249" xr:uid="{7DB5C05C-B083-498D-BE2C-E693E95F9D7D}"/>
    <cellStyle name="style1609769842028" xfId="2167" xr:uid="{406CA28B-CE2C-4E9A-8C65-76EC43A95E50}"/>
    <cellStyle name="style1609769842117" xfId="2168" xr:uid="{4BC5EDF5-A385-429F-A74F-EC1BB219FEEF}"/>
    <cellStyle name="style1609769842234" xfId="2173" xr:uid="{9BFC3EB2-95AF-4E46-B2F6-29CB1F329A09}"/>
    <cellStyle name="style1609769842359" xfId="2169" xr:uid="{9168C05A-9074-4AB8-A39F-502B5F277023}"/>
    <cellStyle name="style1609769842461" xfId="2170" xr:uid="{A45A271C-CE07-4967-817E-D9EBB03D6475}"/>
    <cellStyle name="style1609769842747" xfId="2172" xr:uid="{E9D0E581-B855-4576-A837-F33830BBDC9D}"/>
    <cellStyle name="style1609769842859" xfId="2171" xr:uid="{8AA8D1E4-7022-4C12-B594-B85729852032}"/>
    <cellStyle name="style1609780663627" xfId="2204" xr:uid="{D4FAD41B-4DA5-4F9D-9E7D-F9275723122C}"/>
    <cellStyle name="style1609780663698" xfId="2205" xr:uid="{14153066-21A5-4F47-BEBB-319DC2184BE2}"/>
    <cellStyle name="style1609780663843" xfId="2203" xr:uid="{295A884A-0F2D-4190-8F3B-ABF199972BBA}"/>
    <cellStyle name="style1609780663912" xfId="2201" xr:uid="{7CEDF779-DBBD-410F-B980-1F6EAE0ABE43}"/>
    <cellStyle name="style1609780664118" xfId="2199" xr:uid="{4894CAB0-39B9-4B7F-8F69-0D6FE6F59206}"/>
    <cellStyle name="style1609780664187" xfId="2202" xr:uid="{A613D8C1-C818-4484-A1DE-A5F45AEE5B4B}"/>
    <cellStyle name="style1609780664537" xfId="2198" xr:uid="{7B5C1565-F0D8-47CC-A6D2-71CE96EFF6AB}"/>
    <cellStyle name="style1609780664592" xfId="2200" xr:uid="{84C530F2-5807-4FF1-B5EF-F91F4586B33A}"/>
    <cellStyle name="style1609780676437" xfId="2178" xr:uid="{61B15AF3-459E-4DEC-8E67-9068B39B9DFB}"/>
    <cellStyle name="style1609780676503" xfId="2179" xr:uid="{514E9EFF-059C-462A-9FF9-F6BFA3EFEE10}"/>
    <cellStyle name="style1609780676643" xfId="2180" xr:uid="{0F42D3D4-6C3C-4F09-861F-0DF0B2DD7876}"/>
    <cellStyle name="style1609780676711" xfId="2181" xr:uid="{E26AE26B-4AFB-4952-BD64-342E78FD9D82}"/>
    <cellStyle name="style1609780676922" xfId="2182" xr:uid="{ED180BA5-56F6-4416-895E-D36160128D00}"/>
    <cellStyle name="style1609780676992" xfId="2183" xr:uid="{94DEDE3C-2F95-4277-A652-3CF4B7AE2770}"/>
    <cellStyle name="style1609780677078" xfId="2184" xr:uid="{67AD2831-3560-424A-B873-CCA9B06CF4A4}"/>
    <cellStyle name="style1609780677130" xfId="2185" xr:uid="{53EA8DD6-F56E-41AC-A928-4F65C77BFE46}"/>
    <cellStyle name="style1609838327644" xfId="2186" xr:uid="{73DA8A45-8756-4C42-8E94-35E31E404205}"/>
    <cellStyle name="style1609838327790" xfId="2187" xr:uid="{891774FB-FDDE-4B46-8E4D-BA6B58D62DE4}"/>
    <cellStyle name="style1609838327931" xfId="2191" xr:uid="{8F0B7814-4AA9-4087-846D-D22CB3BE0978}"/>
    <cellStyle name="style1609838328090" xfId="2188" xr:uid="{1CEDC247-58A9-463C-AD8C-AF0F3FB9570B}"/>
    <cellStyle name="style1609838328178" xfId="2189" xr:uid="{557E39EF-E7CE-4913-AE12-9BC46478B650}"/>
    <cellStyle name="style1609838328269" xfId="2192" xr:uid="{39A76433-792F-419C-9B29-B983B54E7B93}"/>
    <cellStyle name="style1609838328668" xfId="2190" xr:uid="{36F3ED27-4143-494D-A835-C888E24A86DE}"/>
    <cellStyle name="style1609838338478" xfId="2194" xr:uid="{24C2B14A-E69A-43F9-9C44-BE0D20E51103}"/>
    <cellStyle name="style1609838338602" xfId="2195" xr:uid="{DE3FAA85-89CA-467B-81F1-97C5A8771C78}"/>
    <cellStyle name="style1609838338682" xfId="2197" xr:uid="{E8C5A86D-BC5C-4C3F-9ED7-52F2B5434DC8}"/>
    <cellStyle name="style1609838339288" xfId="2196" xr:uid="{7F53A19D-EBCC-4B40-A4BF-7B1C856DC62B}"/>
    <cellStyle name="style1609838385047" xfId="2174" xr:uid="{81479557-0FC8-406F-81D2-A64D5CCD4BB1}"/>
    <cellStyle name="style1609838385119" xfId="2175" xr:uid="{C761B67C-5172-4D13-A8C8-B5BF5218E432}"/>
    <cellStyle name="style1609838385511" xfId="2177" xr:uid="{2ABDEAB0-0D46-45B8-89B6-59748676D41D}"/>
    <cellStyle name="style1609838385578" xfId="2176" xr:uid="{EE3DC4FD-0113-4A90-84AE-9F2B7DA75900}"/>
    <cellStyle name="style1609838386627" xfId="2193" xr:uid="{9AB973B3-8AB3-499E-85BB-EF7A1149CA62}"/>
    <cellStyle name="style1609946755662" xfId="2206" xr:uid="{A52FD1B2-CF2D-438E-81A0-1FCF1ECFB5DB}"/>
    <cellStyle name="style1609946755737" xfId="2207" xr:uid="{220CE453-1707-42B5-A5A8-3886BA35417D}"/>
    <cellStyle name="style1609946755815" xfId="2208" xr:uid="{56BC3CC0-3BAF-4199-9951-C6924DE740AC}"/>
    <cellStyle name="style1609946755891" xfId="2210" xr:uid="{55017131-CE9B-4314-9580-F0A851D75A58}"/>
    <cellStyle name="style1609946755965" xfId="2211" xr:uid="{7E7198F5-4CE5-4F19-A188-C16D079726FA}"/>
    <cellStyle name="style1609946756047" xfId="2212" xr:uid="{0F916D2C-03F1-41E0-8A00-ED8EECB8D50F}"/>
    <cellStyle name="style1609946757459" xfId="2209" xr:uid="{DCF1410F-BAFC-4ADD-A8AE-F842E8B3BC01}"/>
    <cellStyle name="style1609946757517" xfId="2213" xr:uid="{8B20EFA4-2DF8-45E0-A64F-548F06C90BB9}"/>
    <cellStyle name="style1612191854094" xfId="2231" xr:uid="{C6A2B545-F6E9-4A3B-BE67-F4071B98B18C}"/>
    <cellStyle name="style1612191854147" xfId="2230" xr:uid="{85D7AB20-B422-4D4D-9F5A-F374D2EA8C84}"/>
    <cellStyle name="style1612191854190" xfId="2232" xr:uid="{11D5FEC6-5F89-455F-9DF3-4CE033AF4E89}"/>
    <cellStyle name="style1612191854316" xfId="2233" xr:uid="{6B328F84-4555-4175-B188-4CBF9D488C77}"/>
    <cellStyle name="style1612191854415" xfId="2234" xr:uid="{3C3095A9-4256-4043-BCD3-CF1209400E04}"/>
    <cellStyle name="style1619521656421" xfId="2748" xr:uid="{E3C35507-1731-4234-ABCA-866C2BF9A039}"/>
    <cellStyle name="style1619521656497" xfId="2749" xr:uid="{CF0A0C0E-9BE7-42E5-AD8E-51801C5F6619}"/>
    <cellStyle name="style1625493167895" xfId="2750" xr:uid="{99CF5124-4BB8-4A16-B6B2-1044F690838A}"/>
    <cellStyle name="style1625493167938" xfId="2751" xr:uid="{3A716A59-9803-4A69-958A-81001468823D}"/>
    <cellStyle name="style1625493167975" xfId="2752" xr:uid="{2B2C3D6B-BF9B-4E9C-AE7D-C147D041DA81}"/>
    <cellStyle name="style1625493168007" xfId="2753" xr:uid="{91B1DD48-35B9-4B6F-9D41-3EDEA408B832}"/>
    <cellStyle name="style1625493168045" xfId="2754" xr:uid="{108B46F5-8C57-4919-8CAF-7A082E6C7C25}"/>
    <cellStyle name="style1625493168084" xfId="2755" xr:uid="{F0C7FACA-DDEC-4B8F-9B09-C20CDCDD0464}"/>
    <cellStyle name="style1625493168121" xfId="2756" xr:uid="{A9F01B61-2DF9-48B2-BD2B-A9F65E3AD464}"/>
    <cellStyle name="style1625493168149" xfId="2757" xr:uid="{0C71E263-D391-457C-B80A-CB847EB05D8D}"/>
    <cellStyle name="style1627041515786" xfId="2028" xr:uid="{CA7D9060-0992-4F52-997E-53D64B02D2A0}"/>
    <cellStyle name="style1627041515906" xfId="2029" xr:uid="{98D3D352-D6AA-445C-ABAD-1843CCBF2B91}"/>
    <cellStyle name="style1627041516017" xfId="2027" xr:uid="{6BFB9B9C-45B8-434B-8169-AD064D06BEE4}"/>
    <cellStyle name="style1627041516118" xfId="2030" xr:uid="{33837ADD-20AE-473E-8BAB-82F749413133}"/>
    <cellStyle name="style1627041516221" xfId="2031" xr:uid="{D3EF2616-EF5B-4114-823D-E434923FFFC2}"/>
    <cellStyle name="style1627041516370" xfId="2032" xr:uid="{A7D1D1AB-6B91-4641-85B7-A90DD0EE5586}"/>
    <cellStyle name="style1627041516488" xfId="2033" xr:uid="{5FA5C9BE-63CC-47D2-AFF6-5EEBE5F40D8D}"/>
    <cellStyle name="style1627041516599" xfId="2034" xr:uid="{7FEE7A6E-B26F-40D9-B64E-3879A8C4065B}"/>
    <cellStyle name="style1627041516715" xfId="2035" xr:uid="{F220394B-A11F-4428-B773-9522081D3725}"/>
    <cellStyle name="style1627041516836" xfId="2036" xr:uid="{FF60A72B-677E-4473-8555-3E9D0EADF79A}"/>
    <cellStyle name="style1627041516950" xfId="2037" xr:uid="{1F4CC984-1A66-415F-9D13-5B939254B1A4}"/>
    <cellStyle name="style1627041517071" xfId="2038" xr:uid="{6E3C2AE3-2FF6-4F11-9569-9A57F01834F9}"/>
    <cellStyle name="style1627041517174" xfId="2039" xr:uid="{010A2C4B-B813-4B51-BFF5-FABCA4AA8D07}"/>
    <cellStyle name="style1627041517374" xfId="2040" xr:uid="{DBD8960C-6B12-4331-BE2C-A4A6409C0786}"/>
    <cellStyle name="style1627041517421" xfId="2045" xr:uid="{0FFC7557-A143-474F-8B95-8DE64D14250E}"/>
    <cellStyle name="style1627041517494" xfId="2046" xr:uid="{ED5B5E42-62ED-4B13-8C8D-6133F7AAD7DB}"/>
    <cellStyle name="style1627041517628" xfId="2051" xr:uid="{0375F52A-026B-4151-A86B-649F33ED798E}"/>
    <cellStyle name="style1627041517740" xfId="2052" xr:uid="{1B3D3D76-9283-4B8D-BA32-7FD24077DE43}"/>
    <cellStyle name="style1627041517862" xfId="2041" xr:uid="{EDFAE82C-84E1-48EA-9BC3-0875EA2BAD03}"/>
    <cellStyle name="style1627041517959" xfId="2042" xr:uid="{EC6B4712-6894-40D9-A38A-EA97E8FA1BF3}"/>
    <cellStyle name="style1627041518049" xfId="2043" xr:uid="{E075EDA3-F9E6-429F-B2FF-337DD7209CE3}"/>
    <cellStyle name="style1627041518102" xfId="2044" xr:uid="{77863C3B-BD55-4D0A-8AF1-E1F4930BFDE3}"/>
    <cellStyle name="style1627041518163" xfId="2047" xr:uid="{2E1A0953-2F4F-408C-9941-D28783097D1A}"/>
    <cellStyle name="style1627041518227" xfId="2048" xr:uid="{B148B1E8-F7E2-4986-A8BF-1CE094EE5408}"/>
    <cellStyle name="style1627041518319" xfId="2049" xr:uid="{7DA2A702-6E31-45CF-9781-187C342B5167}"/>
    <cellStyle name="style1627041518359" xfId="2050" xr:uid="{B520DDFF-00E7-46A3-BAB1-08D34596FE95}"/>
    <cellStyle name="style1627041518826" xfId="2053" xr:uid="{EAFB0A25-89C4-49EF-BC0E-F384DFAAF932}"/>
    <cellStyle name="style1627041518941" xfId="2054" xr:uid="{A9B219D8-DBDB-4DF0-A36B-97F6F571F4A6}"/>
    <cellStyle name="style1627041519067" xfId="2055" xr:uid="{1436DE58-CDAD-4C89-B0C9-9E79EC972998}"/>
    <cellStyle name="style1627041519135" xfId="2056" xr:uid="{2327D607-53E6-40FA-82B1-EE2AE8FBC6C1}"/>
    <cellStyle name="style1627041904145" xfId="2058" xr:uid="{617CE902-FA05-4915-8AE0-B13378324B7B}"/>
    <cellStyle name="style1627041904283" xfId="2059" xr:uid="{7F219A57-2C43-4406-A36F-A76FA83E4F3F}"/>
    <cellStyle name="style1627041904433" xfId="2057" xr:uid="{655751F6-A2FD-4BE7-BE5B-E9C0E32F852E}"/>
    <cellStyle name="style1627041904565" xfId="2060" xr:uid="{041DC8D0-EA8B-4074-B049-66B03F1BB73F}"/>
    <cellStyle name="style1627041904766" xfId="2061" xr:uid="{66542A31-72D8-41B7-AAEB-85E264275079}"/>
    <cellStyle name="style1627041904932" xfId="2062" xr:uid="{F98F7E0E-CA08-45D6-BCBD-1277AD50E519}"/>
    <cellStyle name="style1627041905123" xfId="2063" xr:uid="{8A0D5359-A5DB-474B-AFC7-0669AC177762}"/>
    <cellStyle name="style1627041905326" xfId="2064" xr:uid="{81FBE523-D65A-4BDC-A895-ABDEC18AB21C}"/>
    <cellStyle name="style1627041905469" xfId="2065" xr:uid="{1AEAAF4B-A9B9-49B6-8FA9-4410CCB6DA41}"/>
    <cellStyle name="style1627041905608" xfId="2066" xr:uid="{F5257FDE-E0CF-44F0-B45C-13037A8F3C5F}"/>
    <cellStyle name="style1627041905724" xfId="2067" xr:uid="{9E67DE0C-F018-4D2F-A25B-0D0712994A71}"/>
    <cellStyle name="style1627041905836" xfId="2068" xr:uid="{EF373547-5264-414D-B8E2-AF94FF7A41AC}"/>
    <cellStyle name="style1627041905975" xfId="2069" xr:uid="{590EEDC8-F40E-489F-A7B3-849F82D86F9A}"/>
    <cellStyle name="style1627041906222" xfId="2070" xr:uid="{1271F5DE-086F-4322-865D-9820BC5628F3}"/>
    <cellStyle name="style1627041906295" xfId="2075" xr:uid="{A9F37EA4-FC32-4D49-9EE3-4497DC76244E}"/>
    <cellStyle name="style1627041906391" xfId="2076" xr:uid="{A8E55859-2261-4C04-B351-BFF3F633769C}"/>
    <cellStyle name="style1627041906625" xfId="2081" xr:uid="{910CEF69-EC03-43F7-9984-79B83B967FEA}"/>
    <cellStyle name="style1627041906853" xfId="2082" xr:uid="{25A74C85-0D02-4FB2-84F1-776414076E1E}"/>
    <cellStyle name="style1627041906960" xfId="2071" xr:uid="{B76C2E53-F06C-418B-9264-4C7F7D127B23}"/>
    <cellStyle name="style1627041907109" xfId="2072" xr:uid="{104BB3AA-B81E-4F95-A044-E412D49999BA}"/>
    <cellStyle name="style1627041907324" xfId="2073" xr:uid="{049E1FE7-F1C8-4EE8-BCFE-85736C27DEA4}"/>
    <cellStyle name="style1627041907426" xfId="2074" xr:uid="{B0662CD2-13AC-420C-A05B-236B006F458B}"/>
    <cellStyle name="style1627041907528" xfId="2077" xr:uid="{3E8CD320-93BF-4B19-9B85-E081FCDAAB32}"/>
    <cellStyle name="style1627041907645" xfId="2078" xr:uid="{F1A4F627-E82D-4974-AB3D-AF70CDB2D8F5}"/>
    <cellStyle name="style1627041907878" xfId="2079" xr:uid="{1978BCBF-C2FC-46EA-BDDC-058629B5E88D}"/>
    <cellStyle name="style1627041908034" xfId="2080" xr:uid="{239C11D6-F1BB-42BD-9CA1-8CE13563C05A}"/>
    <cellStyle name="style1627041909324" xfId="2083" xr:uid="{2B1FAD8C-16D0-4D17-9543-366A81A94D30}"/>
    <cellStyle name="style1627041909435" xfId="2084" xr:uid="{257BC0B5-9EBB-410E-8530-F4DF9FBE83C6}"/>
    <cellStyle name="style1627041909655" xfId="2085" xr:uid="{328441EB-19C7-4666-9AF3-BA1CC122109F}"/>
    <cellStyle name="style1627041909786" xfId="2086" xr:uid="{DC0D3E16-F409-4E46-A42D-73F7024C4722}"/>
    <cellStyle name="style1686802185745" xfId="5428" xr:uid="{643BD3E7-1D78-4854-A3B0-FB5D2E0908E5}"/>
    <cellStyle name="style1686802185774" xfId="5429" xr:uid="{B3AC5355-FE90-4022-815F-372618C1C03D}"/>
    <cellStyle name="style1686802185810" xfId="5442" xr:uid="{427D8ECB-CAFF-4A95-8F00-D4DE187D75E8}"/>
    <cellStyle name="style1686802185842" xfId="5443" xr:uid="{8AC9F042-B13A-4C75-AB58-2DC56F42AFDE}"/>
    <cellStyle name="style1686802186050" xfId="5448" xr:uid="{73BBCCAB-6F20-45AD-8515-A70EAE357FA9}"/>
    <cellStyle name="style1686802186074" xfId="5449" xr:uid="{1ADAB8FA-2F5E-4F22-A10C-F4DB6EF0E080}"/>
    <cellStyle name="style1686802186100" xfId="5450" xr:uid="{8E46FEBE-8BC0-472E-910F-1539EBDD1B54}"/>
    <cellStyle name="style1686802186131" xfId="5451" xr:uid="{9551C03A-F401-46CA-8E6F-BBCF825DF4A8}"/>
    <cellStyle name="style1686802186164" xfId="5452" xr:uid="{05BE22E4-D785-4277-B7AC-F6E32C55707E}"/>
    <cellStyle name="style1686802186195" xfId="5455" xr:uid="{E7DF540B-038E-4864-9577-F02160DA99AD}"/>
    <cellStyle name="style1686802186229" xfId="5453" xr:uid="{3E3B4B53-4528-47D4-94C7-DD1DF065A2B1}"/>
    <cellStyle name="style1686802186262" xfId="5456" xr:uid="{0E29BCE6-B9D4-4886-A78F-56F66B85A197}"/>
    <cellStyle name="style1686802186296" xfId="5454" xr:uid="{202D75F4-0F4B-4527-A57F-C39414D6D671}"/>
    <cellStyle name="style1686802186331" xfId="5457" xr:uid="{9B262431-53D3-4D81-A9CE-37E5A0958063}"/>
    <cellStyle name="style1686802186403" xfId="5434" xr:uid="{8B07E149-BFC8-4D05-88D3-D89768B0D876}"/>
    <cellStyle name="style1686802186434" xfId="5422" xr:uid="{C6A52F18-DB96-4C18-9021-4E474CEA32CB}"/>
    <cellStyle name="style1686802186467" xfId="5423" xr:uid="{9FA6583F-8D7C-4C94-89C8-843014D9FB25}"/>
    <cellStyle name="style1686802186502" xfId="5435" xr:uid="{FAB39CC6-63D6-440D-BE78-3BD459B99DC2}"/>
    <cellStyle name="style1686802186545" xfId="5424" xr:uid="{0236AAAA-2E98-4AC9-AB2E-C38F422FD4B5}"/>
    <cellStyle name="style1686802186580" xfId="5425" xr:uid="{628B1A7D-4ACF-4302-A393-FD029CF26AEF}"/>
    <cellStyle name="style1686802186617" xfId="5426" xr:uid="{28B6705D-2810-4221-9981-F655B453AE22}"/>
    <cellStyle name="style1686802186641" xfId="5427" xr:uid="{9ED6A6E1-F270-4A7F-BFF8-8BAE95893956}"/>
    <cellStyle name="style1686802186677" xfId="5430" xr:uid="{9A461EA2-B5D2-4A8D-9D2D-25C43268CA0E}"/>
    <cellStyle name="style1686802186710" xfId="5431" xr:uid="{F1E523CC-45DB-4088-B86B-9D5CB5F048B8}"/>
    <cellStyle name="style1686802186741" xfId="5432" xr:uid="{F46D47E0-5A98-4D1C-9E1F-4876768E84BA}"/>
    <cellStyle name="style1686802186768" xfId="5433" xr:uid="{F44B246D-2DB0-4873-8BB1-9DBDD084B159}"/>
    <cellStyle name="style1686802186802" xfId="5436" xr:uid="{0245F3E0-9514-43B1-8BB8-D2A4F3658125}"/>
    <cellStyle name="style1686802186838" xfId="5437" xr:uid="{66DE5F30-DC9F-49C8-8DE0-0A78252C8BAD}"/>
    <cellStyle name="style1686802186873" xfId="5438" xr:uid="{BFF48E34-BD44-403D-B229-701EF18542FF}"/>
    <cellStyle name="style1686802186899" xfId="5439" xr:uid="{D1E83B59-7593-4BE6-A3BC-F1CD2D53C5FE}"/>
    <cellStyle name="style1686802186934" xfId="5440" xr:uid="{7F8B21BB-4B05-4FD3-AB70-04E65838CFC2}"/>
    <cellStyle name="style1686802186959" xfId="5441" xr:uid="{3B3A77A3-ADD0-40F2-82BA-C55FBFDD75BB}"/>
    <cellStyle name="style1686802186990" xfId="5444" xr:uid="{7265A805-D0BE-4614-82EE-200938622664}"/>
    <cellStyle name="style1686802187024" xfId="5445" xr:uid="{1007A069-332F-444C-AEE5-F7FF0A2163E1}"/>
    <cellStyle name="style1686802187062" xfId="5446" xr:uid="{EEA33E6E-B758-486E-8D89-240E8591067A}"/>
    <cellStyle name="style1686802187087" xfId="5447" xr:uid="{EC582F8B-105B-492D-9920-A9E8BB2D76D0}"/>
    <cellStyle name="Title 2" xfId="1826" xr:uid="{8D85779D-EC1F-44CB-8F25-37C075DFB778}"/>
    <cellStyle name="Title 2 2" xfId="1827" xr:uid="{FB83A70D-5256-4EFD-86C6-0ACDC5D0D7CC}"/>
    <cellStyle name="Total 2" xfId="1828" xr:uid="{3B1DE6A3-C7E5-451D-9D3A-47D0733E35E5}"/>
    <cellStyle name="Total 2 2" xfId="1829" xr:uid="{2BF094CA-263A-4ADB-85B7-919375C7C91E}"/>
    <cellStyle name="Total 2 2 2" xfId="3529" xr:uid="{1EF57F0E-9304-41EA-A249-4B20C70D999E}"/>
    <cellStyle name="Total 2 2 2 2" xfId="5607" xr:uid="{6FFC3D27-88A9-4D78-BFF6-7B833F2D085A}"/>
    <cellStyle name="Total 2 2 2 3" xfId="5634" xr:uid="{EB15B935-5EC4-4296-9489-8057FDD12151}"/>
    <cellStyle name="Total 2 2 2 4" xfId="5572" xr:uid="{34AC1C1A-5F89-4B7E-80CA-3D16558781DF}"/>
    <cellStyle name="Total 2 2 2 5" xfId="9637" xr:uid="{399CC928-F8B4-41A2-924F-28EB6ED6F9A4}"/>
    <cellStyle name="Total 2 2 3" xfId="4849" xr:uid="{44226675-E01C-4D59-8F7B-FFC411982956}"/>
    <cellStyle name="Total 2 2 3 2" xfId="5650" xr:uid="{26AFB121-F094-46F0-97E9-426EF79B175C}"/>
    <cellStyle name="Total 2 2 3 3" xfId="5658" xr:uid="{F83B379C-D14C-4E7D-AEE3-FE6D0156C9E9}"/>
    <cellStyle name="Total 2 2 3 4" xfId="5565" xr:uid="{10C93537-B251-42F2-ABF8-4334DD9CB01A}"/>
    <cellStyle name="Total 2 2 3 5" xfId="9652" xr:uid="{AA547BEE-E95F-45C8-B0D6-28EF7B092C2E}"/>
    <cellStyle name="Total 2 2 4" xfId="5551" xr:uid="{0155A527-BF2D-434C-A2C0-98556B716E49}"/>
    <cellStyle name="Total 2 2 5" xfId="5637" xr:uid="{3C2D78A7-DEAE-4438-90E3-29026D189C22}"/>
    <cellStyle name="Total 2 2 6" xfId="5661" xr:uid="{B8A77C4B-BDD7-4C10-AC6E-141BE3001F5B}"/>
    <cellStyle name="Total 2 2 7" xfId="9647" xr:uid="{63031B31-CE46-44DD-BA7E-D0034AA84CC5}"/>
    <cellStyle name="Total 2 3" xfId="3528" xr:uid="{14A563D2-7AC7-4CA5-B8B5-E0282E1471BF}"/>
    <cellStyle name="Total 2 3 2" xfId="5606" xr:uid="{66387213-1384-4449-ABAF-7180BCE4E1FC}"/>
    <cellStyle name="Total 2 3 3" xfId="5568" xr:uid="{1D80DF38-75A0-4355-8CC4-229A315A4F42}"/>
    <cellStyle name="Total 2 3 4" xfId="5583" xr:uid="{BBE7FAFF-9B8B-4678-91FF-79983480AFF1}"/>
    <cellStyle name="Total 2 3 5" xfId="9655" xr:uid="{5CCEDEBA-3B21-49F7-8DE1-B4A09252A9E1}"/>
    <cellStyle name="Total 2 4" xfId="4848" xr:uid="{7C6B33D9-3704-48FF-8057-017665289152}"/>
    <cellStyle name="Total 2 4 2" xfId="5649" xr:uid="{7BAEC4A0-7818-4714-875C-3DA113DDB8DD}"/>
    <cellStyle name="Total 2 4 3" xfId="5615" xr:uid="{EBEFDAE1-3FEF-4C3F-8F74-63C48144346D}"/>
    <cellStyle name="Total 2 4 4" xfId="5529" xr:uid="{319D7857-A732-4BE8-88A3-4AA8EEEB3EB4}"/>
    <cellStyle name="Total 2 4 5" xfId="9667" xr:uid="{2A16D8FD-A3CE-4080-9FFE-02160765888A}"/>
    <cellStyle name="Total 2 5" xfId="5550" xr:uid="{E8268E64-6C34-42C1-BBE5-0733F74A99F2}"/>
    <cellStyle name="Total 2 6" xfId="5553" xr:uid="{EC96D159-5890-4592-A6CF-D784228120D4}"/>
    <cellStyle name="Total 2 7" xfId="5656" xr:uid="{2F1BA020-8A15-49D0-8FAA-7C9DDCC246C9}"/>
    <cellStyle name="Total 2 8" xfId="9661" xr:uid="{09138036-9667-45F3-889B-5A8E982C58F8}"/>
    <cellStyle name="Undefined" xfId="529" xr:uid="{7EAC52DD-1B33-4B04-A00D-454C5CA4336B}"/>
    <cellStyle name="Undefined 2" xfId="563" xr:uid="{7C08068A-0A6C-44DA-8510-6B185F29E189}"/>
    <cellStyle name="Warning Text 2" xfId="1830" xr:uid="{D4431792-C146-4311-A6A1-77129D2B4737}"/>
    <cellStyle name="Warning Text 2 2" xfId="1831" xr:uid="{D44BE250-5334-43AF-B1D2-94B292CF3906}"/>
  </cellStyles>
  <dxfs count="1147">
    <dxf>
      <font>
        <b/>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left" vertical="center" textRotation="0" wrapText="1"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2"/>
        <color rgb="FF000000"/>
        <name val="Arial"/>
        <family val="2"/>
        <scheme val="none"/>
      </font>
      <fill>
        <patternFill patternType="none">
          <fgColor rgb="FF000000"/>
          <bgColor auto="1"/>
        </patternFill>
      </fill>
      <alignment horizontal="general"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indexed="8"/>
        <name val="Arial"/>
        <family val="2"/>
        <scheme val="none"/>
      </font>
      <fill>
        <patternFill patternType="none">
          <fgColor indexed="9"/>
          <bgColor auto="1"/>
        </patternFill>
      </fill>
      <alignment horizontal="right" vertical="center" textRotation="0" wrapText="1"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indexed="8"/>
        <name val="Arial"/>
        <family val="2"/>
        <scheme val="none"/>
      </font>
      <fill>
        <patternFill patternType="none">
          <fgColor indexed="64"/>
          <bgColor auto="1"/>
        </patternFill>
      </fill>
      <alignment horizontal="general"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auto="1"/>
        </patternFill>
      </fill>
      <alignment horizontal="general" vertical="bottom" textRotation="0" wrapText="0" indent="0" justifyLastLine="0" shrinkToFit="0" readingOrder="0"/>
    </dxf>
    <dxf>
      <border outline="0">
        <bottom style="thin">
          <color indexed="64"/>
        </bottom>
      </border>
    </dxf>
    <dxf>
      <fill>
        <patternFill patternType="none">
          <bgColor auto="1"/>
        </patternFill>
      </fill>
      <alignment vertical="bottom" textRotation="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ill>
        <patternFill patternType="none">
          <fgColor indexed="64"/>
          <bgColor indexed="65"/>
        </patternFill>
      </fill>
      <alignment horizontal="general" vertical="bottom" textRotation="0" wrapText="0" indent="0" justifyLastLine="0" shrinkToFit="0" readingOrder="0"/>
    </dxf>
    <dxf>
      <alignment vertical="bottom" textRotation="0" indent="0" justifyLastLine="0" shrinkToFit="0" readingOrder="0"/>
    </dxf>
    <dxf>
      <font>
        <b val="0"/>
        <i val="0"/>
        <strike val="0"/>
        <condense val="0"/>
        <extend val="0"/>
        <outline val="0"/>
        <shadow val="0"/>
        <u val="none"/>
        <vertAlign val="baseline"/>
        <sz val="12"/>
        <color indexed="8"/>
        <name val="Arial"/>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2"/>
        <color indexed="8"/>
        <name val="Arial"/>
        <family val="2"/>
        <scheme val="none"/>
      </font>
      <fill>
        <patternFill patternType="none">
          <fgColor indexed="64"/>
          <bgColor auto="1"/>
        </patternFill>
      </fill>
      <alignment horizontal="general"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indexed="8"/>
        <name val="Arial"/>
        <family val="2"/>
        <scheme val="none"/>
      </font>
      <numFmt numFmtId="1" formatCode="0"/>
      <fill>
        <patternFill patternType="none">
          <fgColor indexed="64"/>
          <bgColor auto="1"/>
        </patternFill>
      </fill>
      <alignment horizontal="right" vertical="center" textRotation="0" wrapText="1" indent="0" justifyLastLine="0" shrinkToFit="0" readingOrder="0"/>
    </dxf>
    <dxf>
      <font>
        <b val="0"/>
        <i val="0"/>
        <strike val="0"/>
        <condense val="0"/>
        <extend val="0"/>
        <outline val="0"/>
        <shadow val="0"/>
        <u val="none"/>
        <vertAlign val="baseline"/>
        <sz val="12"/>
        <color theme="1"/>
        <name val="Arial"/>
        <scheme val="none"/>
      </font>
      <fill>
        <patternFill patternType="solid">
          <fgColor indexed="64"/>
          <bgColor theme="0"/>
        </patternFill>
      </fill>
      <alignment horizontal="general" vertical="top" textRotation="0" wrapText="1" indent="0" justifyLastLine="0" shrinkToFit="0" readingOrder="0"/>
    </dxf>
    <dxf>
      <font>
        <strike val="0"/>
        <outline val="0"/>
        <shadow val="0"/>
        <vertAlign val="baseline"/>
        <sz val="12"/>
        <color auto="1"/>
        <name val="Arial"/>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theme="1"/>
        <name val="Arial"/>
        <scheme val="none"/>
      </font>
      <alignment horizontal="center" vertical="top" textRotation="0" wrapText="0" indent="0" justifyLastLine="0" shrinkToFit="0" readingOrder="0"/>
    </dxf>
    <dxf>
      <font>
        <strike val="0"/>
        <outline val="0"/>
        <shadow val="0"/>
        <vertAlign val="baseline"/>
        <sz val="12"/>
        <name val="Arial"/>
        <scheme val="none"/>
      </font>
    </dxf>
    <dxf>
      <font>
        <b/>
        <strike val="0"/>
        <outline val="0"/>
        <shadow val="0"/>
        <vertAlign val="baseline"/>
        <sz val="12"/>
        <name val="Arial"/>
        <scheme val="none"/>
      </font>
      <alignment vertical="center"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patternFill>
      </fill>
    </dxf>
    <dxf>
      <font>
        <b val="0"/>
        <i val="0"/>
        <strike val="0"/>
        <condense val="0"/>
        <extend val="0"/>
        <outline val="0"/>
        <shadow val="0"/>
        <u val="none"/>
        <vertAlign val="baseline"/>
        <sz val="11"/>
        <color auto="1"/>
        <name val="Arial"/>
        <family val="2"/>
        <scheme val="none"/>
      </font>
      <fill>
        <patternFill patternType="solid">
          <fgColor indexed="64"/>
          <bgColor indexed="65"/>
        </patternFill>
      </fill>
      <alignment horizontal="left" vertical="top" textRotation="0" wrapText="1" indent="1" justifyLastLine="0" shrinkToFit="0" readingOrder="0"/>
    </dxf>
    <dxf>
      <alignment horizontal="center" vertical="top" textRotation="0" wrapText="0" indent="0" justifyLastLine="0" shrinkToFit="0" readingOrder="0"/>
    </dxf>
    <dxf>
      <font>
        <b/>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left style="thin">
          <color rgb="FFFFFFFF"/>
        </left>
        <top style="thin">
          <color rgb="FF000000"/>
        </top>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left style="thin">
          <color rgb="FFFFFFFF"/>
        </left>
        <top style="thin">
          <color rgb="FF000000"/>
        </top>
        <bottom style="thin">
          <color indexed="64"/>
        </bottom>
      </border>
    </dxf>
    <dxf>
      <fill>
        <patternFill patternType="none">
          <fgColor indexed="64"/>
          <bgColor auto="1"/>
        </patternFill>
      </fill>
    </dxf>
    <dxf>
      <fill>
        <patternFill patternType="none">
          <fgColor indexed="64"/>
          <bgColor auto="1"/>
        </patternFill>
      </fill>
    </dxf>
    <dxf>
      <numFmt numFmtId="164" formatCode="0.0"/>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border>
        <bottom style="thin">
          <color auto="1"/>
        </bottom>
      </border>
    </dxf>
    <dxf>
      <numFmt numFmtId="0" formatCode="General"/>
      <fill>
        <patternFill patternType="none">
          <bgColor auto="1"/>
        </patternFill>
      </fill>
    </dxf>
    <dxf>
      <font>
        <b val="0"/>
        <i val="0"/>
        <strike val="0"/>
        <condense val="0"/>
        <extend val="0"/>
        <outline val="0"/>
        <shadow val="0"/>
        <u val="none"/>
        <vertAlign val="baseline"/>
        <sz val="12"/>
        <color theme="1"/>
        <name val="Arial"/>
        <family val="2"/>
        <scheme val="none"/>
      </font>
      <numFmt numFmtId="1" formatCode="0"/>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numFmt numFmtId="166" formatCode="_-* #,##0_-;\-* #,##0_-;_-* &quot;-&quot;??_-;_-@_-"/>
      <fill>
        <patternFill patternType="none">
          <bgColor auto="1"/>
        </patternFill>
      </fill>
    </dxf>
    <dxf>
      <font>
        <b val="0"/>
        <i val="0"/>
        <strike val="0"/>
        <condense val="0"/>
        <extend val="0"/>
        <outline val="0"/>
        <shadow val="0"/>
        <u val="none"/>
        <vertAlign val="baseline"/>
        <sz val="12"/>
        <color theme="1"/>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strike val="0"/>
        <outline val="0"/>
        <shadow val="0"/>
        <vertAlign val="baseline"/>
        <name val="Arial"/>
        <family val="2"/>
        <scheme val="none"/>
      </font>
      <numFmt numFmtId="166" formatCode="_-* #,##0_-;\-* #,##0_-;_-* &quot;-&quot;??_-;_-@_-"/>
      <fill>
        <patternFill patternType="none">
          <bgColor auto="1"/>
        </patternFill>
      </fill>
    </dxf>
    <dxf>
      <font>
        <b val="0"/>
        <i val="0"/>
        <strike val="0"/>
        <condense val="0"/>
        <extend val="0"/>
        <outline val="0"/>
        <shadow val="0"/>
        <u val="none"/>
        <vertAlign val="baseline"/>
        <sz val="12"/>
        <color theme="1"/>
        <name val="Arial"/>
        <family val="2"/>
        <scheme val="none"/>
      </font>
      <fill>
        <patternFill patternType="none">
          <fgColor indexed="64"/>
          <bgColor auto="1"/>
        </patternFill>
      </fill>
    </dxf>
    <dxf>
      <border outline="0">
        <bottom style="thin">
          <color indexed="64"/>
        </bottom>
      </border>
    </dxf>
    <dxf>
      <font>
        <strike val="0"/>
        <outline val="0"/>
        <shadow val="0"/>
        <vertAlign val="baseline"/>
        <name val="Arial"/>
        <family val="2"/>
        <scheme val="none"/>
      </font>
      <fill>
        <patternFill patternType="none">
          <bgColor auto="1"/>
        </patternFill>
      </fill>
    </dxf>
    <dxf>
      <font>
        <b/>
        <i val="0"/>
        <strike val="0"/>
        <condense val="0"/>
        <extend val="0"/>
        <outline val="0"/>
        <shadow val="0"/>
        <u val="none"/>
        <vertAlign val="baseline"/>
        <sz val="12"/>
        <color auto="1"/>
        <name val="Arial"/>
        <family val="2"/>
        <scheme val="none"/>
      </font>
      <fill>
        <patternFill patternType="none">
          <fgColor indexed="9"/>
          <bgColor auto="1"/>
        </patternFill>
      </fill>
      <alignment horizontal="right" vertical="center" textRotation="0" wrapText="1" indent="0" justifyLastLine="0" shrinkToFit="0" readingOrder="0"/>
    </dxf>
    <dxf>
      <font>
        <strike val="0"/>
        <outline val="0"/>
        <shadow val="0"/>
        <u val="none"/>
        <vertAlign val="baseline"/>
        <sz val="12"/>
        <name val="Arial"/>
        <family val="2"/>
        <scheme val="none"/>
      </font>
      <numFmt numFmtId="0" formatCode="General"/>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numFmt numFmtId="0" formatCode="General"/>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numFmt numFmtId="3" formatCode="#,##0"/>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alignment horizontal="right" textRotation="0" indent="0" justifyLastLine="0" shrinkToFit="0" readingOrder="0"/>
    </dxf>
    <dxf>
      <font>
        <strike val="0"/>
        <outline val="0"/>
        <shadow val="0"/>
        <u val="none"/>
        <vertAlign val="baseline"/>
        <sz val="12"/>
        <name val="Arial"/>
        <family val="2"/>
        <scheme val="none"/>
      </font>
      <fill>
        <patternFill patternType="none">
          <bgColor auto="1"/>
        </patternFill>
      </fill>
    </dxf>
    <dxf>
      <border outline="0">
        <top style="thin">
          <color rgb="FF000000"/>
        </top>
      </border>
    </dxf>
    <dxf>
      <font>
        <strike val="0"/>
        <outline val="0"/>
        <shadow val="0"/>
        <u val="none"/>
        <vertAlign val="baseline"/>
        <sz val="12"/>
        <name val="Arial"/>
        <family val="2"/>
        <scheme val="none"/>
      </font>
      <fill>
        <patternFill patternType="none">
          <bgColor auto="1"/>
        </patternFill>
      </fill>
    </dxf>
    <dxf>
      <border outline="0">
        <bottom style="thin">
          <color rgb="FF000000"/>
        </bottom>
      </border>
    </dxf>
    <dxf>
      <font>
        <b/>
        <i val="0"/>
        <strike val="0"/>
        <condense val="0"/>
        <extend val="0"/>
        <outline val="0"/>
        <shadow val="0"/>
        <u val="none"/>
        <vertAlign val="baseline"/>
        <sz val="12"/>
        <color theme="1"/>
        <name val="Arial"/>
        <family val="2"/>
        <scheme val="none"/>
      </font>
      <fill>
        <patternFill patternType="none">
          <fgColor indexed="64"/>
          <bgColor auto="1"/>
        </patternFill>
      </fill>
      <alignment horizontal="right" vertical="center" textRotation="0" wrapText="1"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fill>
        <patternFill patternType="none"/>
      </fill>
      <alignment horizontal="right" textRotation="0" indent="0" justifyLastLine="0" shrinkToFit="0" readingOrder="0"/>
    </dxf>
    <dxf>
      <fill>
        <patternFill patternType="none"/>
      </fill>
      <alignment horizontal="right" textRotation="0" indent="0" justifyLastLine="0" shrinkToFit="0" readingOrder="0"/>
    </dxf>
    <dxf>
      <fill>
        <patternFill patternType="none"/>
      </fill>
      <alignment horizontal="right" textRotation="0" indent="0" justifyLastLine="0" shrinkToFit="0" readingOrder="0"/>
    </dxf>
    <dxf>
      <fill>
        <patternFill patternType="none"/>
      </fill>
    </dxf>
    <dxf>
      <fill>
        <patternFill patternType="none"/>
      </fill>
    </dxf>
    <dxf>
      <border>
        <bottom style="thin">
          <color indexed="64"/>
        </bottom>
      </border>
    </dxf>
    <dxf>
      <fill>
        <patternFill patternType="none"/>
      </fill>
    </dxf>
    <dxf>
      <fill>
        <patternFill patternType="none"/>
      </fill>
      <alignment horizontal="right" textRotation="0" indent="0" justifyLastLine="0" shrinkToFit="0" readingOrder="0"/>
    </dxf>
    <dxf>
      <fill>
        <patternFill patternType="none"/>
      </fill>
      <alignment horizontal="right" textRotation="0" indent="0" justifyLastLine="0" shrinkToFit="0" readingOrder="0"/>
    </dxf>
    <dxf>
      <fill>
        <patternFill patternType="none"/>
      </fill>
      <alignment horizontal="right" textRotation="0" indent="0" justifyLastLine="0" shrinkToFit="0" readingOrder="0"/>
    </dxf>
    <dxf>
      <fill>
        <patternFill patternType="none"/>
      </fill>
    </dxf>
    <dxf>
      <fill>
        <patternFill patternType="none"/>
      </fill>
    </dxf>
    <dxf>
      <border>
        <bottom style="thin">
          <color indexed="64"/>
        </bottom>
      </border>
    </dxf>
    <dxf>
      <fill>
        <patternFill patternType="none"/>
      </fill>
    </dxf>
    <dxf>
      <border diagonalUp="0" diagonalDown="0" outline="0">
        <left style="thin">
          <color theme="0"/>
        </left>
        <right style="thin">
          <color theme="0"/>
        </right>
        <top style="thin">
          <color theme="0"/>
        </top>
        <bottom style="thin">
          <color theme="0"/>
        </bottom>
      </border>
    </dxf>
    <dxf>
      <alignment horizontal="general" vertical="bottom" textRotation="0" wrapText="1" indent="0" justifyLastLine="0" shrinkToFit="0" readingOrder="0"/>
      <border diagonalUp="0" diagonalDown="0" outline="0">
        <left style="thin">
          <color theme="0"/>
        </left>
        <right style="thin">
          <color theme="0"/>
        </right>
        <top style="thin">
          <color theme="0"/>
        </top>
        <bottom style="thin">
          <color theme="0"/>
        </bottom>
      </border>
    </dxf>
    <dxf>
      <fill>
        <patternFill patternType="none">
          <fgColor indexed="64"/>
          <bgColor indexed="65"/>
        </patternFill>
      </fill>
      <alignment horizontal="center" vertical="top" textRotation="0" wrapText="0" indent="0" justifyLastLine="0" shrinkToFit="0" readingOrder="0"/>
      <border outline="0">
        <right style="thin">
          <color theme="0"/>
        </right>
      </border>
    </dxf>
    <dxf>
      <font>
        <b/>
      </font>
    </dxf>
    <dxf>
      <font>
        <strike val="0"/>
        <outline val="0"/>
        <shadow val="0"/>
        <vertAlign val="baseline"/>
        <sz val="12"/>
      </font>
      <fill>
        <patternFill patternType="none">
          <fgColor indexed="64"/>
          <bgColor auto="1"/>
        </patternFill>
      </fill>
    </dxf>
    <dxf>
      <font>
        <strike val="0"/>
        <outline val="0"/>
        <shadow val="0"/>
        <vertAlign val="baseline"/>
        <sz val="12"/>
      </font>
      <fill>
        <patternFill patternType="none">
          <fgColor indexed="64"/>
          <bgColor auto="1"/>
        </patternFill>
      </fill>
    </dxf>
    <dxf>
      <font>
        <b val="0"/>
        <i val="0"/>
        <strike val="0"/>
        <condense val="0"/>
        <extend val="0"/>
        <outline val="0"/>
        <shadow val="0"/>
        <u val="none"/>
        <vertAlign val="baseline"/>
        <sz val="12"/>
        <color theme="1"/>
        <name val="Arial"/>
        <family val="2"/>
        <scheme val="none"/>
      </font>
      <fill>
        <patternFill patternType="none">
          <fgColor indexed="64"/>
          <bgColor auto="1"/>
        </patternFill>
      </fill>
      <alignment horizontal="center" vertical="top" textRotation="0" wrapText="0" indent="0" justifyLastLine="0" shrinkToFit="0" readingOrder="0"/>
    </dxf>
    <dxf>
      <font>
        <strike val="0"/>
        <outline val="0"/>
        <shadow val="0"/>
        <vertAlign val="baseline"/>
        <sz val="12"/>
      </font>
      <fill>
        <patternFill patternType="none">
          <fgColor indexed="64"/>
          <bgColor auto="1"/>
        </patternFill>
      </fill>
    </dxf>
    <dxf>
      <font>
        <b/>
        <strike val="0"/>
        <outline val="0"/>
        <shadow val="0"/>
        <vertAlign val="baseline"/>
        <sz val="12"/>
      </font>
      <fill>
        <patternFill patternType="none">
          <fgColor indexed="64"/>
          <bgColor auto="1"/>
        </patternFill>
      </fill>
    </dxf>
    <dxf>
      <font>
        <b val="0"/>
        <i val="0"/>
        <strike val="0"/>
        <condense val="0"/>
        <extend val="0"/>
        <outline val="0"/>
        <shadow val="0"/>
        <u val="none"/>
        <vertAlign val="baseline"/>
        <sz val="12"/>
        <color auto="1"/>
        <name val="Arial"/>
        <family val="2"/>
        <scheme val="none"/>
      </font>
      <fill>
        <patternFill patternType="solid">
          <fgColor indexed="64"/>
          <bgColor theme="0"/>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scheme val="none"/>
      </font>
      <fill>
        <patternFill patternType="solid">
          <fgColor indexed="64"/>
          <bgColor theme="0"/>
        </patternFill>
      </fill>
      <alignment horizontal="center" vertical="center" textRotation="0" wrapText="0" indent="0" justifyLastLine="0" shrinkToFit="0" readingOrder="0"/>
    </dxf>
    <dxf>
      <alignment vertical="top" textRotation="0" indent="0" justifyLastLine="0" shrinkToFit="0" readingOrder="0"/>
    </dxf>
    <dxf>
      <font>
        <sz val="12"/>
        <color auto="1"/>
        <name val="Arial"/>
        <family val="2"/>
        <scheme val="none"/>
      </font>
      <numFmt numFmtId="3" formatCode="#,##0"/>
      <alignment horizontal="left" vertical="top" textRotation="0" wrapText="1" indent="0" justifyLastLine="0" shrinkToFit="0" readingOrder="0"/>
    </dxf>
    <dxf>
      <font>
        <sz val="12"/>
        <color auto="1"/>
        <name val="Arial"/>
        <family val="2"/>
        <scheme val="none"/>
      </font>
      <numFmt numFmtId="3" formatCode="#,##0"/>
      <alignment horizontal="center" vertical="top" textRotation="0" wrapText="1" indent="0" justifyLastLine="0" shrinkToFit="0" readingOrder="0"/>
    </dxf>
    <dxf>
      <alignment vertical="top" textRotation="0" indent="0" justifyLastLine="0" shrinkToFit="0" readingOrder="0"/>
    </dxf>
    <dxf>
      <alignment vertical="top" textRotation="0" indent="0" justifyLastLine="0" shrinkToFit="0" readingOrder="0"/>
    </dxf>
    <dxf>
      <alignment horizontal="left" vertical="top" textRotation="0" wrapText="1" indent="0" justifyLastLine="0" shrinkToFit="0" readingOrder="0"/>
    </dxf>
    <dxf>
      <font>
        <sz val="12"/>
        <color auto="1"/>
        <name val="Arial"/>
        <family val="2"/>
        <scheme val="none"/>
      </font>
      <numFmt numFmtId="3" formatCode="#,##0"/>
      <alignment horizontal="left" vertical="top" textRotation="0" wrapText="1" indent="0" justifyLastLine="0" shrinkToFit="0" readingOrder="0"/>
    </dxf>
    <dxf>
      <font>
        <sz val="12"/>
        <color auto="1"/>
        <name val="Arial"/>
        <family val="2"/>
        <scheme val="none"/>
      </font>
      <numFmt numFmtId="3" formatCode="#,##0"/>
      <alignment horizontal="center" vertical="top" textRotation="0" wrapText="1" indent="0" justifyLastLine="0" shrinkToFit="0" readingOrder="0"/>
    </dxf>
    <dxf>
      <alignment vertical="top" textRotation="0" indent="0" justifyLastLine="0" shrinkToFit="0" readingOrder="0"/>
    </dxf>
    <dxf>
      <alignment vertical="top" textRotation="0" indent="0" justifyLastLine="0" shrinkToFit="0" readingOrder="0"/>
    </dxf>
    <dxf>
      <font>
        <b val="0"/>
        <i val="0"/>
        <strike val="0"/>
        <condense val="0"/>
        <extend val="0"/>
        <outline val="0"/>
        <shadow val="0"/>
        <u val="none"/>
        <vertAlign val="baseline"/>
        <sz val="12"/>
        <color rgb="FF000000"/>
        <name val="Arial"/>
        <family val="2"/>
        <scheme val="none"/>
      </font>
      <numFmt numFmtId="1" formatCode="0"/>
    </dxf>
    <dxf>
      <font>
        <b val="0"/>
        <i val="0"/>
        <strike val="0"/>
        <condense val="0"/>
        <extend val="0"/>
        <outline val="0"/>
        <shadow val="0"/>
        <u val="none"/>
        <vertAlign val="baseline"/>
        <sz val="12"/>
        <color rgb="FF000000"/>
        <name val="Arial"/>
        <family val="2"/>
        <scheme val="none"/>
      </font>
      <numFmt numFmtId="3" formatCode="#,##0"/>
      <fill>
        <patternFill patternType="solid">
          <fgColor rgb="FF000000"/>
          <bgColor rgb="FFFFFFFF"/>
        </patternFill>
      </fill>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fill>
        <patternFill patternType="solid">
          <fgColor indexed="64"/>
          <bgColor theme="0"/>
        </patternFill>
      </fill>
    </dxf>
    <dxf>
      <font>
        <b val="0"/>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dxf>
    <dxf>
      <border outline="0">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2"/>
        <color auto="1"/>
        <name val="Arial"/>
        <family val="2"/>
        <scheme val="none"/>
      </font>
      <numFmt numFmtId="1" formatCode="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166" formatCode="_-* #,##0_-;\-* #,##0_-;_-* &quot;-&quot;??_-;_-@_-"/>
      <alignment horizontal="right" vertical="bottom" textRotation="0" wrapText="0" indent="0" justifyLastLine="0" shrinkToFit="0" readingOrder="0"/>
    </dxf>
    <dxf>
      <font>
        <b val="0"/>
        <i val="0"/>
        <strike val="0"/>
        <condense val="0"/>
        <extend val="0"/>
        <outline val="0"/>
        <shadow val="0"/>
        <u val="none"/>
        <vertAlign val="baseline"/>
        <sz val="12"/>
        <color indexed="8"/>
        <name val="Arial"/>
        <family val="2"/>
        <scheme val="none"/>
      </font>
      <fill>
        <patternFill patternType="solid">
          <fgColor indexed="64"/>
          <bgColor theme="0"/>
        </patternFill>
      </fill>
    </dxf>
    <dxf>
      <border outline="0">
        <bottom style="thin">
          <color indexed="64"/>
        </bottom>
      </border>
    </dxf>
    <dxf>
      <font>
        <b val="0"/>
        <i val="0"/>
        <strike val="0"/>
        <condense val="0"/>
        <extend val="0"/>
        <outline val="0"/>
        <shadow val="0"/>
        <u val="none"/>
        <vertAlign val="baseline"/>
        <sz val="12"/>
        <color rgb="FF000000"/>
        <name val="Arial"/>
        <family val="2"/>
        <scheme val="none"/>
      </font>
      <alignment horizontal="right" vertical="bottom" textRotation="0" wrapText="0" indent="0" justifyLastLine="0" shrinkToFit="0" readingOrder="0"/>
    </dxf>
    <dxf>
      <border>
        <bottom style="thin">
          <color indexed="64"/>
        </bottom>
      </border>
    </dxf>
    <dxf>
      <font>
        <b val="0"/>
        <i val="0"/>
        <strike val="0"/>
        <condense val="0"/>
        <extend val="0"/>
        <outline val="0"/>
        <shadow val="0"/>
        <u val="none"/>
        <vertAlign val="baseline"/>
        <sz val="12"/>
        <color indexed="8"/>
        <name val="Arial"/>
        <family val="2"/>
        <scheme val="none"/>
      </font>
      <fill>
        <patternFill patternType="solid">
          <fgColor indexed="9"/>
          <bgColor indexed="9"/>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border diagonalUp="0" diagonalDown="0">
        <left style="thin">
          <color auto="1"/>
        </left>
        <right/>
        <top/>
        <bottom/>
        <vertical/>
        <horizontal/>
      </border>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border diagonalUp="0" diagonalDown="0">
        <left/>
        <right style="thin">
          <color auto="1"/>
        </right>
        <top/>
        <bottom/>
        <vertical/>
        <horizontal/>
      </border>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border diagonalUp="0" diagonalDown="0">
        <left/>
        <right style="thin">
          <color auto="1"/>
        </right>
        <top/>
        <bottom/>
        <vertical/>
        <horizontal/>
      </border>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border diagonalUp="0" diagonalDown="0">
        <left style="thin">
          <color auto="1"/>
        </left>
        <right/>
        <top/>
        <bottom/>
        <vertical/>
        <horizontal/>
      </border>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border diagonalUp="0" diagonalDown="0">
        <left/>
        <right style="thin">
          <color auto="1"/>
        </right>
        <top/>
        <bottom/>
        <vertical/>
        <horizontal/>
      </border>
    </dxf>
    <dxf>
      <font>
        <b val="0"/>
        <i val="0"/>
        <strike val="0"/>
        <condense val="0"/>
        <extend val="0"/>
        <outline val="0"/>
        <shadow val="0"/>
        <u val="none"/>
        <vertAlign val="baseline"/>
        <sz val="12"/>
        <color auto="1"/>
        <name val="Arial"/>
        <family val="2"/>
        <scheme val="none"/>
      </font>
      <numFmt numFmtId="3" formatCode="#,##0"/>
      <alignment horizontal="right" vertical="top"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general" vertical="top" textRotation="0" wrapText="0" indent="0" justifyLastLine="0" shrinkToFit="0" readingOrder="0"/>
    </dxf>
    <dxf>
      <border outline="0">
        <bottom style="thin">
          <color indexed="64"/>
        </bottom>
      </border>
    </dxf>
    <dxf>
      <border outline="0">
        <bottom style="thin">
          <color indexed="64"/>
        </bottom>
      </border>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vertical="top" textRotation="0" indent="0" justifyLastLine="0" shrinkToFit="0" readingOrder="0"/>
    </dxf>
    <dxf>
      <alignment vertical="top" textRotation="0" indent="0" justifyLastLine="0" shrinkToFit="0" readingOrder="0"/>
    </dxf>
    <dxf>
      <alignment horizontal="center" vertical="top" textRotation="0" wrapText="1" indent="0" justifyLastLine="0" shrinkToFit="0" readingOrder="0"/>
    </dxf>
    <dxf>
      <alignment vertical="top" textRotation="0" indent="0" justifyLastLine="0" shrinkToFit="0" readingOrder="0"/>
    </dxf>
    <dxf>
      <alignment vertical="top" textRotation="0" indent="0" justifyLastLine="0" shrinkToFit="0" readingOrder="0"/>
    </dxf>
    <dxf>
      <alignment horizontal="left" vertical="top" textRotation="0" wrapText="1" indent="0" justifyLastLine="0" shrinkToFit="0" readingOrder="0"/>
    </dxf>
    <dxf>
      <alignment vertical="top" textRotation="0" indent="0" justifyLastLine="0" shrinkToFit="0" readingOrder="0"/>
    </dxf>
    <dxf>
      <alignment horizontal="center" vertical="top" textRotation="0" wrapText="1" indent="0" justifyLastLine="0" shrinkToFit="0" readingOrder="0"/>
    </dxf>
    <dxf>
      <alignment vertical="top" textRotation="0" indent="0" justifyLastLine="0" shrinkToFit="0" readingOrder="0"/>
    </dxf>
    <dxf>
      <alignment vertical="top" textRotation="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font>
        <b val="0"/>
        <i val="0"/>
        <strike val="0"/>
        <condense val="0"/>
        <extend val="0"/>
        <outline val="0"/>
        <shadow val="0"/>
        <u val="none"/>
        <vertAlign val="baseline"/>
        <sz val="12"/>
        <color indexed="8"/>
        <name val="Arial"/>
        <family val="2"/>
        <scheme val="none"/>
      </font>
      <numFmt numFmtId="1" formatCode="0"/>
    </dxf>
    <dxf>
      <numFmt numFmtId="1" formatCode="0"/>
    </dxf>
    <dxf>
      <font>
        <b val="0"/>
        <i val="0"/>
        <strike val="0"/>
        <condense val="0"/>
        <extend val="0"/>
        <outline val="0"/>
        <shadow val="0"/>
        <u val="none"/>
        <vertAlign val="baseline"/>
        <sz val="12"/>
        <color indexed="8"/>
        <name val="Arial"/>
        <family val="2"/>
        <scheme val="none"/>
      </font>
      <alignment horizontal="general"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indexed="8"/>
        <name val="Arial"/>
        <family val="2"/>
        <scheme val="none"/>
      </font>
    </dxf>
    <dxf>
      <border outline="0">
        <bottom style="thin">
          <color indexed="64"/>
        </bottom>
      </border>
    </dxf>
    <dxf>
      <numFmt numFmtId="1" formatCode="0"/>
    </dxf>
    <dxf>
      <numFmt numFmtId="166" formatCode="_-* #,##0_-;\-* #,##0_-;_-* &quot;-&quot;??_-;_-@_-"/>
    </dxf>
    <dxf>
      <font>
        <b val="0"/>
        <i val="0"/>
        <strike val="0"/>
        <condense val="0"/>
        <extend val="0"/>
        <outline val="0"/>
        <shadow val="0"/>
        <u val="none"/>
        <vertAlign val="baseline"/>
        <sz val="12"/>
        <color indexed="8"/>
        <name val="Arial"/>
        <family val="2"/>
        <scheme val="none"/>
      </font>
    </dxf>
    <dxf>
      <border outline="0">
        <bottom style="thin">
          <color indexed="64"/>
        </bottom>
      </border>
    </dxf>
    <dxf>
      <border outline="0">
        <bottom style="thin">
          <color indexed="64"/>
        </bottom>
      </border>
    </dxf>
    <dxf>
      <font>
        <b val="0"/>
        <i val="0"/>
        <strike val="0"/>
        <condense val="0"/>
        <extend val="0"/>
        <outline val="0"/>
        <shadow val="0"/>
        <u val="none"/>
        <vertAlign val="baseline"/>
        <sz val="12"/>
        <color theme="1"/>
        <name val="Arial"/>
        <family val="2"/>
        <scheme val="none"/>
      </font>
      <numFmt numFmtId="1" formatCode="0"/>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 formatCode="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theme="0"/>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theme="0"/>
          <bgColor theme="0"/>
        </patternFill>
      </fill>
      <alignment vertical="bottom" textRotation="0" indent="0" justifyLastLine="0" shrinkToFit="0" readingOrder="0"/>
    </dxf>
    <dxf>
      <border outline="0">
        <top style="thin">
          <color indexed="64"/>
        </top>
      </border>
    </dxf>
    <dxf>
      <font>
        <b val="0"/>
        <i val="0"/>
        <strike val="0"/>
        <condense val="0"/>
        <extend val="0"/>
        <outline val="0"/>
        <shadow val="0"/>
        <u val="none"/>
        <vertAlign val="baseline"/>
        <sz val="12"/>
        <color theme="1"/>
        <name val="Arial"/>
        <family val="2"/>
        <scheme val="none"/>
      </font>
      <fill>
        <patternFill patternType="solid">
          <fgColor indexed="64"/>
          <bgColor theme="0"/>
        </patternFill>
      </fill>
      <alignment horizontal="righ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solid">
          <fgColor indexed="64"/>
          <bgColor theme="0"/>
        </patternFill>
      </fill>
      <alignment horizontal="right" vertical="center" textRotation="0" wrapText="1" indent="0" justifyLastLine="0" shrinkToFit="0" readingOrder="0"/>
    </dxf>
    <dxf>
      <numFmt numFmtId="1" formatCode="0"/>
      <alignment horizontal="right" vertical="bottom" textRotation="0" wrapText="0" indent="0" justifyLastLine="0" shrinkToFit="0" readingOrder="0"/>
    </dxf>
    <dxf>
      <font>
        <b/>
        <i val="0"/>
        <strike val="0"/>
        <condense val="0"/>
        <extend val="0"/>
        <outline val="0"/>
        <shadow val="0"/>
        <u val="none"/>
        <vertAlign val="baseline"/>
        <sz val="12"/>
        <color auto="1"/>
        <name val="Arial"/>
        <family val="2"/>
        <scheme val="none"/>
      </font>
      <border diagonalUp="0" diagonalDown="0">
        <left/>
        <right/>
        <top/>
        <bottom style="hair">
          <color indexed="64"/>
        </bottom>
        <vertical/>
        <horizontal/>
      </border>
    </dxf>
    <dxf>
      <border outline="0">
        <bottom style="thin">
          <color indexed="64"/>
        </bottom>
      </border>
    </dxf>
    <dxf>
      <border outline="0">
        <bottom style="thin">
          <color indexed="64"/>
        </bottom>
      </border>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border diagonalUp="0" diagonalDown="0">
        <left style="dashed">
          <color indexed="64"/>
        </left>
        <right/>
        <top/>
        <bottom/>
        <vertical/>
        <horizontal/>
      </border>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dxf>
    <dxf>
      <font>
        <b val="0"/>
        <i val="0"/>
        <strike val="0"/>
        <condense val="0"/>
        <extend val="0"/>
        <outline val="0"/>
        <shadow val="0"/>
        <u val="none"/>
        <vertAlign val="baseline"/>
        <sz val="14"/>
        <color theme="1"/>
        <name val="Arial"/>
        <family val="2"/>
        <scheme val="none"/>
      </font>
    </dxf>
    <dxf>
      <font>
        <b/>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dxf>
    <dxf>
      <font>
        <b/>
        <i val="0"/>
        <strike val="0"/>
        <condense val="0"/>
        <extend val="0"/>
        <outline val="0"/>
        <shadow val="0"/>
        <u val="none"/>
        <vertAlign val="baseline"/>
        <sz val="12"/>
        <color theme="1"/>
        <name val="Arial"/>
        <family val="2"/>
        <scheme val="none"/>
      </font>
      <fill>
        <patternFill patternType="none">
          <fgColor indexed="64"/>
          <bgColor auto="1"/>
        </patternFill>
      </fill>
    </dxf>
    <dxf>
      <font>
        <b/>
        <i val="0"/>
        <strike val="0"/>
        <condense val="0"/>
        <extend val="0"/>
        <outline val="0"/>
        <shadow val="0"/>
        <u val="none"/>
        <vertAlign val="baseline"/>
        <sz val="12"/>
        <color theme="1"/>
        <name val="Arial"/>
        <family val="2"/>
        <scheme val="none"/>
      </font>
      <border diagonalUp="0" diagonalDown="0" outline="0">
        <left/>
        <right/>
        <top/>
        <bottom style="thin">
          <color indexed="64"/>
        </bottom>
      </border>
    </dxf>
    <dxf>
      <border outline="0">
        <bottom style="thin">
          <color indexed="64"/>
        </bottom>
      </border>
    </dxf>
    <dxf>
      <font>
        <b val="0"/>
        <i val="0"/>
        <strike val="0"/>
        <condense val="0"/>
        <extend val="0"/>
        <outline val="0"/>
        <shadow val="0"/>
        <u val="none"/>
        <vertAlign val="baseline"/>
        <sz val="12"/>
        <color auto="1"/>
        <name val="Arial"/>
        <family val="2"/>
        <scheme val="none"/>
      </font>
      <numFmt numFmtId="166" formatCode="_-* #,##0_-;\-* #,##0_-;_-* &quot;-&quot;??_-;_-@_-"/>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6" formatCode="_-* #,##0_-;\-* #,##0_-;_-* &quot;-&quot;??_-;_-@_-"/>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6" formatCode="_-* #,##0_-;\-* #,##0_-;_-* &quot;-&quot;??_-;_-@_-"/>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6" formatCode="_-* #,##0_-;\-* #,##0_-;_-* &quot;-&quot;??_-;_-@_-"/>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6" formatCode="_-* #,##0_-;\-* #,##0_-;_-* &quot;-&quot;??_-;_-@_-"/>
    </dxf>
    <dxf>
      <border outline="0">
        <bottom style="thin">
          <color indexed="64"/>
        </bottom>
      </border>
    </dxf>
    <dxf>
      <font>
        <b val="0"/>
        <i val="0"/>
        <strike val="0"/>
        <condense val="0"/>
        <extend val="0"/>
        <outline val="0"/>
        <shadow val="0"/>
        <u val="none"/>
        <vertAlign val="baseline"/>
        <sz val="12"/>
        <color auto="1"/>
        <name val="Arial"/>
        <family val="2"/>
        <scheme val="none"/>
      </font>
      <fill>
        <patternFill patternType="solid">
          <fgColor indexed="64"/>
          <bgColor theme="0"/>
        </patternFill>
      </fill>
      <alignment horizontal="general"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auto="1"/>
        <name val="Arial"/>
        <family val="2"/>
        <scheme val="none"/>
      </font>
      <numFmt numFmtId="1" formatCode="0"/>
    </dxf>
    <dxf>
      <font>
        <b val="0"/>
        <i val="0"/>
        <strike val="0"/>
        <condense val="0"/>
        <extend val="0"/>
        <outline val="0"/>
        <shadow val="0"/>
        <u val="none"/>
        <vertAlign val="baseline"/>
        <sz val="12"/>
        <color auto="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dxf>
    <dxf>
      <font>
        <b val="0"/>
        <i val="0"/>
        <strike val="0"/>
        <condense val="0"/>
        <extend val="0"/>
        <outline val="0"/>
        <shadow val="0"/>
        <u val="none"/>
        <vertAlign val="baseline"/>
        <sz val="12"/>
        <color auto="1"/>
        <name val="Arial"/>
        <family val="2"/>
        <scheme val="none"/>
      </font>
      <numFmt numFmtId="166" formatCode="_-* #,##0_-;\-* #,##0_-;_-* &quot;-&quot;??_-;_-@_-"/>
    </dxf>
    <dxf>
      <border outline="0">
        <top style="thin">
          <color indexed="64"/>
        </top>
        <bottom style="thin">
          <color indexed="64"/>
        </bottom>
      </border>
    </dxf>
    <dxf>
      <font>
        <b val="0"/>
        <i val="0"/>
        <strike val="0"/>
        <condense val="0"/>
        <extend val="0"/>
        <outline val="0"/>
        <shadow val="0"/>
        <u val="none"/>
        <vertAlign val="baseline"/>
        <sz val="12"/>
        <color auto="1"/>
        <name val="Arial"/>
        <family val="2"/>
        <scheme val="none"/>
      </font>
    </dxf>
    <dxf>
      <border outline="0">
        <bottom style="thin">
          <color indexed="64"/>
        </bottom>
      </border>
    </dxf>
    <dxf>
      <font>
        <b/>
        <i val="0"/>
        <strike val="0"/>
        <condense val="0"/>
        <extend val="0"/>
        <outline val="0"/>
        <shadow val="0"/>
        <u val="none"/>
        <vertAlign val="baseline"/>
        <sz val="12"/>
        <color theme="1"/>
        <name val="Arial"/>
        <family val="2"/>
        <scheme val="none"/>
      </font>
      <numFmt numFmtId="1" formatCode="0"/>
      <fill>
        <patternFill patternType="none">
          <fgColor indexed="64"/>
          <bgColor auto="1"/>
        </patternFill>
      </fill>
    </dxf>
    <dxf>
      <font>
        <b/>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dxf>
    <dxf>
      <border outline="0">
        <bottom style="thin">
          <color indexed="64"/>
        </bottom>
      </border>
    </dxf>
    <dxf>
      <fill>
        <patternFill patternType="none">
          <fgColor indexed="64"/>
          <bgColor auto="1"/>
        </patternFill>
      </fill>
    </dxf>
    <dxf>
      <border outline="0">
        <bottom style="thin">
          <color indexed="64"/>
        </bottom>
      </border>
    </dxf>
    <dxf>
      <fill>
        <patternFill patternType="none">
          <fgColor indexed="64"/>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outline="0">
        <top style="thin">
          <color indexed="64"/>
        </top>
        <bottom style="thin">
          <color indexed="64"/>
        </bottom>
      </border>
    </dxf>
    <dxf>
      <fill>
        <patternFill patternType="none">
          <bgColor auto="1"/>
        </patternFill>
      </fill>
    </dxf>
    <dxf>
      <border outline="0">
        <bottom style="thin">
          <color indexed="64"/>
        </bottom>
      </border>
    </dxf>
    <dxf>
      <fill>
        <patternFill patternType="none">
          <bgColor auto="1"/>
        </patternFill>
      </fill>
    </dxf>
    <dxf>
      <font>
        <b val="0"/>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solid">
          <fgColor indexed="64"/>
          <bgColor theme="0"/>
        </patternFill>
      </fill>
      <alignment horizontal="general" vertical="bottom" textRotation="0" wrapText="0" indent="0" justifyLastLine="0" shrinkToFit="0" readingOrder="0"/>
      <border diagonalUp="0" diagonalDown="0" outline="0">
        <left/>
        <right style="hair">
          <color indexed="64"/>
        </right>
        <top/>
        <bottom/>
      </border>
    </dxf>
    <dxf>
      <font>
        <b val="0"/>
        <i val="0"/>
        <strike val="0"/>
        <condense val="0"/>
        <extend val="0"/>
        <outline val="0"/>
        <shadow val="0"/>
        <u val="none"/>
        <vertAlign val="baseline"/>
        <sz val="12"/>
        <color auto="1"/>
        <name val="Arial"/>
        <family val="2"/>
        <scheme val="none"/>
      </font>
      <fill>
        <patternFill patternType="solid">
          <fgColor indexed="64"/>
          <bgColor theme="0"/>
        </patternFill>
      </fill>
      <alignment horizontal="left" vertical="bottom" textRotation="0" wrapText="1" indent="1"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2"/>
        <color theme="1"/>
        <name val="Arial"/>
        <family val="2"/>
        <scheme val="none"/>
      </font>
      <fill>
        <patternFill patternType="solid">
          <fgColor indexed="64"/>
          <bgColor theme="0"/>
        </patternFill>
      </fill>
      <alignment horizontal="general" vertical="bottom"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indexed="8"/>
        <name val="Arial"/>
        <family val="2"/>
        <scheme val="none"/>
      </font>
      <fill>
        <patternFill patternType="solid">
          <fgColor indexed="9"/>
          <bgColor theme="0"/>
        </patternFill>
      </fill>
      <alignment horizontal="right" vertical="center" textRotation="0" wrapText="1"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alignment horizontal="right" vertical="center"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12"/>
        <color theme="1"/>
        <name val="Arial"/>
        <family val="2"/>
        <scheme val="none"/>
      </font>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fill>
        <patternFill patternType="none">
          <bgColor auto="1"/>
        </patternFill>
      </fill>
      <alignment horizontal="center" vertical="top" textRotation="0" wrapText="0" indent="0" justifyLastLine="0" shrinkToFit="0" readingOrder="0"/>
    </dxf>
    <dxf>
      <fill>
        <patternFill patternType="none">
          <bgColor auto="1"/>
        </patternFill>
      </fill>
    </dxf>
    <dxf>
      <font>
        <b/>
        <strike val="0"/>
        <outline val="0"/>
        <shadow val="0"/>
        <u val="none"/>
        <vertAlign val="baseline"/>
        <color theme="1"/>
      </font>
      <fill>
        <patternFill patternType="none">
          <bgColor auto="1"/>
        </patternFill>
      </fill>
    </dxf>
    <dxf>
      <font>
        <b val="0"/>
        <i val="0"/>
        <strike val="0"/>
        <condense val="0"/>
        <extend val="0"/>
        <outline val="0"/>
        <shadow val="0"/>
        <u val="none"/>
        <vertAlign val="baseline"/>
        <sz val="12"/>
        <color theme="1"/>
        <name val="Arial"/>
        <family val="2"/>
        <scheme val="none"/>
      </font>
      <fill>
        <patternFill patternType="none">
          <bgColor auto="1"/>
        </patternFill>
      </fill>
      <alignment horizontal="general" vertical="top" textRotation="0" wrapText="0" indent="0" justifyLastLine="0" shrinkToFit="0" readingOrder="0"/>
    </dxf>
    <dxf>
      <fill>
        <patternFill patternType="none">
          <bgColor auto="1"/>
        </patternFill>
      </fill>
    </dxf>
    <dxf>
      <font>
        <b val="0"/>
        <i val="0"/>
        <strike val="0"/>
        <condense val="0"/>
        <extend val="0"/>
        <outline val="0"/>
        <shadow val="0"/>
        <u val="none"/>
        <vertAlign val="baseline"/>
        <sz val="12"/>
        <color auto="1"/>
        <name val="Arial"/>
        <family val="2"/>
        <scheme val="none"/>
      </font>
      <fill>
        <patternFill patternType="none">
          <bgColor auto="1"/>
        </patternFill>
      </fill>
      <alignment horizontal="center" vertical="top" textRotation="0" wrapText="0" indent="0" justifyLastLine="0" shrinkToFit="0" readingOrder="0"/>
    </dxf>
    <dxf>
      <fill>
        <patternFill patternType="none">
          <bgColor auto="1"/>
        </patternFill>
      </fill>
    </dxf>
    <dxf>
      <font>
        <b/>
        <strike val="0"/>
        <outline val="0"/>
        <shadow val="0"/>
        <u val="none"/>
        <vertAlign val="baseline"/>
        <color theme="1"/>
      </font>
      <fill>
        <patternFill patternType="none">
          <bgColor auto="1"/>
        </patternFill>
      </fill>
    </dxf>
    <dxf>
      <font>
        <b val="0"/>
        <i val="0"/>
        <strike val="0"/>
        <condense val="0"/>
        <extend val="0"/>
        <outline val="0"/>
        <shadow val="0"/>
        <u val="none"/>
        <vertAlign val="baseline"/>
        <sz val="12"/>
        <color theme="1"/>
        <name val="Arial"/>
        <family val="2"/>
        <scheme val="none"/>
      </font>
      <fill>
        <patternFill patternType="none">
          <fgColor indexed="64"/>
          <bgColor auto="1"/>
        </patternFill>
      </fill>
      <alignment vertical="top" textRotation="0" indent="0" justifyLastLine="0" shrinkToFit="0" readingOrder="0"/>
    </dxf>
    <dxf>
      <font>
        <b val="0"/>
        <i val="0"/>
        <strike val="0"/>
        <condense val="0"/>
        <extend val="0"/>
        <outline val="0"/>
        <shadow val="0"/>
        <u val="none"/>
        <vertAlign val="baseline"/>
        <sz val="12"/>
        <color rgb="FF000000"/>
        <name val="Arial"/>
        <family val="2"/>
        <scheme val="none"/>
      </font>
      <fill>
        <patternFill patternType="none">
          <fgColor rgb="FF000000"/>
          <bgColor auto="1"/>
        </patternFill>
      </fill>
      <alignment horizontal="left" vertical="top" textRotation="0" wrapText="1" indent="0" justifyLastLine="0" shrinkToFit="0" readingOrder="0"/>
    </dxf>
    <dxf>
      <font>
        <strike val="0"/>
        <outline val="0"/>
        <shadow val="0"/>
        <vertAlign val="baseline"/>
        <sz val="12"/>
        <name val="Arial"/>
        <family val="2"/>
        <scheme val="none"/>
      </font>
      <fill>
        <patternFill patternType="none">
          <bgColor auto="1"/>
        </patternFill>
      </fill>
      <alignment horizontal="center" vertical="top" textRotation="0" wrapText="0" indent="0" justifyLastLine="0" shrinkToFit="0" readingOrder="0"/>
    </dxf>
    <dxf>
      <font>
        <strike val="0"/>
        <outline val="0"/>
        <shadow val="0"/>
        <vertAlign val="baseline"/>
        <sz val="12"/>
        <name val="Arial"/>
        <family val="2"/>
        <scheme val="none"/>
      </font>
      <fill>
        <patternFill patternType="none">
          <bgColor auto="1"/>
        </patternFill>
      </fill>
      <alignment vertical="top" textRotation="0" indent="0" justifyLastLine="0" shrinkToFit="0" readingOrder="0"/>
    </dxf>
    <dxf>
      <font>
        <b/>
        <strike val="0"/>
        <outline val="0"/>
        <shadow val="0"/>
        <u val="none"/>
        <vertAlign val="baseline"/>
        <sz val="12"/>
        <color theme="1"/>
        <name val="Arial"/>
        <family val="2"/>
        <scheme val="none"/>
      </font>
      <fill>
        <patternFill patternType="none">
          <bgColor auto="1"/>
        </patternFill>
      </fill>
      <alignment vertical="top"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strike val="0"/>
        <outline val="0"/>
        <shadow val="0"/>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ont>
        <b/>
        <strike val="0"/>
        <outline val="0"/>
        <shadow val="0"/>
        <u val="none"/>
        <vertAlign val="baseline"/>
        <sz val="12"/>
        <color theme="1"/>
        <name val="Arial"/>
        <family val="2"/>
        <scheme val="none"/>
      </font>
      <fill>
        <patternFill patternType="none">
          <bgColor auto="1"/>
        </patternFill>
      </fill>
      <alignment vertical="top"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none">
          <fgColor indexed="64"/>
          <bgColor auto="1"/>
        </patternFill>
      </fill>
      <alignment vertical="top" textRotation="0" indent="0" justifyLastLine="0" shrinkToFit="0" readingOrder="0"/>
    </dxf>
    <dxf>
      <font>
        <strike val="0"/>
        <outline val="0"/>
        <shadow val="0"/>
        <vertAlign val="baseline"/>
        <sz val="12"/>
        <name val="Arial"/>
        <family val="2"/>
        <scheme val="none"/>
      </font>
      <fill>
        <patternFill patternType="none">
          <bgColor auto="1"/>
        </patternFill>
      </fill>
      <alignment vertical="top" textRotation="0" indent="0" justifyLastLine="0" shrinkToFit="0" readingOrder="0"/>
    </dxf>
    <dxf>
      <font>
        <strike val="0"/>
        <outline val="0"/>
        <shadow val="0"/>
        <vertAlign val="baseline"/>
        <sz val="12"/>
        <name val="Arial"/>
        <family val="2"/>
        <scheme val="none"/>
      </font>
      <fill>
        <patternFill patternType="none">
          <bgColor auto="1"/>
        </patternFill>
      </fill>
      <alignment horizontal="center" vertical="top" textRotation="0" wrapText="0" indent="0" justifyLastLine="0" shrinkToFit="0" readingOrder="0"/>
    </dxf>
    <dxf>
      <font>
        <strike val="0"/>
        <outline val="0"/>
        <shadow val="0"/>
        <vertAlign val="baseline"/>
        <sz val="12"/>
        <name val="Arial"/>
        <family val="2"/>
        <scheme val="none"/>
      </font>
      <fill>
        <patternFill patternType="none">
          <bgColor auto="1"/>
        </patternFill>
      </fill>
      <alignment vertical="top" textRotation="0" indent="0" justifyLastLine="0" shrinkToFit="0" readingOrder="0"/>
    </dxf>
    <dxf>
      <font>
        <b/>
        <strike val="0"/>
        <outline val="0"/>
        <shadow val="0"/>
        <u val="none"/>
        <vertAlign val="baseline"/>
        <sz val="12"/>
        <name val="Arial"/>
        <family val="2"/>
        <scheme val="none"/>
      </font>
      <fill>
        <patternFill patternType="none">
          <bgColor auto="1"/>
        </patternFill>
      </fill>
      <alignment vertical="top" textRotation="0" indent="0" justifyLastLine="0" shrinkToFit="0" readingOrder="0"/>
    </dxf>
    <dxf>
      <font>
        <strike val="0"/>
        <outline val="0"/>
        <shadow val="0"/>
        <vertAlign val="baseline"/>
        <sz val="12"/>
        <name val="Arial"/>
        <family val="2"/>
        <scheme val="none"/>
      </font>
      <fill>
        <patternFill patternType="none">
          <bgColor auto="1"/>
        </patternFill>
      </fill>
      <alignment vertical="top"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none">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theme="1"/>
        <name val="Arial"/>
        <family val="2"/>
        <scheme val="none"/>
      </font>
      <fill>
        <patternFill patternType="none">
          <bgColor auto="1"/>
        </patternFill>
      </fill>
      <alignment horizontal="center" vertical="top" textRotation="0" wrapText="0" indent="0" justifyLastLine="0" shrinkToFit="0" readingOrder="0"/>
    </dxf>
    <dxf>
      <font>
        <strike val="0"/>
        <outline val="0"/>
        <shadow val="0"/>
        <vertAlign val="baseline"/>
        <sz val="12"/>
        <name val="Arial"/>
        <family val="2"/>
        <scheme val="none"/>
      </font>
      <fill>
        <patternFill patternType="none">
          <bgColor auto="1"/>
        </patternFill>
      </fill>
      <alignment vertical="top" textRotation="0" indent="0" justifyLastLine="0" shrinkToFit="0" readingOrder="0"/>
    </dxf>
    <dxf>
      <font>
        <b/>
        <strike val="0"/>
        <outline val="0"/>
        <shadow val="0"/>
        <u val="none"/>
        <vertAlign val="baseline"/>
        <sz val="12"/>
        <color theme="1"/>
        <name val="Arial"/>
        <family val="2"/>
        <scheme val="none"/>
      </font>
      <fill>
        <patternFill patternType="none">
          <bgColor auto="1"/>
        </patternFill>
      </fill>
      <alignment vertical="top"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none">
          <bgColor auto="1"/>
        </patternFill>
      </fill>
      <alignment horizontal="general" vertical="top" textRotation="0" wrapText="0" indent="0" justifyLastLine="0" shrinkToFit="0" readingOrder="0"/>
    </dxf>
    <dxf>
      <font>
        <strike val="0"/>
        <outline val="0"/>
        <shadow val="0"/>
        <vertAlign val="baseline"/>
        <sz val="12"/>
        <name val="Arial"/>
        <family val="2"/>
        <scheme val="none"/>
      </font>
      <fill>
        <patternFill patternType="none">
          <fgColor indexed="64"/>
          <bgColor auto="1"/>
        </patternFill>
      </fill>
      <alignment vertical="top" textRotation="0" indent="0" justifyLastLine="0" shrinkToFit="0" readingOrder="0"/>
    </dxf>
    <dxf>
      <font>
        <b val="0"/>
        <i val="0"/>
        <strike val="0"/>
        <condense val="0"/>
        <extend val="0"/>
        <outline val="0"/>
        <shadow val="0"/>
        <u val="none"/>
        <vertAlign val="baseline"/>
        <sz val="12"/>
        <color theme="1"/>
        <name val="Arial"/>
        <family val="2"/>
        <scheme val="none"/>
      </font>
      <fill>
        <patternFill patternType="none">
          <bgColor auto="1"/>
        </patternFill>
      </fill>
      <alignment horizontal="center" vertical="top" textRotation="0" wrapText="0" indent="0" justifyLastLine="0" shrinkToFit="0" readingOrder="0"/>
    </dxf>
    <dxf>
      <font>
        <strike val="0"/>
        <outline val="0"/>
        <shadow val="0"/>
        <vertAlign val="baseline"/>
        <sz val="12"/>
        <name val="Arial"/>
        <family val="2"/>
        <scheme val="none"/>
      </font>
      <fill>
        <patternFill patternType="none">
          <bgColor auto="1"/>
        </patternFill>
      </fill>
      <alignment vertical="top" textRotation="0" indent="0" justifyLastLine="0" shrinkToFit="0" readingOrder="0"/>
    </dxf>
    <dxf>
      <font>
        <b/>
        <strike val="0"/>
        <outline val="0"/>
        <shadow val="0"/>
        <u val="none"/>
        <vertAlign val="baseline"/>
        <sz val="12"/>
        <color theme="1"/>
        <name val="Arial"/>
        <family val="2"/>
        <scheme val="none"/>
      </font>
      <fill>
        <patternFill patternType="none">
          <bgColor auto="1"/>
        </patternFill>
      </fill>
      <alignment vertical="top" textRotation="0" indent="0" justifyLastLine="0" shrinkToFit="0" readingOrder="0"/>
    </dxf>
    <dxf>
      <font>
        <b val="0"/>
        <i val="0"/>
        <strike val="0"/>
        <condense val="0"/>
        <extend val="0"/>
        <outline val="0"/>
        <shadow val="0"/>
        <u val="none"/>
        <vertAlign val="baseline"/>
        <sz val="12"/>
        <color rgb="FF444444"/>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dxf>
    <dxf>
      <font>
        <b val="0"/>
        <i val="0"/>
        <strike val="0"/>
        <condense val="0"/>
        <extend val="0"/>
        <outline val="0"/>
        <shadow val="0"/>
        <u val="none"/>
        <vertAlign val="baseline"/>
        <sz val="12"/>
        <color auto="1"/>
        <name val="Arial"/>
        <family val="2"/>
        <scheme val="none"/>
      </font>
      <numFmt numFmtId="1" formatCode="0"/>
    </dxf>
    <dxf>
      <font>
        <b val="0"/>
        <i val="0"/>
        <strike val="0"/>
        <condense val="0"/>
        <extend val="0"/>
        <outline val="0"/>
        <shadow val="0"/>
        <u val="none"/>
        <vertAlign val="baseline"/>
        <sz val="12"/>
        <color auto="1"/>
        <name val="Arial"/>
        <family val="2"/>
        <scheme val="none"/>
      </font>
      <numFmt numFmtId="1" formatCode="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border diagonalUp="0" diagonalDown="0" outline="0">
        <left/>
        <right style="dashed">
          <color indexed="64"/>
        </right>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auto="1"/>
        </patternFill>
      </fill>
      <alignment horizontal="right" vertical="bottom" textRotation="0" wrapText="0" indent="0" justifyLastLine="0" shrinkToFit="0" readingOrder="0"/>
    </dxf>
    <dxf>
      <font>
        <strike val="0"/>
        <outline val="0"/>
        <shadow val="0"/>
        <vertAlign val="baseline"/>
        <sz val="12"/>
      </font>
      <fill>
        <patternFill patternType="none">
          <fgColor indexed="64"/>
          <bgColor auto="1"/>
        </patternFill>
      </fill>
    </dxf>
    <dxf>
      <border outline="0">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auto="1"/>
        </patternFill>
      </fill>
    </dxf>
    <dxf>
      <border outline="0">
        <bottom style="thin">
          <color indexed="64"/>
        </bottom>
      </border>
    </dxf>
    <dxf>
      <font>
        <strike val="0"/>
        <outline val="0"/>
        <shadow val="0"/>
        <vertAlign val="baseline"/>
        <sz val="12"/>
      </font>
      <fill>
        <patternFill patternType="none">
          <fgColor indexed="64"/>
          <bgColor auto="1"/>
        </patternFill>
      </fill>
    </dxf>
    <dxf>
      <font>
        <strike val="0"/>
        <outline val="0"/>
        <shadow val="0"/>
        <vertAlign val="baseline"/>
        <sz val="12"/>
        <color auto="1"/>
      </font>
      <fill>
        <patternFill patternType="none">
          <bgColor auto="1"/>
        </patternFill>
      </fill>
    </dxf>
    <dxf>
      <font>
        <strike val="0"/>
        <outline val="0"/>
        <shadow val="0"/>
        <vertAlign val="baseline"/>
        <sz val="12"/>
        <color auto="1"/>
      </font>
      <fill>
        <patternFill patternType="none">
          <bgColor auto="1"/>
        </patternFill>
      </fill>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strike val="0"/>
        <outline val="0"/>
        <shadow val="0"/>
        <vertAlign val="baseline"/>
        <sz val="12"/>
        <color auto="1"/>
      </font>
      <fill>
        <patternFill patternType="none">
          <bgColor auto="1"/>
        </patternFill>
      </fill>
    </dxf>
    <dxf>
      <border outline="0">
        <bottom style="medium">
          <color indexed="64"/>
        </bottom>
      </border>
    </dxf>
    <dxf>
      <font>
        <strike val="0"/>
        <outline val="0"/>
        <shadow val="0"/>
        <vertAlign val="baseline"/>
        <sz val="12"/>
        <color auto="1"/>
      </font>
      <fill>
        <patternFill patternType="none">
          <bgColor auto="1"/>
        </patternFill>
      </fill>
    </dxf>
    <dxf>
      <border outline="0">
        <bottom style="thin">
          <color indexed="64"/>
        </bottom>
      </border>
    </dxf>
    <dxf>
      <font>
        <strike val="0"/>
        <outline val="0"/>
        <shadow val="0"/>
        <vertAlign val="baseline"/>
        <sz val="12"/>
        <color auto="1"/>
      </font>
      <fill>
        <patternFill patternType="none">
          <bgColor auto="1"/>
        </patternFill>
      </fill>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22" formatCode="mmm\-yy"/>
      <fill>
        <patternFill patternType="none">
          <fgColor indexed="64"/>
          <bgColor auto="1"/>
        </patternFill>
      </fill>
      <alignment horizontal="right" vertical="bottom" textRotation="0" wrapText="0" indent="0" justifyLastLine="0" shrinkToFit="0" readingOrder="0"/>
    </dxf>
    <dxf>
      <font>
        <strike val="0"/>
        <outline val="0"/>
        <shadow val="0"/>
        <u val="none"/>
        <vertAlign val="baseline"/>
        <sz val="12"/>
        <name val="Arial"/>
        <family val="2"/>
        <scheme val="none"/>
      </font>
      <numFmt numFmtId="22" formatCode="mmm\-yy"/>
      <fill>
        <patternFill patternType="none">
          <fgColor indexed="64"/>
          <bgColor auto="1"/>
        </patternFill>
      </fill>
      <alignment vertical="center" textRotation="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strike val="0"/>
        <outline val="0"/>
        <shadow val="0"/>
        <vertAlign val="baseline"/>
        <sz val="12"/>
      </font>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general" vertical="bottom"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general" vertical="bottom"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general" vertical="bottom"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general" vertical="bottom" textRotation="0" wrapText="0" indent="0" justifyLastLine="0" shrinkToFit="0" readingOrder="0"/>
    </dxf>
    <dxf>
      <font>
        <b/>
        <i val="0"/>
        <strike val="0"/>
        <condense val="0"/>
        <extend val="0"/>
        <outline val="0"/>
        <shadow val="0"/>
        <u val="none"/>
        <vertAlign val="baseline"/>
        <sz val="12"/>
        <color theme="1"/>
        <name val="Arial"/>
        <family val="2"/>
        <scheme val="none"/>
      </font>
      <numFmt numFmtId="3" formatCode="#,##0"/>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strike val="0"/>
        <outline val="0"/>
        <shadow val="0"/>
        <u val="none"/>
        <vertAlign val="baseline"/>
        <sz val="12"/>
        <color theme="1"/>
      </font>
    </dxf>
    <dxf>
      <font>
        <b val="0"/>
        <i val="0"/>
        <strike val="0"/>
        <condense val="0"/>
        <extend val="0"/>
        <outline val="0"/>
        <shadow val="0"/>
        <u val="none"/>
        <vertAlign val="baseline"/>
        <sz val="12"/>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2"/>
        <color theme="1"/>
        <name val="Arial"/>
        <family val="2"/>
        <scheme val="none"/>
      </font>
      <fill>
        <patternFill patternType="none">
          <fgColor indexed="64"/>
          <bgColor indexed="65"/>
        </patternFill>
      </fill>
      <alignment horizontal="right" vertical="bottom"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Arial"/>
        <family val="2"/>
        <scheme val="none"/>
      </font>
      <alignment horizontal="right" vertical="center" textRotation="0" wrapText="1" indent="0" justifyLastLine="0" shrinkToFit="0" readingOrder="0"/>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border diagonalUp="0" diagonalDown="0">
        <left style="thin">
          <color indexed="64"/>
        </left>
        <right style="thin">
          <color auto="1"/>
        </right>
        <vertical/>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alignment horizontal="right" textRotation="0" indent="0" justifyLastLine="0" shrinkToFit="0" readingOrder="0"/>
    </dxf>
    <dxf>
      <alignment horizontal="right" textRotation="0" indent="0" justifyLastLine="0" shrinkToFit="0" readingOrder="0"/>
      <border diagonalUp="0" diagonalDown="0">
        <left style="thin">
          <color indexed="64"/>
        </left>
        <right/>
        <vertical/>
      </border>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alignment horizontal="right" textRotation="0" indent="0" justifyLastLine="0" shrinkToFit="0" readingOrder="0"/>
    </dxf>
    <dxf>
      <border>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bottom style="thin">
          <color indexed="64"/>
        </bottom>
      </border>
    </dxf>
    <dxf>
      <fill>
        <patternFill patternType="none">
          <fgColor indexed="64"/>
          <bgColor auto="1"/>
        </patternFill>
      </fill>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border diagonalUp="0" diagonalDown="0">
        <left style="thin">
          <color indexed="64"/>
        </left>
        <right/>
        <vertical/>
      </border>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alignment horizontal="right" textRotation="0" indent="0" justifyLastLine="0" shrinkToFit="0" readingOrder="0"/>
    </dxf>
    <dxf>
      <fill>
        <patternFill patternType="none">
          <fgColor indexed="64"/>
          <bgColor auto="1"/>
        </patternFill>
      </fill>
    </dxf>
    <dxf>
      <fill>
        <patternFill patternType="none">
          <fgColor indexed="64"/>
          <bgColor auto="1"/>
        </patternFill>
      </fill>
    </dxf>
    <dxf>
      <border>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bottom style="thin">
          <color indexed="64"/>
        </bottom>
      </border>
    </dxf>
    <dxf>
      <fill>
        <patternFill patternType="none">
          <fgColor indexed="64"/>
          <bgColor auto="1"/>
        </patternFill>
      </fill>
      <alignment horizontal="right" textRotation="0" indent="0" justifyLastLine="0" shrinkToFit="0" readingOrder="0"/>
    </dxf>
    <dxf>
      <border diagonalUp="0" diagonalDown="0">
        <left style="thin">
          <color indexed="64"/>
        </left>
        <right/>
        <vertical/>
      </border>
    </dxf>
    <dxf>
      <border>
        <bottom style="thin">
          <color indexed="64"/>
        </bottom>
      </border>
    </dxf>
    <dxf>
      <alignment horizontal="right" textRotation="0" indent="0" justifyLastLine="0" shrinkToFit="0" readingOrder="0"/>
    </dxf>
    <dxf>
      <font>
        <sz val="12"/>
      </font>
      <fill>
        <patternFill patternType="solid">
          <fgColor indexed="64"/>
          <bgColor theme="0"/>
        </patternFill>
      </fill>
      <alignment horizontal="general" vertical="top" textRotation="0" wrapText="1" indent="0" justifyLastLine="0" shrinkToFit="0" readingOrder="0"/>
    </dxf>
    <dxf>
      <alignment vertical="top" textRotation="0" indent="0" justifyLastLine="0" shrinkToFit="0" readingOrder="0"/>
    </dxf>
    <dxf>
      <alignment horizontal="center" vertical="top" textRotation="0" wrapText="1" indent="0" justifyLastLine="0" shrinkToFit="0" readingOrder="0"/>
    </dxf>
    <dxf>
      <alignment vertical="top" textRotation="0" indent="0" justifyLastLine="0" shrinkToFit="0" readingOrder="0"/>
    </dxf>
    <dxf>
      <alignment vertical="top" textRotation="0" indent="0" justifyLastLine="0" shrinkToFit="0" readingOrder="0"/>
    </dxf>
    <dxf>
      <font>
        <b val="0"/>
        <i val="0"/>
        <strike val="0"/>
        <condense val="0"/>
        <extend val="0"/>
        <outline val="0"/>
        <shadow val="0"/>
        <u val="none"/>
        <vertAlign val="baseline"/>
        <sz val="12"/>
        <color auto="1"/>
        <name val="Arial"/>
        <family val="2"/>
        <scheme val="none"/>
      </font>
      <alignment horizontal="general" vertical="top" textRotation="0" wrapText="1" indent="0" justifyLastLine="0" shrinkToFit="0" readingOrder="0"/>
    </dxf>
  </dxfs>
  <tableStyles count="1" defaultTableStyle="TableStyleMedium9" defaultPivotStyle="PivotStyleLight16">
    <tableStyle name="Table Style 1" pivot="0" count="0" xr9:uid="{113FB011-E56B-4F83-97A9-3123B4F7CBC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14</xdr:row>
      <xdr:rowOff>0</xdr:rowOff>
    </xdr:from>
    <xdr:to>
      <xdr:col>12</xdr:col>
      <xdr:colOff>279004</xdr:colOff>
      <xdr:row>28</xdr:row>
      <xdr:rowOff>89404</xdr:rowOff>
    </xdr:to>
    <xdr:pic>
      <xdr:nvPicPr>
        <xdr:cNvPr id="4" name="Picture 3">
          <a:extLst>
            <a:ext uri="{FF2B5EF4-FFF2-40B4-BE49-F238E27FC236}">
              <a16:creationId xmlns:a16="http://schemas.microsoft.com/office/drawing/2014/main" id="{9346D7F6-C2FC-C60E-DC42-3D9DD89F36AC}"/>
            </a:ext>
          </a:extLst>
        </xdr:cNvPr>
        <xdr:cNvPicPr>
          <a:picLocks noChangeAspect="1"/>
        </xdr:cNvPicPr>
      </xdr:nvPicPr>
      <xdr:blipFill>
        <a:blip xmlns:r="http://schemas.openxmlformats.org/officeDocument/2006/relationships" r:embed="rId1"/>
        <a:stretch>
          <a:fillRect/>
        </a:stretch>
      </xdr:blipFill>
      <xdr:spPr>
        <a:xfrm>
          <a:off x="4962525" y="3419475"/>
          <a:ext cx="10089754" cy="28897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533400</xdr:colOff>
      <xdr:row>5</xdr:row>
      <xdr:rowOff>171450</xdr:rowOff>
    </xdr:from>
    <xdr:to>
      <xdr:col>10</xdr:col>
      <xdr:colOff>50689</xdr:colOff>
      <xdr:row>18</xdr:row>
      <xdr:rowOff>79106</xdr:rowOff>
    </xdr:to>
    <xdr:pic>
      <xdr:nvPicPr>
        <xdr:cNvPr id="3" name="Picture 2">
          <a:extLst>
            <a:ext uri="{FF2B5EF4-FFF2-40B4-BE49-F238E27FC236}">
              <a16:creationId xmlns:a16="http://schemas.microsoft.com/office/drawing/2014/main" id="{2AD2F472-0862-3F66-B8C0-F8177C8D2C65}"/>
            </a:ext>
          </a:extLst>
        </xdr:cNvPr>
        <xdr:cNvPicPr>
          <a:picLocks noChangeAspect="1"/>
        </xdr:cNvPicPr>
      </xdr:nvPicPr>
      <xdr:blipFill>
        <a:blip xmlns:r="http://schemas.openxmlformats.org/officeDocument/2006/relationships" r:embed="rId1"/>
        <a:stretch>
          <a:fillRect/>
        </a:stretch>
      </xdr:blipFill>
      <xdr:spPr>
        <a:xfrm>
          <a:off x="4638675" y="1600200"/>
          <a:ext cx="4584589" cy="2755631"/>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F7343EA-D776-4E1D-96B0-5AAA3A472C5B}" name="Cover" displayName="Cover" ref="A2:B12" totalsRowShown="0">
  <autoFilter ref="A2:B12" xr:uid="{4F7343EA-D776-4E1D-96B0-5AAA3A472C5B}">
    <filterColumn colId="0" hiddenButton="1"/>
    <filterColumn colId="1" hiddenButton="1"/>
  </autoFilter>
  <tableColumns count="2">
    <tableColumn id="1" xr3:uid="{1F517A72-81F0-4CC7-AD28-D4DC1DF98F9F}" name="Information"/>
    <tableColumn id="2" xr3:uid="{B46A96F0-B404-4A10-BCB8-DE95F16C8829}" name="Useful links" dataDxfId="114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notes_table" displayName="notes_table" ref="A4:C26" totalsRowShown="0" headerRowDxfId="1145" dataDxfId="1144">
  <tableColumns count="3">
    <tableColumn id="1" xr3:uid="{00000000-0010-0000-0100-000001000000}" name="Note number" dataDxfId="1143"/>
    <tableColumn id="2" xr3:uid="{00000000-0010-0000-0100-000002000000}" name="Note text" dataDxfId="1142"/>
    <tableColumn id="3" xr3:uid="{992D5603-C865-4808-A1EB-1DE43CE86CE5}" name="Useful links" dataDxfId="1141" dataCellStyle="Normal 5 4 3"/>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1a" displayName="A1a" ref="A8:AG61" totalsRowShown="0" headerRowDxfId="1140" headerRowBorderDxfId="1139">
  <tableColumns count="33">
    <tableColumn id="1" xr3:uid="{00000000-0010-0000-0200-000001000000}" name="Offence group_x000a_[note 5]"/>
    <tableColumn id="2" xr3:uid="{00000000-0010-0000-0200-000002000000}" name="Jan 1981 to Dec 1981"/>
    <tableColumn id="3" xr3:uid="{00000000-0010-0000-0200-000003000000}" name="Jan 1983 to Dec 1983"/>
    <tableColumn id="4" xr3:uid="{00000000-0010-0000-0200-000004000000}" name="Jan 1987 to Dec 1987"/>
    <tableColumn id="5" xr3:uid="{00000000-0010-0000-0200-000005000000}" name="Jan 1991 to Dec 1991"/>
    <tableColumn id="6" xr3:uid="{00000000-0010-0000-0200-000006000000}" name="Jan 1993 to Dec 1993"/>
    <tableColumn id="7" xr3:uid="{00000000-0010-0000-0200-000007000000}" name="Jan 1995 to Dec 1995"/>
    <tableColumn id="8" xr3:uid="{00000000-0010-0000-0200-000008000000}" name="Jan 1997 to Dec 1997"/>
    <tableColumn id="9" xr3:uid="{00000000-0010-0000-0200-000009000000}" name="Jan 1999 to Dec 1999"/>
    <tableColumn id="10" xr3:uid="{00000000-0010-0000-0200-00000A000000}" name="Apr 2001 to Mar 2002"/>
    <tableColumn id="11" xr3:uid="{00000000-0010-0000-0200-00000B000000}" name="Apr 2002 to Mar 2003"/>
    <tableColumn id="12" xr3:uid="{00000000-0010-0000-0200-00000C000000}" name="Apr 2003 to Mar 2004"/>
    <tableColumn id="13" xr3:uid="{00000000-0010-0000-0200-00000D000000}" name="Apr 2004 to Mar 2005"/>
    <tableColumn id="14" xr3:uid="{00000000-0010-0000-0200-00000E000000}" name="Apr 2005 to Mar 2006"/>
    <tableColumn id="15" xr3:uid="{00000000-0010-0000-0200-00000F000000}" name="Apr 2006 to Mar 2007"/>
    <tableColumn id="16" xr3:uid="{00000000-0010-0000-0200-000010000000}" name="Apr 2007 to Mar 2008"/>
    <tableColumn id="17" xr3:uid="{00000000-0010-0000-0200-000011000000}" name="Apr 2008 to Mar 2009"/>
    <tableColumn id="18" xr3:uid="{00000000-0010-0000-0200-000012000000}" name="Apr 2009 to Mar 2010"/>
    <tableColumn id="19" xr3:uid="{00000000-0010-0000-0200-000013000000}" name="Apr 2010 to Mar 2011"/>
    <tableColumn id="20" xr3:uid="{00000000-0010-0000-0200-000014000000}" name="Apr 2011 to Mar 2012"/>
    <tableColumn id="21" xr3:uid="{00000000-0010-0000-0200-000015000000}" name="Apr 2012 to Mar 2013_x000a_[note 6]"/>
    <tableColumn id="22" xr3:uid="{00000000-0010-0000-0200-000016000000}" name="Apr 2013 to Mar 2014"/>
    <tableColumn id="23" xr3:uid="{00000000-0010-0000-0200-000017000000}" name="Apr 2014 to Mar 2015"/>
    <tableColumn id="24" xr3:uid="{00000000-0010-0000-0200-000018000000}" name="Apr 2015 to Mar 2016"/>
    <tableColumn id="25" xr3:uid="{00000000-0010-0000-0200-000019000000}" name="Apr 2016 to Mar 2017"/>
    <tableColumn id="26" xr3:uid="{00000000-0010-0000-0200-00001A000000}" name="Apr 2017 to Mar 2018"/>
    <tableColumn id="27" xr3:uid="{00000000-0010-0000-0200-00001B000000}" name="Apr 2018 to Mar 2019"/>
    <tableColumn id="28" xr3:uid="{00000000-0010-0000-0200-00001C000000}" name="Apr 2019 to Mar 2020_x000a_[note 7]"/>
    <tableColumn id="29" xr3:uid="{00000000-0010-0000-0200-00001D000000}" name="Apr 2022 to Mar 2023"/>
    <tableColumn id="30" xr3:uid="{00000000-0010-0000-0200-00001E000000}" name="Apr 2023 to Mar 2024"/>
    <tableColumn id="31" xr3:uid="{00000000-0010-0000-0200-00001F000000}" name="Apr 2024 to Mar 2025"/>
    <tableColumn id="32" xr3:uid="{00000000-0010-0000-0200-000020000000}" name="Jul 2023 to Jun 2024" dataDxfId="1138"/>
    <tableColumn id="33" xr3:uid="{00000000-0010-0000-0200-000021000000}" name="Jul 2024 to Jun 2025"/>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1b" displayName="A1b" ref="A8:AW56" totalsRowShown="0" headerRowDxfId="1137" dataDxfId="1135" headerRowBorderDxfId="1136">
  <tableColumns count="49">
    <tableColumn id="1" xr3:uid="{00000000-0010-0000-0300-000001000000}" name="Offence group_x000a_[note 5]" dataDxfId="1134"/>
    <tableColumn id="2" xr3:uid="{00000000-0010-0000-0300-000002000000}" name="Jan 1995 to Dec 1995 " dataDxfId="1133"/>
    <tableColumn id="3" xr3:uid="{00000000-0010-0000-0300-000003000000}" name="Jan 1995 to Dec 1995 Significance" dataDxfId="1132"/>
    <tableColumn id="4" xr3:uid="{00000000-0010-0000-0300-000004000000}" name="Jan 1997 to Dec 1997 " dataDxfId="1131"/>
    <tableColumn id="5" xr3:uid="{00000000-0010-0000-0300-000005000000}" name="Jan 1997 to Dec 1997 Significance" dataDxfId="1130"/>
    <tableColumn id="6" xr3:uid="{00000000-0010-0000-0300-000006000000}" name="Jan 1999 to Dec 1999 " dataDxfId="1129"/>
    <tableColumn id="7" xr3:uid="{00000000-0010-0000-0300-000007000000}" name="Jan 1999 to Dec 1999 Significance" dataDxfId="1128"/>
    <tableColumn id="8" xr3:uid="{00000000-0010-0000-0300-000008000000}" name="Apr 2001 to Mar 2002 " dataDxfId="1127"/>
    <tableColumn id="9" xr3:uid="{00000000-0010-0000-0300-000009000000}" name="Apr 2001 to Mar 2002 Significance" dataDxfId="1126"/>
    <tableColumn id="10" xr3:uid="{00000000-0010-0000-0300-00000A000000}" name="Apr 2002 to Mar 2003 " dataDxfId="1125"/>
    <tableColumn id="11" xr3:uid="{00000000-0010-0000-0300-00000B000000}" name="Apr 2002 to Mar 2003 Significance" dataDxfId="1124"/>
    <tableColumn id="12" xr3:uid="{00000000-0010-0000-0300-00000C000000}" name="Apr 2003 to Mar 2004 " dataDxfId="1123"/>
    <tableColumn id="13" xr3:uid="{00000000-0010-0000-0300-00000D000000}" name="Apr 2003 to Mar 2004 Significance" dataDxfId="1122"/>
    <tableColumn id="14" xr3:uid="{00000000-0010-0000-0300-00000E000000}" name="Apr 2004 to Mar 2005 " dataDxfId="1121"/>
    <tableColumn id="15" xr3:uid="{00000000-0010-0000-0300-00000F000000}" name="Apr 2004 to Mar 2005 Significance" dataDxfId="1120"/>
    <tableColumn id="16" xr3:uid="{00000000-0010-0000-0300-000010000000}" name="Apr 2005 to Mar 2006 " dataDxfId="1119"/>
    <tableColumn id="17" xr3:uid="{00000000-0010-0000-0300-000011000000}" name="Apr 2005 to Mar 2006 Significance" dataDxfId="1118"/>
    <tableColumn id="18" xr3:uid="{00000000-0010-0000-0300-000012000000}" name="Apr 2006 to Mar 2007 " dataDxfId="1117"/>
    <tableColumn id="19" xr3:uid="{00000000-0010-0000-0300-000013000000}" name="Apr 2006 to Mar 2007 Significance" dataDxfId="1116"/>
    <tableColumn id="20" xr3:uid="{00000000-0010-0000-0300-000014000000}" name="Apr 2007 to Mar 2008 " dataDxfId="1115"/>
    <tableColumn id="21" xr3:uid="{00000000-0010-0000-0300-000015000000}" name="Apr 2007 to Mar 2008 Significance" dataDxfId="1114"/>
    <tableColumn id="22" xr3:uid="{00000000-0010-0000-0300-000016000000}" name="Apr 2008 to Mar 2009 " dataDxfId="1113"/>
    <tableColumn id="23" xr3:uid="{00000000-0010-0000-0300-000017000000}" name="Apr 2008 to Mar 2009 Significance" dataDxfId="1112"/>
    <tableColumn id="24" xr3:uid="{00000000-0010-0000-0300-000018000000}" name="Apr 2009 to Mar 2010 " dataDxfId="1111"/>
    <tableColumn id="25" xr3:uid="{00000000-0010-0000-0300-000019000000}" name="Apr 2009 to Mar 2010 Significance" dataDxfId="1110"/>
    <tableColumn id="26" xr3:uid="{00000000-0010-0000-0300-00001A000000}" name="Apr 2010 to Mar 2011 " dataDxfId="1109"/>
    <tableColumn id="27" xr3:uid="{00000000-0010-0000-0300-00001B000000}" name="Apr 2010 to Mar 2011 Significance" dataDxfId="1108"/>
    <tableColumn id="28" xr3:uid="{00000000-0010-0000-0300-00001C000000}" name="Apr 2011 to Mar 2012 " dataDxfId="1107"/>
    <tableColumn id="29" xr3:uid="{00000000-0010-0000-0300-00001D000000}" name="Apr 2011 to Mar 2012 Significance" dataDxfId="1106"/>
    <tableColumn id="30" xr3:uid="{00000000-0010-0000-0300-00001E000000}" name="Apr 2012 to Mar 2013 " dataDxfId="1105"/>
    <tableColumn id="31" xr3:uid="{00000000-0010-0000-0300-00001F000000}" name="Apr 2012 to Mar 2013 Significance" dataDxfId="1104"/>
    <tableColumn id="32" xr3:uid="{00000000-0010-0000-0300-000020000000}" name="Apr 2013 to Mar 2014 " dataDxfId="1103"/>
    <tableColumn id="33" xr3:uid="{00000000-0010-0000-0300-000021000000}" name="Apr 2013 to Mar 2014 Significance" dataDxfId="1102"/>
    <tableColumn id="34" xr3:uid="{00000000-0010-0000-0300-000022000000}" name="Apr 2014 to Mar 2015 " dataDxfId="1101"/>
    <tableColumn id="35" xr3:uid="{00000000-0010-0000-0300-000023000000}" name="Apr 2014 to Mar 2015 Significance" dataDxfId="1100"/>
    <tableColumn id="36" xr3:uid="{00000000-0010-0000-0300-000024000000}" name="Apr 2015 to Mar 2016 " dataDxfId="1099"/>
    <tableColumn id="37" xr3:uid="{00000000-0010-0000-0300-000025000000}" name="Apr 2015 to Mar 2016 Significance" dataDxfId="1098"/>
    <tableColumn id="38" xr3:uid="{00000000-0010-0000-0300-000026000000}" name="Apr 2016 to Mar 2017 " dataDxfId="1097"/>
    <tableColumn id="39" xr3:uid="{00000000-0010-0000-0300-000027000000}" name="Apr 2016 to Mar 2017 Significance" dataDxfId="1096"/>
    <tableColumn id="40" xr3:uid="{00000000-0010-0000-0300-000028000000}" name="Apr 2017 to Mar 2018 " dataDxfId="1095"/>
    <tableColumn id="41" xr3:uid="{00000000-0010-0000-0300-000029000000}" name="Apr 2017 to Mar 2018 Significance" dataDxfId="1094"/>
    <tableColumn id="42" xr3:uid="{00000000-0010-0000-0300-00002A000000}" name="Apr 2018 to Mar 2019 " dataDxfId="1093"/>
    <tableColumn id="43" xr3:uid="{00000000-0010-0000-0300-00002B000000}" name="Apr 2018 to Mar 2019 Significance" dataDxfId="1092"/>
    <tableColumn id="44" xr3:uid="{00000000-0010-0000-0300-00002C000000}" name="Apr 2019 to Mar 2020 " dataDxfId="1091"/>
    <tableColumn id="45" xr3:uid="{00000000-0010-0000-0300-00002D000000}" name="Apr 2019 to Mar 2020 Significance" dataDxfId="1090"/>
    <tableColumn id="46" xr3:uid="{00000000-0010-0000-0300-00002E000000}" name="Apr 2022 to Mar 2023 " dataDxfId="1089"/>
    <tableColumn id="47" xr3:uid="{00000000-0010-0000-0300-00002F000000}" name="Apr 2022 to Mar 2023 Significance" dataDxfId="1088"/>
    <tableColumn id="52" xr3:uid="{00000000-0010-0000-0300-000034000000}" name="Jul 2023 to Jun 2024 " dataDxfId="1087"/>
    <tableColumn id="53" xr3:uid="{00000000-0010-0000-0300-000035000000}" name="Jul 2023 to Jun 2024 Significance" dataDxfId="108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2a" displayName="A2a" ref="A8:AG70" totalsRowShown="0" headerRowDxfId="1085" dataDxfId="1083" headerRowBorderDxfId="1084">
  <tableColumns count="33">
    <tableColumn id="1" xr3:uid="{00000000-0010-0000-0400-000001000000}" name="Offence group_x000a_[note 5]" dataDxfId="1082"/>
    <tableColumn id="2" xr3:uid="{00000000-0010-0000-0400-000002000000}" name="Jan 1981 to Dec 1981" dataDxfId="1081"/>
    <tableColumn id="3" xr3:uid="{00000000-0010-0000-0400-000003000000}" name="Jan 1983 to Dec 1983" dataDxfId="1080"/>
    <tableColumn id="4" xr3:uid="{00000000-0010-0000-0400-000004000000}" name="Jan 1987 to Dec 1987" dataDxfId="1079"/>
    <tableColumn id="5" xr3:uid="{00000000-0010-0000-0400-000005000000}" name="Jan 1991 to Dec 1991" dataDxfId="1078"/>
    <tableColumn id="6" xr3:uid="{00000000-0010-0000-0400-000006000000}" name="Jan 1993 to Dec 1993" dataDxfId="1077"/>
    <tableColumn id="7" xr3:uid="{00000000-0010-0000-0400-000007000000}" name="Jan 1995 to Dec 1995" dataDxfId="1076"/>
    <tableColumn id="8" xr3:uid="{00000000-0010-0000-0400-000008000000}" name="Jan 1997 to Dec 1997" dataDxfId="1075"/>
    <tableColumn id="9" xr3:uid="{00000000-0010-0000-0400-000009000000}" name="Jan 1999 to Dec 1999" dataDxfId="1074"/>
    <tableColumn id="10" xr3:uid="{00000000-0010-0000-0400-00000A000000}" name="Apr 2001 to Mar 2002" dataDxfId="1073"/>
    <tableColumn id="11" xr3:uid="{00000000-0010-0000-0400-00000B000000}" name="Apr 2002 to Mar 2003" dataDxfId="1072"/>
    <tableColumn id="12" xr3:uid="{00000000-0010-0000-0400-00000C000000}" name="Apr 2003 to Mar 2004" dataDxfId="1071"/>
    <tableColumn id="13" xr3:uid="{00000000-0010-0000-0400-00000D000000}" name="Apr 2004 to Mar 2005" dataDxfId="1070"/>
    <tableColumn id="14" xr3:uid="{00000000-0010-0000-0400-00000E000000}" name="Apr 2005 to Mar 2006" dataDxfId="1069"/>
    <tableColumn id="15" xr3:uid="{00000000-0010-0000-0400-00000F000000}" name="Apr 2006 to Mar 2007" dataDxfId="1068"/>
    <tableColumn id="16" xr3:uid="{00000000-0010-0000-0400-000010000000}" name="Apr 2007 to Mar 2008" dataDxfId="1067"/>
    <tableColumn id="17" xr3:uid="{00000000-0010-0000-0400-000011000000}" name="Apr 2008 to Mar 2009" dataDxfId="1066"/>
    <tableColumn id="18" xr3:uid="{00000000-0010-0000-0400-000012000000}" name="Apr 2009 to Mar 2010" dataDxfId="1065"/>
    <tableColumn id="19" xr3:uid="{00000000-0010-0000-0400-000013000000}" name="Apr 2010 to Mar 2011" dataDxfId="1064"/>
    <tableColumn id="20" xr3:uid="{00000000-0010-0000-0400-000014000000}" name="Apr 2011 to Mar 2012" dataDxfId="1063"/>
    <tableColumn id="21" xr3:uid="{00000000-0010-0000-0400-000015000000}" name="Apr 2012 to Mar 2013_x000a_[note 6]" dataDxfId="1062"/>
    <tableColumn id="22" xr3:uid="{00000000-0010-0000-0400-000016000000}" name="Apr 2013 to Mar 2014" dataDxfId="1061"/>
    <tableColumn id="23" xr3:uid="{00000000-0010-0000-0400-000017000000}" name="Apr 2014 to Mar 2015" dataDxfId="1060"/>
    <tableColumn id="24" xr3:uid="{00000000-0010-0000-0400-000018000000}" name="Apr 2015 to Mar 2016" dataDxfId="1059"/>
    <tableColumn id="25" xr3:uid="{00000000-0010-0000-0400-000019000000}" name="Apr 2016 to Mar 2017" dataDxfId="1058"/>
    <tableColumn id="26" xr3:uid="{00000000-0010-0000-0400-00001A000000}" name="Apr 2017 to Mar 2018" dataDxfId="1057"/>
    <tableColumn id="27" xr3:uid="{00000000-0010-0000-0400-00001B000000}" name="Apr 2018 to Mar 2019" dataDxfId="1056"/>
    <tableColumn id="28" xr3:uid="{00000000-0010-0000-0400-00001C000000}" name="Apr 2019 to Mar 2020_x000a_[note 7]" dataDxfId="1055"/>
    <tableColumn id="29" xr3:uid="{00000000-0010-0000-0400-00001D000000}" name="Apr 2022 to Mar 2023" dataDxfId="1054"/>
    <tableColumn id="30" xr3:uid="{00000000-0010-0000-0400-00001E000000}" name="Apr 2023 to Mar 2024" dataDxfId="1053"/>
    <tableColumn id="31" xr3:uid="{00000000-0010-0000-0400-00001F000000}" name="Apr 2024 to Mar 2025" dataDxfId="1052"/>
    <tableColumn id="32" xr3:uid="{00000000-0010-0000-0400-000020000000}" name="Jul 2023 to Jun 2024" dataDxfId="1051"/>
    <tableColumn id="33" xr3:uid="{00000000-0010-0000-0400-000021000000}" name="Jul 2024 to Jun 2025" dataDxfId="1050"/>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2b" displayName="A2b" ref="A8:AW62" totalsRowShown="0" headerRowDxfId="1049" dataDxfId="1047" headerRowBorderDxfId="1048">
  <tableColumns count="49">
    <tableColumn id="1" xr3:uid="{00000000-0010-0000-0500-000001000000}" name="Offence group_x000a_[note 5]" dataDxfId="1046"/>
    <tableColumn id="2" xr3:uid="{00000000-0010-0000-0500-000002000000}" name="Jan 1995 to Dec 1995 " dataDxfId="1045"/>
    <tableColumn id="3" xr3:uid="{00000000-0010-0000-0500-000003000000}" name="Jan 1995 to Dec 1995 Significance" dataDxfId="1044"/>
    <tableColumn id="4" xr3:uid="{00000000-0010-0000-0500-000004000000}" name="Jan 1997 to Dec 1997 " dataDxfId="1043"/>
    <tableColumn id="5" xr3:uid="{00000000-0010-0000-0500-000005000000}" name="Jan 1997 to Dec 1997 Significance" dataDxfId="1042"/>
    <tableColumn id="6" xr3:uid="{00000000-0010-0000-0500-000006000000}" name="Jan 1999 to Dec 1999 " dataDxfId="1041"/>
    <tableColumn id="7" xr3:uid="{00000000-0010-0000-0500-000007000000}" name="Jan 1999 to Dec 1999 Significance" dataDxfId="1040"/>
    <tableColumn id="8" xr3:uid="{00000000-0010-0000-0500-000008000000}" name="Apr 2001 to Mar 2002 " dataDxfId="1039"/>
    <tableColumn id="9" xr3:uid="{00000000-0010-0000-0500-000009000000}" name="Apr 2001 to Mar 2002 Significance" dataDxfId="1038"/>
    <tableColumn id="10" xr3:uid="{00000000-0010-0000-0500-00000A000000}" name="Apr 2002 to Mar 2003 " dataDxfId="1037"/>
    <tableColumn id="11" xr3:uid="{00000000-0010-0000-0500-00000B000000}" name="Apr 2002 to Mar 2003 Significance" dataDxfId="1036"/>
    <tableColumn id="12" xr3:uid="{00000000-0010-0000-0500-00000C000000}" name="Apr 2003 to Mar 2004 " dataDxfId="1035"/>
    <tableColumn id="13" xr3:uid="{00000000-0010-0000-0500-00000D000000}" name="Apr 2003 to Mar 2004 Significance" dataDxfId="1034"/>
    <tableColumn id="14" xr3:uid="{00000000-0010-0000-0500-00000E000000}" name="Apr 2004 to Mar 2005 " dataDxfId="1033"/>
    <tableColumn id="15" xr3:uid="{00000000-0010-0000-0500-00000F000000}" name="Apr 2004 to Mar 2005 Significance" dataDxfId="1032"/>
    <tableColumn id="16" xr3:uid="{00000000-0010-0000-0500-000010000000}" name="Apr 2005 to Mar 2006 " dataDxfId="1031"/>
    <tableColumn id="17" xr3:uid="{00000000-0010-0000-0500-000011000000}" name="Apr 2005 to Mar 2006 Significance" dataDxfId="1030"/>
    <tableColumn id="18" xr3:uid="{00000000-0010-0000-0500-000012000000}" name="Apr 2006 to Mar 2007 " dataDxfId="1029"/>
    <tableColumn id="19" xr3:uid="{00000000-0010-0000-0500-000013000000}" name="Apr 2006 to Mar 2007 Significance" dataDxfId="1028"/>
    <tableColumn id="20" xr3:uid="{00000000-0010-0000-0500-000014000000}" name="Apr 2007 to Mar 2008 " dataDxfId="1027"/>
    <tableColumn id="21" xr3:uid="{00000000-0010-0000-0500-000015000000}" name="Apr 2007 to Mar 2008 Significance" dataDxfId="1026"/>
    <tableColumn id="22" xr3:uid="{00000000-0010-0000-0500-000016000000}" name="Apr 2008 to Mar 2009 " dataDxfId="1025"/>
    <tableColumn id="23" xr3:uid="{00000000-0010-0000-0500-000017000000}" name="Apr 2008 to Mar 2009 Significance" dataDxfId="1024"/>
    <tableColumn id="24" xr3:uid="{00000000-0010-0000-0500-000018000000}" name="Apr 2009 to Mar 2010 " dataDxfId="1023"/>
    <tableColumn id="25" xr3:uid="{00000000-0010-0000-0500-000019000000}" name="Apr 2009 to Mar 2010 Significance" dataDxfId="1022"/>
    <tableColumn id="26" xr3:uid="{00000000-0010-0000-0500-00001A000000}" name="Apr 2010 to Mar 2011 " dataDxfId="1021"/>
    <tableColumn id="27" xr3:uid="{00000000-0010-0000-0500-00001B000000}" name="Apr 2010 to Mar 2011 Significance" dataDxfId="1020"/>
    <tableColumn id="28" xr3:uid="{00000000-0010-0000-0500-00001C000000}" name="Apr 2011 to Mar 2012 " dataDxfId="1019"/>
    <tableColumn id="29" xr3:uid="{00000000-0010-0000-0500-00001D000000}" name="Apr 2011 to Mar 2012 Significance" dataDxfId="1018"/>
    <tableColumn id="30" xr3:uid="{00000000-0010-0000-0500-00001E000000}" name="Apr 2012 to Mar 2013 " dataDxfId="1017"/>
    <tableColumn id="31" xr3:uid="{00000000-0010-0000-0500-00001F000000}" name="Apr 2012 to Mar 2013 Significance" dataDxfId="1016"/>
    <tableColumn id="32" xr3:uid="{00000000-0010-0000-0500-000020000000}" name="Apr 2013 to Mar 2014 " dataDxfId="1015"/>
    <tableColumn id="33" xr3:uid="{00000000-0010-0000-0500-000021000000}" name="Apr 2013 to Mar 2014 Significance" dataDxfId="1014"/>
    <tableColumn id="34" xr3:uid="{00000000-0010-0000-0500-000022000000}" name="Apr 2014 to Mar 2015 " dataDxfId="1013"/>
    <tableColumn id="35" xr3:uid="{00000000-0010-0000-0500-000023000000}" name="Apr 2014 to Mar 2015 Significance" dataDxfId="1012"/>
    <tableColumn id="36" xr3:uid="{00000000-0010-0000-0500-000024000000}" name="Apr 2015 to Mar 2016 " dataDxfId="1011"/>
    <tableColumn id="37" xr3:uid="{00000000-0010-0000-0500-000025000000}" name="Apr 2015 to Mar 2016 Significance" dataDxfId="1010"/>
    <tableColumn id="38" xr3:uid="{00000000-0010-0000-0500-000026000000}" name="Apr 2016 to Mar 2017 " dataDxfId="1009"/>
    <tableColumn id="39" xr3:uid="{00000000-0010-0000-0500-000027000000}" name="Apr 2016 to Mar 2017 Significance" dataDxfId="1008"/>
    <tableColumn id="40" xr3:uid="{00000000-0010-0000-0500-000028000000}" name="Apr 2017 to Mar 2018 " dataDxfId="1007"/>
    <tableColumn id="41" xr3:uid="{00000000-0010-0000-0500-000029000000}" name="Apr 2017 to Mar 2018 Significance" dataDxfId="1006"/>
    <tableColumn id="42" xr3:uid="{00000000-0010-0000-0500-00002A000000}" name="Apr 2018 to Mar 2019 " dataDxfId="1005"/>
    <tableColumn id="43" xr3:uid="{00000000-0010-0000-0500-00002B000000}" name="Apr 2018 to Mar 2019 Significance" dataDxfId="1004"/>
    <tableColumn id="44" xr3:uid="{00000000-0010-0000-0500-00002C000000}" name="Apr 2019 to Mar 2020 " dataDxfId="1003"/>
    <tableColumn id="45" xr3:uid="{00000000-0010-0000-0500-00002D000000}" name="Apr 2019 to Mar 2020 Significance" dataDxfId="1002"/>
    <tableColumn id="46" xr3:uid="{00000000-0010-0000-0500-00002E000000}" name="Apr 2022 to Mar 2023 " dataDxfId="1001"/>
    <tableColumn id="47" xr3:uid="{00000000-0010-0000-0500-00002F000000}" name="Apr 2022 to Mar 2023 Significance" dataDxfId="1000"/>
    <tableColumn id="52" xr3:uid="{00000000-0010-0000-0500-000034000000}" name="Jul 2023 to Jun 2024 " dataDxfId="999"/>
    <tableColumn id="53" xr3:uid="{00000000-0010-0000-0500-000035000000}" name="Jul 2023 to Jun 2024 Significance" dataDxfId="998"/>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A3a" displayName="A3a" ref="A8:AG70" totalsRowShown="0" headerRowBorderDxfId="997">
  <tableColumns count="33">
    <tableColumn id="1" xr3:uid="{00000000-0010-0000-0600-000001000000}" name="Offence group_x000a_[note 5]"/>
    <tableColumn id="2" xr3:uid="{00000000-0010-0000-0600-000002000000}" name="Jan 1981 to Dec 1981" dataDxfId="996"/>
    <tableColumn id="3" xr3:uid="{00000000-0010-0000-0600-000003000000}" name="Jan 1983 to Dec 1983" dataDxfId="995"/>
    <tableColumn id="4" xr3:uid="{00000000-0010-0000-0600-000004000000}" name="Jan 1987 to Dec 1987" dataDxfId="994"/>
    <tableColumn id="5" xr3:uid="{00000000-0010-0000-0600-000005000000}" name="Jan 1991 to Dec 1991" dataDxfId="993"/>
    <tableColumn id="6" xr3:uid="{00000000-0010-0000-0600-000006000000}" name="Jan 1993 to Dec 1993" dataDxfId="992"/>
    <tableColumn id="7" xr3:uid="{00000000-0010-0000-0600-000007000000}" name="Jan 1995 to Dec 1995" dataDxfId="991"/>
    <tableColumn id="8" xr3:uid="{00000000-0010-0000-0600-000008000000}" name="Jan 1997 to Dec 1997" dataDxfId="990"/>
    <tableColumn id="9" xr3:uid="{00000000-0010-0000-0600-000009000000}" name="Jan 1999 to Dec 1999" dataDxfId="989"/>
    <tableColumn id="10" xr3:uid="{00000000-0010-0000-0600-00000A000000}" name="Apr 2001 to Mar 2002" dataDxfId="988"/>
    <tableColumn id="11" xr3:uid="{00000000-0010-0000-0600-00000B000000}" name="Apr 2002 to Mar 2003" dataDxfId="987"/>
    <tableColumn id="12" xr3:uid="{00000000-0010-0000-0600-00000C000000}" name="Apr 2003 to Mar 2004" dataDxfId="986"/>
    <tableColumn id="13" xr3:uid="{00000000-0010-0000-0600-00000D000000}" name="Apr 2004 to Mar 2005" dataDxfId="985"/>
    <tableColumn id="14" xr3:uid="{00000000-0010-0000-0600-00000E000000}" name="Apr 2005 to Mar 2006" dataDxfId="984"/>
    <tableColumn id="15" xr3:uid="{00000000-0010-0000-0600-00000F000000}" name="Apr 2006 to Mar 2007" dataDxfId="983"/>
    <tableColumn id="16" xr3:uid="{00000000-0010-0000-0600-000010000000}" name="Apr 2007 to Mar 2008" dataDxfId="982"/>
    <tableColumn id="17" xr3:uid="{00000000-0010-0000-0600-000011000000}" name="Apr 2008 to Mar 2009" dataDxfId="981"/>
    <tableColumn id="18" xr3:uid="{00000000-0010-0000-0600-000012000000}" name="Apr 2009 to Mar 2010" dataDxfId="980"/>
    <tableColumn id="19" xr3:uid="{00000000-0010-0000-0600-000013000000}" name="Apr 2010 to Mar 2011" dataDxfId="979"/>
    <tableColumn id="20" xr3:uid="{00000000-0010-0000-0600-000014000000}" name="Apr 2011 to Mar 2012" dataDxfId="978"/>
    <tableColumn id="21" xr3:uid="{00000000-0010-0000-0600-000015000000}" name="Apr 2012 to Mar 2013_x000a_[note 6]" dataDxfId="977"/>
    <tableColumn id="22" xr3:uid="{00000000-0010-0000-0600-000016000000}" name="Apr 2013 to Mar 2014" dataDxfId="976"/>
    <tableColumn id="23" xr3:uid="{00000000-0010-0000-0600-000017000000}" name="Apr 2014 to Mar 2015" dataDxfId="975"/>
    <tableColumn id="24" xr3:uid="{00000000-0010-0000-0600-000018000000}" name="Apr 2015 to Mar 2016" dataDxfId="974"/>
    <tableColumn id="25" xr3:uid="{00000000-0010-0000-0600-000019000000}" name="Apr 2016 to Mar 2017" dataDxfId="973"/>
    <tableColumn id="26" xr3:uid="{00000000-0010-0000-0600-00001A000000}" name="Apr 2017 to Mar 2018" dataDxfId="972"/>
    <tableColumn id="27" xr3:uid="{00000000-0010-0000-0600-00001B000000}" name="Apr 2018 to Mar 2019" dataDxfId="971"/>
    <tableColumn id="28" xr3:uid="{00000000-0010-0000-0600-00001C000000}" name="Apr 2019 to Mar 2020_x000a_[note 7]" dataDxfId="970"/>
    <tableColumn id="29" xr3:uid="{00000000-0010-0000-0600-00001D000000}" name="Apr 2022 to Mar 2023" dataDxfId="969"/>
    <tableColumn id="30" xr3:uid="{00000000-0010-0000-0600-00001E000000}" name="Apr 2023 to Mar 2024" dataDxfId="968"/>
    <tableColumn id="31" xr3:uid="{00000000-0010-0000-0600-00001F000000}" name="Apr 2024 to Mar 2025" dataDxfId="967"/>
    <tableColumn id="32" xr3:uid="{00000000-0010-0000-0600-000020000000}" name="Jul 2023 to Jun 2024" dataDxfId="966"/>
    <tableColumn id="33" xr3:uid="{00000000-0010-0000-0600-000021000000}" name="Jul 2024 to Jun 2025" dataDxfId="965"/>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3b" displayName="A3b" ref="A8:AW62" totalsRowShown="0" headerRowBorderDxfId="964">
  <tableColumns count="49">
    <tableColumn id="1" xr3:uid="{00000000-0010-0000-0700-000001000000}" name="Offence group_x000a_[note 5]"/>
    <tableColumn id="2" xr3:uid="{00000000-0010-0000-0700-000002000000}" name="Jan 1995 to Dec 1995 " dataDxfId="963"/>
    <tableColumn id="3" xr3:uid="{00000000-0010-0000-0700-000003000000}" name="Jan 1995 to Dec 1995 Significance" dataDxfId="962"/>
    <tableColumn id="4" xr3:uid="{00000000-0010-0000-0700-000004000000}" name="Jan 1997 to Dec 1997 " dataDxfId="961"/>
    <tableColumn id="5" xr3:uid="{00000000-0010-0000-0700-000005000000}" name="Jan 1997 to Dec 1997 Significance" dataDxfId="960"/>
    <tableColumn id="6" xr3:uid="{00000000-0010-0000-0700-000006000000}" name="Jan 1999 to Dec 1999 " dataDxfId="959"/>
    <tableColumn id="7" xr3:uid="{00000000-0010-0000-0700-000007000000}" name="Jan 1999 to Dec 1999 Significance" dataDxfId="958"/>
    <tableColumn id="8" xr3:uid="{00000000-0010-0000-0700-000008000000}" name="Apr 2001 to Mar 2002 " dataDxfId="957"/>
    <tableColumn id="9" xr3:uid="{00000000-0010-0000-0700-000009000000}" name="Apr 2001 to Mar 2002 Significance" dataDxfId="956"/>
    <tableColumn id="10" xr3:uid="{00000000-0010-0000-0700-00000A000000}" name="Apr 2002 to Mar 2003 " dataDxfId="955"/>
    <tableColumn id="11" xr3:uid="{00000000-0010-0000-0700-00000B000000}" name="Apr 2002 to Mar 2003 Significance" dataDxfId="954"/>
    <tableColumn id="12" xr3:uid="{00000000-0010-0000-0700-00000C000000}" name="Apr 2003 to Mar 2004 " dataDxfId="953"/>
    <tableColumn id="13" xr3:uid="{00000000-0010-0000-0700-00000D000000}" name="Apr 2003 to Mar 2004 Significance" dataDxfId="952"/>
    <tableColumn id="14" xr3:uid="{00000000-0010-0000-0700-00000E000000}" name="Apr 2004 to Mar 2005 " dataDxfId="951"/>
    <tableColumn id="15" xr3:uid="{00000000-0010-0000-0700-00000F000000}" name="Apr 2004 to Mar 2005 Significance" dataDxfId="950"/>
    <tableColumn id="16" xr3:uid="{00000000-0010-0000-0700-000010000000}" name="Apr 2005 to Mar 2006 " dataDxfId="949"/>
    <tableColumn id="17" xr3:uid="{00000000-0010-0000-0700-000011000000}" name="Apr 2005 to Mar 2006 Significance" dataDxfId="948"/>
    <tableColumn id="18" xr3:uid="{00000000-0010-0000-0700-000012000000}" name="Apr 2006 to Mar 2007 " dataDxfId="947"/>
    <tableColumn id="19" xr3:uid="{00000000-0010-0000-0700-000013000000}" name="Apr 2006 to Mar 2007 Significance" dataDxfId="946"/>
    <tableColumn id="20" xr3:uid="{00000000-0010-0000-0700-000014000000}" name="Apr 2007 to Mar 2008 " dataDxfId="945"/>
    <tableColumn id="21" xr3:uid="{00000000-0010-0000-0700-000015000000}" name="Apr 2007 to Mar 2008 Significance" dataDxfId="944"/>
    <tableColumn id="22" xr3:uid="{00000000-0010-0000-0700-000016000000}" name="Apr 2008 to Mar 2009 " dataDxfId="943"/>
    <tableColumn id="23" xr3:uid="{00000000-0010-0000-0700-000017000000}" name="Apr 2008 to Mar 2009 Significance" dataDxfId="942"/>
    <tableColumn id="24" xr3:uid="{00000000-0010-0000-0700-000018000000}" name="Apr 2009 to Mar 2010 " dataDxfId="941"/>
    <tableColumn id="25" xr3:uid="{00000000-0010-0000-0700-000019000000}" name="Apr 2009 to Mar 2010 Significance" dataDxfId="940"/>
    <tableColumn id="26" xr3:uid="{00000000-0010-0000-0700-00001A000000}" name="Apr 2010 to Mar 2011 " dataDxfId="939"/>
    <tableColumn id="27" xr3:uid="{00000000-0010-0000-0700-00001B000000}" name="Apr 2010 to Mar 2011 Significance" dataDxfId="938"/>
    <tableColumn id="28" xr3:uid="{00000000-0010-0000-0700-00001C000000}" name="Apr 2011 to Mar 2012 " dataDxfId="937"/>
    <tableColumn id="29" xr3:uid="{00000000-0010-0000-0700-00001D000000}" name="Apr 2011 to Mar 2012 Significance" dataDxfId="936"/>
    <tableColumn id="30" xr3:uid="{00000000-0010-0000-0700-00001E000000}" name="Apr 2012 to Mar 2013 " dataDxfId="935"/>
    <tableColumn id="31" xr3:uid="{00000000-0010-0000-0700-00001F000000}" name="Apr 2012 to Mar 2013 Significance" dataDxfId="934"/>
    <tableColumn id="32" xr3:uid="{00000000-0010-0000-0700-000020000000}" name="Apr 2013 to Mar 2014 " dataDxfId="933"/>
    <tableColumn id="33" xr3:uid="{00000000-0010-0000-0700-000021000000}" name="Apr 2013 to Mar 2014 Significance" dataDxfId="932"/>
    <tableColumn id="34" xr3:uid="{00000000-0010-0000-0700-000022000000}" name="Apr 2014 to Mar 2015 " dataDxfId="931"/>
    <tableColumn id="35" xr3:uid="{00000000-0010-0000-0700-000023000000}" name="Apr 2014 to Mar 2015 Significance" dataDxfId="930"/>
    <tableColumn id="36" xr3:uid="{00000000-0010-0000-0700-000024000000}" name="Apr 2015 to Mar 2016 " dataDxfId="929"/>
    <tableColumn id="37" xr3:uid="{00000000-0010-0000-0700-000025000000}" name="Apr 2015 to Mar 2016 Significance" dataDxfId="928"/>
    <tableColumn id="38" xr3:uid="{00000000-0010-0000-0700-000026000000}" name="Apr 2016 to Mar 2017 " dataDxfId="927"/>
    <tableColumn id="39" xr3:uid="{00000000-0010-0000-0700-000027000000}" name="Apr 2016 to Mar 2017 Significance" dataDxfId="926"/>
    <tableColumn id="40" xr3:uid="{00000000-0010-0000-0700-000028000000}" name="Apr 2017 to Mar 2018 " dataDxfId="925"/>
    <tableColumn id="41" xr3:uid="{00000000-0010-0000-0700-000029000000}" name="Apr 2017 to Mar 2018 Significance" dataDxfId="924"/>
    <tableColumn id="42" xr3:uid="{00000000-0010-0000-0700-00002A000000}" name="Apr 2018 to Mar 2019 " dataDxfId="923"/>
    <tableColumn id="43" xr3:uid="{00000000-0010-0000-0700-00002B000000}" name="Apr 2018 to Mar 2019 Significance" dataDxfId="922"/>
    <tableColumn id="44" xr3:uid="{00000000-0010-0000-0700-00002C000000}" name="Apr 2019 to Mar 2020 " dataDxfId="921"/>
    <tableColumn id="45" xr3:uid="{00000000-0010-0000-0700-00002D000000}" name="Apr 2019 to Mar 2020 Significance" dataDxfId="920"/>
    <tableColumn id="46" xr3:uid="{00000000-0010-0000-0700-00002E000000}" name="Apr 2022 to Mar 2023 " dataDxfId="919"/>
    <tableColumn id="47" xr3:uid="{00000000-0010-0000-0700-00002F000000}" name="Apr 2022 to Mar 2023 Significance" dataDxfId="918"/>
    <tableColumn id="52" xr3:uid="{00000000-0010-0000-0700-000034000000}" name="Jul 2023 to Jun 2024 " dataDxfId="917"/>
    <tableColumn id="53" xr3:uid="{00000000-0010-0000-0700-000035000000}" name="Jul 2023 to Jun 2024 Significance" dataDxfId="916"/>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A8a" displayName="A8a" ref="A8:AG61" totalsRowShown="0" headerRowBorderDxfId="915">
  <tableColumns count="33">
    <tableColumn id="1" xr3:uid="{00000000-0010-0000-1000-000001000000}" name="Offence group_x000a_[note 5]"/>
    <tableColumn id="2" xr3:uid="{00000000-0010-0000-1000-000002000000}" name="Jan 1981 to Dec 1981" dataDxfId="914"/>
    <tableColumn id="3" xr3:uid="{00000000-0010-0000-1000-000003000000}" name="Jan 1983 to Dec 1983" dataDxfId="913"/>
    <tableColumn id="4" xr3:uid="{00000000-0010-0000-1000-000004000000}" name="Jan 1987 to Dec 1987" dataDxfId="912"/>
    <tableColumn id="5" xr3:uid="{00000000-0010-0000-1000-000005000000}" name="Jan 1991 to Dec 1991" dataDxfId="911"/>
    <tableColumn id="6" xr3:uid="{00000000-0010-0000-1000-000006000000}" name="Jan 1993 to Dec 1993" dataDxfId="910"/>
    <tableColumn id="7" xr3:uid="{00000000-0010-0000-1000-000007000000}" name="Jan 1995 to Dec 1995" dataDxfId="909"/>
    <tableColumn id="8" xr3:uid="{00000000-0010-0000-1000-000008000000}" name="Jan 1997 to Dec 1997" dataDxfId="908"/>
    <tableColumn id="9" xr3:uid="{00000000-0010-0000-1000-000009000000}" name="Jan 1999 to Dec 1999" dataDxfId="907"/>
    <tableColumn id="10" xr3:uid="{00000000-0010-0000-1000-00000A000000}" name="Apr 2001 to Mar 2002" dataDxfId="906"/>
    <tableColumn id="11" xr3:uid="{00000000-0010-0000-1000-00000B000000}" name="Apr 2002 to Mar 2003" dataDxfId="905"/>
    <tableColumn id="12" xr3:uid="{00000000-0010-0000-1000-00000C000000}" name="Apr 2003 to Mar 2004" dataDxfId="904"/>
    <tableColumn id="13" xr3:uid="{00000000-0010-0000-1000-00000D000000}" name="Apr 2004 to Mar 2005" dataDxfId="903"/>
    <tableColumn id="14" xr3:uid="{00000000-0010-0000-1000-00000E000000}" name="Apr 2005 to Mar 2006" dataDxfId="902"/>
    <tableColumn id="15" xr3:uid="{00000000-0010-0000-1000-00000F000000}" name="Apr 2006 to Mar 2007" dataDxfId="901"/>
    <tableColumn id="16" xr3:uid="{00000000-0010-0000-1000-000010000000}" name="Apr 2007 to Mar 2008" dataDxfId="900"/>
    <tableColumn id="17" xr3:uid="{00000000-0010-0000-1000-000011000000}" name="Apr 2008 to Mar 2009" dataDxfId="899"/>
    <tableColumn id="18" xr3:uid="{00000000-0010-0000-1000-000012000000}" name="Apr 2009 to Mar 2010" dataDxfId="898"/>
    <tableColumn id="19" xr3:uid="{00000000-0010-0000-1000-000013000000}" name="Apr 2010 to Mar 2011" dataDxfId="897"/>
    <tableColumn id="20" xr3:uid="{00000000-0010-0000-1000-000014000000}" name="Apr 2011 to Mar 2012" dataDxfId="896"/>
    <tableColumn id="21" xr3:uid="{00000000-0010-0000-1000-000015000000}" name="Apr 2012 to Mar 2013_x000a_[note 6]" dataDxfId="895"/>
    <tableColumn id="22" xr3:uid="{00000000-0010-0000-1000-000016000000}" name="Apr 2013 to Mar 2014" dataDxfId="894"/>
    <tableColumn id="23" xr3:uid="{00000000-0010-0000-1000-000017000000}" name="Apr 2014 to Mar 2015" dataDxfId="893"/>
    <tableColumn id="24" xr3:uid="{00000000-0010-0000-1000-000018000000}" name="Apr 2015 to Mar 2016" dataDxfId="892"/>
    <tableColumn id="25" xr3:uid="{00000000-0010-0000-1000-000019000000}" name="Apr 2016 to Mar 2017" dataDxfId="891"/>
    <tableColumn id="26" xr3:uid="{00000000-0010-0000-1000-00001A000000}" name="Apr 2017 to Mar 2018" dataDxfId="890"/>
    <tableColumn id="27" xr3:uid="{00000000-0010-0000-1000-00001B000000}" name="Apr 2018 to Mar 2019" dataDxfId="889"/>
    <tableColumn id="28" xr3:uid="{00000000-0010-0000-1000-00001C000000}" name="Apr 2019 to Mar 2020_x000a_[note 7]" dataDxfId="888"/>
    <tableColumn id="29" xr3:uid="{00000000-0010-0000-1000-00001D000000}" name="Apr 2022 to Mar 2023" dataDxfId="887"/>
    <tableColumn id="30" xr3:uid="{00000000-0010-0000-1000-00001E000000}" name="Apr 2023 to Mar 2024" dataDxfId="886"/>
    <tableColumn id="31" xr3:uid="{00000000-0010-0000-1000-00001F000000}" name="Apr 2024 to Mar 2025" dataDxfId="885"/>
    <tableColumn id="32" xr3:uid="{00000000-0010-0000-1000-000020000000}" name="Jul 2023 to Jun 2024" dataDxfId="884"/>
    <tableColumn id="33" xr3:uid="{00000000-0010-0000-1000-000021000000}" name="Jul 2024 to Jun 2025" dataDxfId="883"/>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A8b" displayName="A8b" ref="A8:AW57" totalsRowShown="0" headerRowDxfId="882" headerRowBorderDxfId="881">
  <tableColumns count="49">
    <tableColumn id="1" xr3:uid="{00000000-0010-0000-1100-000001000000}" name="Offence group_x000a_[note 5]"/>
    <tableColumn id="2" xr3:uid="{00000000-0010-0000-1100-000002000000}" name="Jan 1995 to Dec 1995 " dataDxfId="880"/>
    <tableColumn id="3" xr3:uid="{00000000-0010-0000-1100-000003000000}" name="Jan 1995 to Dec 1995 Significance" dataDxfId="879"/>
    <tableColumn id="4" xr3:uid="{00000000-0010-0000-1100-000004000000}" name="Jan 1997 to Dec 1997 " dataDxfId="878"/>
    <tableColumn id="5" xr3:uid="{00000000-0010-0000-1100-000005000000}" name="Jan 1997 to Dec 1997 Significance" dataDxfId="877"/>
    <tableColumn id="6" xr3:uid="{00000000-0010-0000-1100-000006000000}" name="Jan 1999 to Dec 1999 " dataDxfId="876"/>
    <tableColumn id="7" xr3:uid="{00000000-0010-0000-1100-000007000000}" name="Jan 1999 to Dec 1999 Significance" dataDxfId="875"/>
    <tableColumn id="8" xr3:uid="{00000000-0010-0000-1100-000008000000}" name="Apr 2001 to Mar 2002 " dataDxfId="874"/>
    <tableColumn id="9" xr3:uid="{00000000-0010-0000-1100-000009000000}" name="Apr 2001 to Mar 2002 Significance" dataDxfId="873"/>
    <tableColumn id="10" xr3:uid="{00000000-0010-0000-1100-00000A000000}" name="Apr 2002 to Mar 2003 " dataDxfId="872"/>
    <tableColumn id="11" xr3:uid="{00000000-0010-0000-1100-00000B000000}" name="Apr 2002 to Mar 2003 Significance" dataDxfId="871"/>
    <tableColumn id="12" xr3:uid="{00000000-0010-0000-1100-00000C000000}" name="Apr 2003 to Mar 2004 " dataDxfId="870"/>
    <tableColumn id="13" xr3:uid="{00000000-0010-0000-1100-00000D000000}" name="Apr 2003 to Mar 2004 Significance" dataDxfId="869"/>
    <tableColumn id="14" xr3:uid="{00000000-0010-0000-1100-00000E000000}" name="Apr 2004 to Mar 2005 " dataDxfId="868"/>
    <tableColumn id="15" xr3:uid="{00000000-0010-0000-1100-00000F000000}" name="Apr 2004 to Mar 2005 Significance" dataDxfId="867"/>
    <tableColumn id="16" xr3:uid="{00000000-0010-0000-1100-000010000000}" name="Apr 2005 to Mar 2006 " dataDxfId="866"/>
    <tableColumn id="17" xr3:uid="{00000000-0010-0000-1100-000011000000}" name="Apr 2005 to Mar 2006 Significance" dataDxfId="865"/>
    <tableColumn id="18" xr3:uid="{00000000-0010-0000-1100-000012000000}" name="Apr 2006 to Mar 2007 " dataDxfId="864"/>
    <tableColumn id="19" xr3:uid="{00000000-0010-0000-1100-000013000000}" name="Apr 2006 to Mar 2007 Significance" dataDxfId="863"/>
    <tableColumn id="20" xr3:uid="{00000000-0010-0000-1100-000014000000}" name="Apr 2007 to Mar 2008 " dataDxfId="862"/>
    <tableColumn id="21" xr3:uid="{00000000-0010-0000-1100-000015000000}" name="Apr 2007 to Mar 2008 Significance" dataDxfId="861"/>
    <tableColumn id="22" xr3:uid="{00000000-0010-0000-1100-000016000000}" name="Apr 2008 to Mar 2009 " dataDxfId="860"/>
    <tableColumn id="23" xr3:uid="{00000000-0010-0000-1100-000017000000}" name="Apr 2008 to Mar 2009 Significance" dataDxfId="859"/>
    <tableColumn id="24" xr3:uid="{00000000-0010-0000-1100-000018000000}" name="Apr 2009 to Mar 2010 " dataDxfId="858"/>
    <tableColumn id="25" xr3:uid="{00000000-0010-0000-1100-000019000000}" name="Apr 2009 to Mar 2010 Significance" dataDxfId="857"/>
    <tableColumn id="26" xr3:uid="{00000000-0010-0000-1100-00001A000000}" name="Apr 2010 to Mar 2011 " dataDxfId="856"/>
    <tableColumn id="27" xr3:uid="{00000000-0010-0000-1100-00001B000000}" name="Apr 2010 to Mar 2011 Significance" dataDxfId="855"/>
    <tableColumn id="28" xr3:uid="{00000000-0010-0000-1100-00001C000000}" name="Apr 2011 to Mar 2012 " dataDxfId="854"/>
    <tableColumn id="29" xr3:uid="{00000000-0010-0000-1100-00001D000000}" name="Apr 2011 to Mar 2012 Significance" dataDxfId="853"/>
    <tableColumn id="30" xr3:uid="{00000000-0010-0000-1100-00001E000000}" name="Apr 2012 to Mar 2013 " dataDxfId="852"/>
    <tableColumn id="31" xr3:uid="{00000000-0010-0000-1100-00001F000000}" name="Apr 2012 to Mar 2013 Significance" dataDxfId="851"/>
    <tableColumn id="32" xr3:uid="{00000000-0010-0000-1100-000020000000}" name="Apr 2013 to Mar 2014 " dataDxfId="850"/>
    <tableColumn id="33" xr3:uid="{00000000-0010-0000-1100-000021000000}" name="Apr 2013 to Mar 2014 Significance" dataDxfId="849"/>
    <tableColumn id="34" xr3:uid="{00000000-0010-0000-1100-000022000000}" name="Apr 2014 to Mar 2015 " dataDxfId="848"/>
    <tableColumn id="35" xr3:uid="{00000000-0010-0000-1100-000023000000}" name="Apr 2014 to Mar 2015 Significance" dataDxfId="847"/>
    <tableColumn id="36" xr3:uid="{00000000-0010-0000-1100-000024000000}" name="Apr 2015 to Mar 2016 " dataDxfId="846"/>
    <tableColumn id="37" xr3:uid="{00000000-0010-0000-1100-000025000000}" name="Apr 2015 to Mar 2016 Significance" dataDxfId="845"/>
    <tableColumn id="38" xr3:uid="{00000000-0010-0000-1100-000026000000}" name="Apr 2016 to Mar 2017 " dataDxfId="844"/>
    <tableColumn id="39" xr3:uid="{00000000-0010-0000-1100-000027000000}" name="Apr 2016 to Mar 2017 Significance" dataDxfId="843"/>
    <tableColumn id="40" xr3:uid="{00000000-0010-0000-1100-000028000000}" name="Apr 2017 to Mar 2018 " dataDxfId="842"/>
    <tableColumn id="41" xr3:uid="{00000000-0010-0000-1100-000029000000}" name="Apr 2017 to Mar 2018 Significance" dataDxfId="841"/>
    <tableColumn id="42" xr3:uid="{00000000-0010-0000-1100-00002A000000}" name="Apr 2018 to Mar 2019 " dataDxfId="840"/>
    <tableColumn id="43" xr3:uid="{00000000-0010-0000-1100-00002B000000}" name="Apr 2018 to Mar 2019 Significance" dataDxfId="839"/>
    <tableColumn id="44" xr3:uid="{00000000-0010-0000-1100-00002C000000}" name="Apr 2019 to Mar 2020 " dataDxfId="838"/>
    <tableColumn id="45" xr3:uid="{00000000-0010-0000-1100-00002D000000}" name="Apr 2019 to Mar 2020 Significance" dataDxfId="837"/>
    <tableColumn id="46" xr3:uid="{00000000-0010-0000-1100-00002E000000}" name="Apr 2022 to Mar 2023 " dataDxfId="836"/>
    <tableColumn id="47" xr3:uid="{00000000-0010-0000-1100-00002F000000}" name="Apr 2022 to Mar 2023 Significance" dataDxfId="835"/>
    <tableColumn id="52" xr3:uid="{00000000-0010-0000-1100-000034000000}" name="Jul 2023 to Jun 2024 " dataDxfId="834"/>
    <tableColumn id="53" xr3:uid="{00000000-0010-0000-1100-000035000000}" name="Jul 2023 to Jun 2024 Significance" dataDxfId="833"/>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43DF89FC-C62B-4C6B-9F17-B58D7031EB97}" name="Table3" displayName="Table3" ref="A4:C72" totalsRowShown="0" headerRowDxfId="832" dataDxfId="831">
  <autoFilter ref="A4:C72" xr:uid="{43DF89FC-C62B-4C6B-9F17-B58D7031EB97}">
    <filterColumn colId="0" hiddenButton="1"/>
    <filterColumn colId="1" hiddenButton="1"/>
    <filterColumn colId="2" hiddenButton="1"/>
  </autoFilter>
  <tableColumns count="3">
    <tableColumn id="1" xr3:uid="{3F0E407E-BACD-4F3C-8F72-0508F4A5217D}" name="Note number" dataDxfId="830" dataCellStyle="Normal 22"/>
    <tableColumn id="2" xr3:uid="{7BB22675-C5CC-471B-BB16-FA12BCE8D988}" name="Note text" dataDxfId="829"/>
    <tableColumn id="3" xr3:uid="{A0E39FFA-67B8-474C-BA31-64AF2398EE9E}" name="Useful links" dataDxfId="828"/>
  </tableColumns>
  <tableStyleInfo name="Table Style 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BD94989B-2700-404A-9D0D-9DA6CA85E703}" name="Table1" displayName="Table1" ref="A9:AB232" totalsRowShown="0" headerRowDxfId="827" dataDxfId="825" headerRowBorderDxfId="826" headerRowCellStyle="Normal 3">
  <autoFilter ref="A9:AB232" xr:uid="{BD94989B-2700-404A-9D0D-9DA6CA85E70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2" xr3:uid="{0CB21153-13B0-4092-91E9-8C7324A9A6DF}" name="Offence_x000a_ code" dataDxfId="824"/>
    <tableColumn id="3" xr3:uid="{270F5CF5-AD1F-49C1-A8E5-AD7E162D73F6}" name="Offence category" dataDxfId="823"/>
    <tableColumn id="4" xr3:uid="{5453C74C-F404-4D8D-8EA9-5F02B1FA9029}" name="Apr 2002 to _x000a_ Mar 2003" dataDxfId="822"/>
    <tableColumn id="5" xr3:uid="{869286C6-C6AA-436B-8CFA-33E2D4DD7261}" name="Apr 2003 to _x000a_ Mar 2004" dataDxfId="821"/>
    <tableColumn id="6" xr3:uid="{4B4DC7B3-DCC0-4144-85A6-ADB5ED65DCFF}" name="Apr 2004 to _x000a_ Mar 2005" dataDxfId="820"/>
    <tableColumn id="7" xr3:uid="{D66D6F0B-FA8E-4987-917A-A7CF3EC96364}" name="Apr 2005 to _x000a_ Mar 2006" dataDxfId="819"/>
    <tableColumn id="8" xr3:uid="{6F4D096D-2DED-42D6-89D2-711C26A10968}" name="Apr 2006 to _x000a_ Mar 2007" dataDxfId="818"/>
    <tableColumn id="9" xr3:uid="{71ECA073-2F89-45A4-B274-6B468B5AA06A}" name="Apr 2007 to _x000a_ Mar 2008" dataDxfId="817"/>
    <tableColumn id="10" xr3:uid="{2D5C74F6-4400-409D-ADAC-E89B9847019D}" name="Apr 2008 to _x000a_ Mar 2009" dataDxfId="816"/>
    <tableColumn id="11" xr3:uid="{33791D99-D28C-45DA-B04F-2E1D5D3B8F6F}" name="Apr 2009 to _x000a_ Mar 2010" dataDxfId="815"/>
    <tableColumn id="12" xr3:uid="{FBCEC6A9-1E02-434C-86B0-6ACA3AAEE5EA}" name="Apr 2010 to _x000a_ Mar 2011" dataDxfId="814"/>
    <tableColumn id="13" xr3:uid="{CDD173F7-B2EA-4899-8974-182AAB7086D6}" name="Apr 2011 to _x000a_ Mar 2012" dataDxfId="813"/>
    <tableColumn id="14" xr3:uid="{24345239-F828-450A-840F-5941F6C2990F}" name="Apr 2012 to _x000a_ Mar 2013" dataDxfId="812"/>
    <tableColumn id="15" xr3:uid="{B17BCF98-E06A-4E12-81A7-519A84ED859D}" name="Apr 2013 to _x000a_ Mar 2014" dataDxfId="811"/>
    <tableColumn id="16" xr3:uid="{D88A09B3-21C1-4E85-BE5F-D23C114E3979}" name="Apr 2014 to _x000a_ Mar 2015" dataDxfId="810"/>
    <tableColumn id="17" xr3:uid="{7F5FEA74-D670-4D17-B5DD-AD4B39BD84FF}" name="Apr 2015 to _x000a_ Mar 2016" dataDxfId="809"/>
    <tableColumn id="18" xr3:uid="{3C740C9B-798F-4835-AA0C-8000EA24A160}" name="Apr 2016 to _x000a_ Mar 2017" dataDxfId="808"/>
    <tableColumn id="19" xr3:uid="{0007CD75-282C-46F8-BA0D-4ECF7CEEEFB6}" name="Apr 2017 to _x000a_ Mar 2018" dataDxfId="807"/>
    <tableColumn id="20" xr3:uid="{04499855-6AE6-4CDD-BC6E-ACB544948AB2}" name="Apr 2018 to _x000a_ Mar 2019" dataDxfId="806"/>
    <tableColumn id="21" xr3:uid="{BF451EC7-0FC6-49DC-A7CC-FBD1C3C25B59}" name="Apr 2019 to _x000a_ Mar 2020" dataDxfId="805"/>
    <tableColumn id="22" xr3:uid="{A4E218B9-EF97-4F39-A6E0-BB2E5C0DCEE1}" name="Apr 2020 to _x000a_ Mar 2021" dataDxfId="804"/>
    <tableColumn id="1" xr3:uid="{C526F88E-94F1-42B3-97F3-A7B6A4CF9DAB}" name="Apr 2021 to _x000a_ Mar 2022" dataDxfId="803"/>
    <tableColumn id="27" xr3:uid="{8B6098DF-819B-4CD0-BD3D-4D11AE932657}" name="Apr 2022 to _x000a_ Mar 2023"/>
    <tableColumn id="23" xr3:uid="{06FBCE2E-DBC6-438D-B1AF-67C3E448C935}" name="Apr 2023 to _x000a_ Mar 2024"/>
    <tableColumn id="24" xr3:uid="{C427F198-5CA1-4B44-986F-D5A9A25A4A39}" name="Apr 2024 to _x000a_ Mar 2025" dataDxfId="802"/>
    <tableColumn id="28" xr3:uid="{74F9EC4D-33E7-43C5-AC3F-A180EB9E3BCF}" name="Jul 2023 to Jun 2024"/>
    <tableColumn id="26" xr3:uid="{787BB85F-0128-4675-832C-C5C0424C5834}" name="Jul 2024 to Jun 2025"/>
    <tableColumn id="25" xr3:uid="{12DA75FA-443E-4648-B1BB-03BD68355B8B}" name="Jun 2024 with Jun 2025 % change" dataDxfId="801" dataCellStyle="Normal 14"/>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00E6E82-A1CD-4A02-8236-7B8BF07E29C6}" name="Table2" displayName="Table2" ref="A9:Z232" totalsRowShown="0" headerRowDxfId="800" dataDxfId="799">
  <autoFilter ref="A9:Z232" xr:uid="{A00E6E82-A1CD-4A02-8236-7B8BF07E29C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autoFilter>
  <tableColumns count="26">
    <tableColumn id="1" xr3:uid="{16B4BFD4-9161-4326-96B2-52A9970F741E}" name="Offence code" dataDxfId="798"/>
    <tableColumn id="2" xr3:uid="{B96B28D2-C564-480D-AA74-3E06CCF6DECC}" name="Offence category" dataDxfId="797" dataCellStyle="Normal 2 5"/>
    <tableColumn id="3" xr3:uid="{757E9997-D718-44FA-B44F-EC2AADA3A2B0}" name="Jul 2023" dataDxfId="796"/>
    <tableColumn id="4" xr3:uid="{8D0CD2AF-59DB-49B2-9844-5E6AF9AA59FA}" name="Aug 2023" dataDxfId="795"/>
    <tableColumn id="5" xr3:uid="{B77C8E75-643C-4EFB-93B4-82AC80D366F6}" name="Sep 2023" dataDxfId="794"/>
    <tableColumn id="6" xr3:uid="{D28D7DB9-2A3C-432C-8C89-30FF42ACED9A}" name="Oct 2023" dataDxfId="793"/>
    <tableColumn id="7" xr3:uid="{03EB60DD-9C62-4E0B-BA6F-7E0CB975769C}" name="Nov 2023" dataDxfId="792"/>
    <tableColumn id="8" xr3:uid="{12EDF6F9-903F-488C-9219-81D6E2E2DAAD}" name="Dec 2023" dataDxfId="791"/>
    <tableColumn id="9" xr3:uid="{2529F20F-82CB-4872-96A6-1D02F99AFDF9}" name="Jan 2024" dataDxfId="790"/>
    <tableColumn id="10" xr3:uid="{9D5DA0D8-78EE-4DA5-9901-1AAE7742FFB0}" name="Feb 2024" dataDxfId="789"/>
    <tableColumn id="11" xr3:uid="{D92426E8-1E39-4279-82F3-07F265360371}" name="Mar 2024" dataDxfId="788"/>
    <tableColumn id="12" xr3:uid="{C71DEC85-DAA2-45C9-940F-25EAE5C28AC8}" name="Apr 2024" dataDxfId="787"/>
    <tableColumn id="13" xr3:uid="{6DD199D8-AFFF-4717-90A0-670D28B4BD7D}" name="May 2024" dataDxfId="786"/>
    <tableColumn id="14" xr3:uid="{A0B5D4A0-803D-4291-93E5-990555D53970}" name="Jun 2024" dataDxfId="785"/>
    <tableColumn id="15" xr3:uid="{8FB97319-8ECA-4A00-BF19-48897B04E708}" name="Jul 2024" dataDxfId="784"/>
    <tableColumn id="16" xr3:uid="{89ADA524-477D-4CD6-8445-EF89FEB77A91}" name="Aug 2024" dataDxfId="783"/>
    <tableColumn id="17" xr3:uid="{979DAAAD-4EF3-4370-AB7D-BCCA85529ECC}" name="Sep 2024" dataDxfId="782"/>
    <tableColumn id="18" xr3:uid="{6FD376AD-2E1F-47D2-9D73-4F894F37F63F}" name="Oct 2024" dataDxfId="781"/>
    <tableColumn id="19" xr3:uid="{D0ED45CA-BF2E-4E1D-A407-ED0A96F77834}" name="Nov 2024" dataDxfId="780"/>
    <tableColumn id="20" xr3:uid="{96452D67-4E13-4FFB-BB73-412B2C172E04}" name="Dec 2024" dataDxfId="779"/>
    <tableColumn id="21" xr3:uid="{5328C384-135D-48F3-A768-9A8D9B5D2F39}" name="Jan 2025" dataDxfId="778"/>
    <tableColumn id="22" xr3:uid="{A59A43CC-AC03-4AC4-B8B4-9C915CABC5B1}" name="Feb 2025" dataDxfId="777"/>
    <tableColumn id="23" xr3:uid="{8730E88A-EC40-4889-AE9F-9D5C913599B1}" name="Mar 2025" dataDxfId="776"/>
    <tableColumn id="24" xr3:uid="{5A51A2FE-B314-4014-AB04-58EAD37F78EB}" name="Apr 2025" dataDxfId="775"/>
    <tableColumn id="25" xr3:uid="{DC2E1338-3ED7-4173-8BEB-DEAA41B8B32C}" name="May 2025" dataDxfId="774"/>
    <tableColumn id="26" xr3:uid="{63AC8F4E-4600-4D2C-B0ED-E2F842554F0B}" name="Jun 2025" dataDxfId="773"/>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F9DBC265-98C7-4879-9609-FC7D013D2971}" name="Table269" displayName="Table269" ref="A9:E36" totalsRowShown="0" headerRowDxfId="772" dataDxfId="770" headerRowBorderDxfId="771" tableBorderDxfId="769">
  <tableColumns count="5">
    <tableColumn id="1" xr3:uid="{7DCBB3CC-4952-4F53-A867-24464D263B3F}" name="Offence type [note 3]" dataDxfId="768"/>
    <tableColumn id="2" xr3:uid="{CBAD2304-B114-4050-B9CE-0AA208FA46EB}" name="Rate per 1,000 population_x000a_Jul 2024 to_x000a_ Jun 2025_x000a_" dataDxfId="767"/>
    <tableColumn id="3" xr3:uid="{2836E47F-14A2-4C76-BBDC-88B72C27EB77}" name="Number of recorded offences_x000a_Jul 2024 to_x000a_ Jun 2025" dataDxfId="766"/>
    <tableColumn id="4" xr3:uid="{743F73B3-E131-45A9-B1B0-8D3E093C33D8}" name="Jul 2024 to_x000a_ Jun 2025 with Apr 2014 to_x000a_ Mar 2015_x000a_% change " dataDxfId="765"/>
    <tableColumn id="5" xr3:uid="{C4E18925-0256-4562-B9F2-F96A3A758B88}" name="Jul 2024 to_x000a_ Jun 2025 with previous year_x000a_ % change " dataDxfId="764"/>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B6ABB50B-DB32-4DE1-AC89-3B0AE1F21435}" name="Table370" displayName="Table370" ref="A9:AA52" totalsRowShown="0" headerRowDxfId="763" dataDxfId="761" headerRowBorderDxfId="762" tableBorderDxfId="760">
  <autoFilter ref="A9:AA52" xr:uid="{B6ABB50B-DB32-4DE1-AC89-3B0AE1F214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tableColumns count="27">
    <tableColumn id="1" xr3:uid="{87A02558-7258-42B7-A42D-1EB0EBCF095E}" name="Offence group [note 3]" dataDxfId="759"/>
    <tableColumn id="2" xr3:uid="{DDCAB323-5B59-40AD-AD15-1CA6FCAA5771}" name="Apr 2002 to Mar 2003" dataDxfId="758"/>
    <tableColumn id="3" xr3:uid="{67E8F0A1-BB7E-4F0D-ABF9-8E66766E1BBC}" name="Apr 2003 to Mar 2004" dataDxfId="757"/>
    <tableColumn id="4" xr3:uid="{47755165-4F68-421E-9952-D1222671B5B4}" name="Apr 2004 to Mar 2005" dataDxfId="756"/>
    <tableColumn id="5" xr3:uid="{A34D5720-7769-475D-8696-990329899D03}" name="Apr 2005 to Mar 2006" dataDxfId="755"/>
    <tableColumn id="6" xr3:uid="{3D1ADFE6-F3A1-4B00-AA90-EB59D9902599}" name="Apr 2006 to Mar 2007" dataDxfId="754"/>
    <tableColumn id="7" xr3:uid="{26F32652-AAFD-4E93-8DE7-6380A502E791}" name="Apr 2007 to Mar 2008" dataDxfId="753"/>
    <tableColumn id="8" xr3:uid="{52496976-426E-4B72-9D0B-FB9F89C5AE09}" name="Apr 2008 to Mar 2009" dataDxfId="752"/>
    <tableColumn id="9" xr3:uid="{BBE2D055-8937-46CA-A233-2EDCBDFF8BD7}" name="Apr 2009 to Mar 2010" dataDxfId="751"/>
    <tableColumn id="10" xr3:uid="{C0587BD6-36C0-4922-BCF0-408E5E55E0E0}" name="Apr 2010 to Mar 2011" dataDxfId="750"/>
    <tableColumn id="11" xr3:uid="{1D4BEC62-CE4C-4411-A4B1-42FCAF1C89A9}" name="Apr 2011 to Mar 2012" dataDxfId="749"/>
    <tableColumn id="12" xr3:uid="{AB2B0FEE-61F1-4EE3-81E0-73AC620B9C1C}" name="Apr 2012 to Mar 2013" dataDxfId="748"/>
    <tableColumn id="13" xr3:uid="{CC85FB21-CA37-4DC7-8068-F22D3E6A88E8}" name="Apr 2013 to Mar 2014" dataDxfId="747"/>
    <tableColumn id="14" xr3:uid="{78C4CE81-8C92-4CA0-8B19-4134BE812558}" name="Apr 2014 to Mar 2015" dataDxfId="746"/>
    <tableColumn id="15" xr3:uid="{9A852A3A-0EE4-446F-9D1D-B42512D3999E}" name="Apr 2015 to Mar 2016" dataDxfId="745"/>
    <tableColumn id="16" xr3:uid="{94EFEE5B-95AD-4338-AD97-9E35D7B1ECEA}" name="Apr 2016 to Mar 2017" dataDxfId="744"/>
    <tableColumn id="17" xr3:uid="{971E4082-8380-48D5-86F8-5F01CEDFC8E6}" name="Apr 2017 to_x000a_ Mar 2018" dataDxfId="743"/>
    <tableColumn id="18" xr3:uid="{588A56FC-8906-4352-B537-DEAAD803E837}" name="Apr 2018 to_x000a_ Mar 2019" dataDxfId="742"/>
    <tableColumn id="19" xr3:uid="{6C6B53CA-F092-465C-BB20-9230B3036618}" name="Apr 2019 to_x000a_Mar 2020" dataDxfId="741"/>
    <tableColumn id="23" xr3:uid="{364D4A21-004C-448A-9BE0-EDDDFC064BAA}" name="Apr 2020 to_x000a_Mar 2021" dataDxfId="740"/>
    <tableColumn id="24" xr3:uid="{CD333E31-DF53-47C6-B1BD-247ABE2A8C11}" name="Apr 2021 to_x000a_Mar 2022" dataDxfId="739"/>
    <tableColumn id="20" xr3:uid="{75E61574-57B8-4539-AC74-C974B5788DA2}" name="Apr 2022 to _x000a_ Mar 2023" dataDxfId="738"/>
    <tableColumn id="26" xr3:uid="{A4C99F10-F6FA-47A4-9EC4-59853AC1DB74}" name="Apr 2022 to _x000a_ Mar 2024" dataDxfId="737"/>
    <tableColumn id="27" xr3:uid="{14942A07-BE16-4EE9-A93B-5DF55A43B809}" name="Apr 2024 to _x000a_ Mar 2025" dataDxfId="736"/>
    <tableColumn id="25" xr3:uid="{3BD54C05-3315-450D-A60D-CF01D6EFA9C5}" name="Jul 2023 to _x000a_ Jun 2024" dataDxfId="735"/>
    <tableColumn id="21" xr3:uid="{32C77D5D-5217-49EC-B0C2-F0AA87F8C9BA}" name="Jul 2024 to _x000a_ Jun 2025" dataDxfId="734"/>
    <tableColumn id="22" xr3:uid="{18134EF6-22E2-44FF-BF99-C8C2ECBAF08F}" name="Jun 2024 with Jun 2025_x000a_ % change" dataDxfId="733"/>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602D690-0FD9-4277-A136-740334B41872}" name="table77" displayName="table77" ref="A21:C27" totalsRowShown="0" headerRowDxfId="732" dataDxfId="731">
  <autoFilter ref="A21:C27" xr:uid="{7602D690-0FD9-4277-A136-740334B41872}">
    <filterColumn colId="0" hiddenButton="1"/>
    <filterColumn colId="1" hiddenButton="1"/>
    <filterColumn colId="2" hiddenButton="1"/>
  </autoFilter>
  <tableColumns count="3">
    <tableColumn id="1" xr3:uid="{8DF5F70D-2B77-4102-92AC-17FC3AE63D04}" name="Note number" dataDxfId="730"/>
    <tableColumn id="2" xr3:uid="{CF8E156D-FAC9-41DF-8AD3-A630610E5517}" name="Note text" dataDxfId="729"/>
    <tableColumn id="3" xr3:uid="{378712FF-7DD7-4753-8B02-6F03F187A6C8}" name="Useful links" dataDxfId="728"/>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92D43E3-0222-4552-BD12-F96CBF8C6AD4}" name="table78" displayName="table78" ref="A30:C38" totalsRowShown="0" headerRowDxfId="727" dataDxfId="726">
  <autoFilter ref="A30:C38" xr:uid="{492D43E3-0222-4552-BD12-F96CBF8C6AD4}">
    <filterColumn colId="0" hiddenButton="1"/>
    <filterColumn colId="1" hiddenButton="1"/>
    <filterColumn colId="2" hiddenButton="1"/>
  </autoFilter>
  <tableColumns count="3">
    <tableColumn id="1" xr3:uid="{47A99BDB-8997-4455-9EF5-13C499ED2A50}" name="Note number" dataDxfId="725"/>
    <tableColumn id="2" xr3:uid="{34BFF9C9-B4C3-4C3F-B58C-73B76C7E0EFE}" name="Note text" dataDxfId="724"/>
    <tableColumn id="3" xr3:uid="{5F994BFD-FBD0-4EEE-9A1E-7FD7C2F37F67}" name="Useful links" dataDxfId="723"/>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C3C945B-3D6C-4DCD-B14C-A90AF731064F}" name="Table79" displayName="Table79" ref="A41:C49" totalsRowShown="0" headerRowDxfId="722" dataDxfId="721">
  <autoFilter ref="A41:C49" xr:uid="{1C3C945B-3D6C-4DCD-B14C-A90AF731064F}">
    <filterColumn colId="0" hiddenButton="1"/>
    <filterColumn colId="1" hiddenButton="1"/>
    <filterColumn colId="2" hiddenButton="1"/>
  </autoFilter>
  <tableColumns count="3">
    <tableColumn id="1" xr3:uid="{D5B7F181-3E49-439A-BED3-BFEB210B73C8}" name="Note number" dataDxfId="720"/>
    <tableColumn id="2" xr3:uid="{6F48F992-FAE1-4759-81C3-419CB8CA36CF}" name="Note text" dataDxfId="719"/>
    <tableColumn id="3" xr3:uid="{550F3ABC-F826-4F1A-8EE6-1AAE316641D6}" name="Useful links" dataDxfId="718"/>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9DE1F499-61CF-45B4-984C-F6282B2B0670}" name="table80" displayName="table80" ref="A52:C57" totalsRowShown="0" headerRowDxfId="717" dataDxfId="716">
  <autoFilter ref="A52:C57" xr:uid="{9DE1F499-61CF-45B4-984C-F6282B2B0670}">
    <filterColumn colId="0" hiddenButton="1"/>
    <filterColumn colId="1" hiddenButton="1"/>
    <filterColumn colId="2" hiddenButton="1"/>
  </autoFilter>
  <tableColumns count="3">
    <tableColumn id="1" xr3:uid="{2D5E0B32-7453-406A-97FA-FB61BCA3EE06}" name="Note number" dataDxfId="715" dataCellStyle="Normal 2 2 7"/>
    <tableColumn id="2" xr3:uid="{8D864384-5401-4BD8-81D1-AAE46001D056}" name="Note text" dataDxfId="714" dataCellStyle="Normal 4 2 2 2 2 2"/>
    <tableColumn id="3" xr3:uid="{0B2067E9-6A1B-431E-ACCD-A3FA1990E017}" name="Useful links" dataDxfId="713" dataCellStyle="Normal 4 2 2 2 2 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20DFCDE-C44F-410A-B230-80F910D38598}" name="Table40" displayName="Table40" ref="A60:C65" totalsRowShown="0" headerRowDxfId="712" dataDxfId="711">
  <autoFilter ref="A60:C65" xr:uid="{520DFCDE-C44F-410A-B230-80F910D38598}">
    <filterColumn colId="0" hiddenButton="1"/>
    <filterColumn colId="1" hiddenButton="1"/>
    <filterColumn colId="2" hiddenButton="1"/>
  </autoFilter>
  <tableColumns count="3">
    <tableColumn id="1" xr3:uid="{72B0883F-1CC7-478F-A0E0-D464EC7980DB}" name="Note number" dataDxfId="710"/>
    <tableColumn id="2" xr3:uid="{8EFBD833-4F8D-4B6C-BF87-FF3FB93B4936}" name="Note text" dataDxfId="709"/>
    <tableColumn id="3" xr3:uid="{8AA2D91C-E3F9-4B97-8FAE-5A3D7346FC1B}" name="Useful links" dataDxfId="708" dataCellStyle="Normal 10"/>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E1047EF-CA6C-48F1-8553-421E945A9DFE}" name="Table75" displayName="Table75" ref="A4:C13" totalsRowShown="0" headerRowDxfId="707" dataDxfId="706">
  <autoFilter ref="A4:C13" xr:uid="{EE1047EF-CA6C-48F1-8553-421E945A9DFE}">
    <filterColumn colId="0" hiddenButton="1"/>
    <filterColumn colId="1" hiddenButton="1"/>
    <filterColumn colId="2" hiddenButton="1"/>
  </autoFilter>
  <tableColumns count="3">
    <tableColumn id="1" xr3:uid="{6CCBCE86-3110-42D5-AC0A-2702E0BEB4F5}" name="Note number" dataDxfId="705" dataCellStyle="Normal 7 2"/>
    <tableColumn id="2" xr3:uid="{4AB3FFDC-F159-4CDB-AFC8-CC5D395AA430}" name="Note text" dataDxfId="704"/>
    <tableColumn id="3" xr3:uid="{69947520-FF45-457E-9964-30036C50859E}" name="Useful links" dataDxfId="703" dataCellStyle="Normal 2 2 7"/>
  </tableColumns>
  <tableStyleInfo name="Table Style 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EFD5A9C-CE6D-49BA-8F1E-905A01E4B891}" name="Table76" displayName="Table76" ref="A16:C19" totalsRowShown="0" headerRowDxfId="702" dataDxfId="701">
  <autoFilter ref="A16:C19" xr:uid="{5EFD5A9C-CE6D-49BA-8F1E-905A01E4B891}">
    <filterColumn colId="0" hiddenButton="1"/>
    <filterColumn colId="1" hiddenButton="1"/>
    <filterColumn colId="2" hiddenButton="1"/>
  </autoFilter>
  <tableColumns count="3">
    <tableColumn id="1" xr3:uid="{0648A014-3EA9-4EFE-83AA-8DEC906C25B1}" name="Note number" dataDxfId="700" dataCellStyle="Normal 10 2 2 2 2 2"/>
    <tableColumn id="2" xr3:uid="{D9E6BAD1-0B2D-418F-85A1-EDCB73F7F495}" name="Note text" dataDxfId="699" dataCellStyle="Normal 2 2 7"/>
    <tableColumn id="3" xr3:uid="{AC6191A3-9814-4353-A1B2-0ECFE54BA94A}" name="Useful links" dataDxfId="698" dataCellStyle="Normal 2 2 7"/>
  </tableColumns>
  <tableStyleInfo name="Table Style 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A6a" displayName="A6a" ref="A9:AG14" totalsRowShown="0" headerRowDxfId="697" headerRowBorderDxfId="696">
  <tableColumns count="33">
    <tableColumn id="1" xr3:uid="{00000000-0010-0000-0800-000001000000}" name="Offender relationship"/>
    <tableColumn id="2" xr3:uid="{00000000-0010-0000-0800-000002000000}" name="Jan 1981 to Dec 1981" dataDxfId="695"/>
    <tableColumn id="3" xr3:uid="{00000000-0010-0000-0800-000003000000}" name="Jan 1983 to Dec 1983" dataDxfId="694"/>
    <tableColumn id="4" xr3:uid="{00000000-0010-0000-0800-000004000000}" name="Jan 1987 to Dec 1987" dataDxfId="693"/>
    <tableColumn id="5" xr3:uid="{00000000-0010-0000-0800-000005000000}" name="Jan 1991 to Dec 1991" dataDxfId="692"/>
    <tableColumn id="6" xr3:uid="{00000000-0010-0000-0800-000006000000}" name="Jan 1993 to Dec 1993" dataDxfId="691"/>
    <tableColumn id="7" xr3:uid="{00000000-0010-0000-0800-000007000000}" name="Jan 1995 to Dec 1995" dataDxfId="690"/>
    <tableColumn id="8" xr3:uid="{00000000-0010-0000-0800-000008000000}" name="Jan 1997 to Dec 1997" dataDxfId="689"/>
    <tableColumn id="9" xr3:uid="{00000000-0010-0000-0800-000009000000}" name="Jan 1999 to Dec 1999" dataDxfId="688"/>
    <tableColumn id="10" xr3:uid="{00000000-0010-0000-0800-00000A000000}" name="Apr 2001 to Mar 2002" dataDxfId="687"/>
    <tableColumn id="11" xr3:uid="{00000000-0010-0000-0800-00000B000000}" name="Apr 2002 to Mar 2003" dataDxfId="686"/>
    <tableColumn id="12" xr3:uid="{00000000-0010-0000-0800-00000C000000}" name="Apr 2003 to Mar 2004" dataDxfId="685"/>
    <tableColumn id="13" xr3:uid="{00000000-0010-0000-0800-00000D000000}" name="Apr 2004 to Mar 2005" dataDxfId="684"/>
    <tableColumn id="14" xr3:uid="{00000000-0010-0000-0800-00000E000000}" name="Apr 2005 to Mar 2006" dataDxfId="683"/>
    <tableColumn id="15" xr3:uid="{00000000-0010-0000-0800-00000F000000}" name="Apr 2006 to Mar 2007" dataDxfId="682"/>
    <tableColumn id="16" xr3:uid="{00000000-0010-0000-0800-000010000000}" name="Apr 2007 to Mar 2008" dataDxfId="681"/>
    <tableColumn id="17" xr3:uid="{00000000-0010-0000-0800-000011000000}" name="Apr 2008 to Mar 2009" dataDxfId="680"/>
    <tableColumn id="18" xr3:uid="{00000000-0010-0000-0800-000012000000}" name="Apr 2009 to Mar 2010" dataDxfId="679"/>
    <tableColumn id="19" xr3:uid="{00000000-0010-0000-0800-000013000000}" name="Apr 2010 to Mar 2011" dataDxfId="678"/>
    <tableColumn id="20" xr3:uid="{00000000-0010-0000-0800-000014000000}" name="Apr 2011 to Mar 2012" dataDxfId="677"/>
    <tableColumn id="21" xr3:uid="{00000000-0010-0000-0800-000015000000}" name="Apr 2012 to Mar 2013_x000a_[note 6]" dataDxfId="676"/>
    <tableColumn id="22" xr3:uid="{00000000-0010-0000-0800-000016000000}" name="Apr 2013 to Mar 2014" dataDxfId="675"/>
    <tableColumn id="23" xr3:uid="{00000000-0010-0000-0800-000017000000}" name="Apr 2014 to Mar 2015" dataDxfId="674"/>
    <tableColumn id="24" xr3:uid="{00000000-0010-0000-0800-000018000000}" name="Apr 2015 to Mar 2016" dataDxfId="673"/>
    <tableColumn id="25" xr3:uid="{00000000-0010-0000-0800-000019000000}" name="Apr 2016 to Mar 2017" dataDxfId="672"/>
    <tableColumn id="26" xr3:uid="{00000000-0010-0000-0800-00001A000000}" name="Apr 2017 to Mar 2018" dataDxfId="671"/>
    <tableColumn id="27" xr3:uid="{00000000-0010-0000-0800-00001B000000}" name="Apr 2018 to Mar 2019" dataDxfId="670"/>
    <tableColumn id="28" xr3:uid="{00000000-0010-0000-0800-00001C000000}" name="Apr 2019 to Mar 2020_x000a_[note 7]" dataDxfId="669"/>
    <tableColumn id="29" xr3:uid="{00000000-0010-0000-0800-00001D000000}" name="Apr 2022 to Mar 2023" dataDxfId="668"/>
    <tableColumn id="30" xr3:uid="{00000000-0010-0000-0800-00001E000000}" name="Apr 2023 to Mar 2024" dataDxfId="667"/>
    <tableColumn id="31" xr3:uid="{00000000-0010-0000-0800-00001F000000}" name="Apr 2024 to Mar 2025" dataDxfId="666"/>
    <tableColumn id="32" xr3:uid="{00000000-0010-0000-0800-000020000000}" name="Jul 2023 to Jun 2024" dataDxfId="665"/>
    <tableColumn id="33" xr3:uid="{00000000-0010-0000-0800-000021000000}" name="Jul 2024 to Jun 2025" dataDxfId="664"/>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E39E457-8E41-4C67-A8D2-E7F79C9EC9B1}" name="A6b_21" displayName="A6b_21" ref="AI9:CE14" totalsRowShown="0" headerRowDxfId="663" headerRowBorderDxfId="662">
  <tableColumns count="49">
    <tableColumn id="1" xr3:uid="{978CBB00-F335-4A97-A667-0ABE6BE9C898}" name="Offender relationship"/>
    <tableColumn id="2" xr3:uid="{9F9FC013-2541-4C6C-966F-10DE259A1750}" name="Jan 1995 to Dec 1995 " dataDxfId="661"/>
    <tableColumn id="3" xr3:uid="{2137C971-C2D3-456C-ADD6-847FA60C504C}" name="Jan 1995 to Dec 1995 Significance" dataDxfId="660"/>
    <tableColumn id="4" xr3:uid="{0EE07FB1-EE35-4C0E-8058-4F92645A1B0E}" name="Jan 1997 to Dec 1997 " dataDxfId="659"/>
    <tableColumn id="5" xr3:uid="{3BAFFC96-A66D-4AD8-A7D7-F6BEF8C20526}" name="Jan 1997 to Dec 1997 Significance" dataDxfId="658"/>
    <tableColumn id="6" xr3:uid="{6FD28569-B47D-4059-9286-E2B741FA8D07}" name="Jan 1999 to Dec 1999 " dataDxfId="657"/>
    <tableColumn id="7" xr3:uid="{075D69DF-67F7-4A69-B370-1A1B92FE01F6}" name="Jan 1999 to Dec 1999 Significance" dataDxfId="656"/>
    <tableColumn id="8" xr3:uid="{C456B1E5-38A1-470F-99A3-B093043B1DB7}" name="Apr 2001 to Mar 2002 " dataDxfId="655"/>
    <tableColumn id="9" xr3:uid="{840727A0-31D5-455A-AEB0-26BF5C21062B}" name="Apr 2001 to Mar 2002 Significance" dataDxfId="654"/>
    <tableColumn id="10" xr3:uid="{68BFE347-FCC5-430B-9858-F596CB4A2A16}" name="Apr 2002 to Mar 2003 " dataDxfId="653"/>
    <tableColumn id="11" xr3:uid="{A7C44D0A-66B0-46D9-94F0-FE3B3B630B56}" name="Apr 2002 to Mar 2003 Significance" dataDxfId="652"/>
    <tableColumn id="12" xr3:uid="{0C4A7D70-97BA-4A1D-AB93-2CB3C9544CCB}" name="Apr 2003 to Mar 2004 " dataDxfId="651"/>
    <tableColumn id="13" xr3:uid="{721F5897-7560-4BB4-873F-478BB7B7C5B0}" name="Apr 2003 to Mar 2004 Significance" dataDxfId="650"/>
    <tableColumn id="14" xr3:uid="{53232A30-67E9-448C-9BB6-8CD24D5BD3CE}" name="Apr 2004 to Mar 2005 " dataDxfId="649"/>
    <tableColumn id="15" xr3:uid="{A0E196B6-B13B-4FFD-B536-9B9E67046B5C}" name="Apr 2004 to Mar 2005 Significance" dataDxfId="648"/>
    <tableColumn id="16" xr3:uid="{02277201-C1AA-4CC6-8FA8-380753591F75}" name="Apr 2005 to Mar 2006 " dataDxfId="647"/>
    <tableColumn id="17" xr3:uid="{5F3551F3-277F-49B4-903E-379C88F5F526}" name="Apr 2005 to Mar 2006 Significance" dataDxfId="646"/>
    <tableColumn id="18" xr3:uid="{0D746206-A64F-4F33-9934-DC1D0D8E437A}" name="Apr 2006 to Mar 2007 " dataDxfId="645"/>
    <tableColumn id="19" xr3:uid="{B4DD81E4-3F43-42B4-BA76-CE8ED1EA6F9F}" name="Apr 2006 to Mar 2007 Significance" dataDxfId="644"/>
    <tableColumn id="20" xr3:uid="{E83ED16A-9EF0-4012-95E8-A94F5FA4AF58}" name="Apr 2007 to Mar 2008 " dataDxfId="643"/>
    <tableColumn id="21" xr3:uid="{F9FC4FF8-F30D-4698-92D1-3404DFCC1B0F}" name="Apr 2007 to Mar 2008 Significance" dataDxfId="642"/>
    <tableColumn id="22" xr3:uid="{D653E45A-4008-4D4C-885A-C9DA37E065C6}" name="Apr 2008 to Mar 2009 " dataDxfId="641"/>
    <tableColumn id="23" xr3:uid="{063E06DF-49CF-46FD-9CA5-ECAE3DBE8BA0}" name="Apr 2008 to Mar 2009 Significance" dataDxfId="640"/>
    <tableColumn id="24" xr3:uid="{23CB2313-2D28-4BC5-AC98-04D4E1209558}" name="Apr 2009 to Mar 2010 " dataDxfId="639"/>
    <tableColumn id="25" xr3:uid="{41CB7CEC-4E68-4175-96C1-2D945637C10F}" name="Apr 2009 to Mar 2010 Significance" dataDxfId="638"/>
    <tableColumn id="26" xr3:uid="{AEACFF75-5793-423B-97F5-9F8A62373FAA}" name="Apr 2010 to Mar 2011 " dataDxfId="637"/>
    <tableColumn id="27" xr3:uid="{8D062808-4895-47C1-A361-ACBADE53E1AF}" name="Apr 2010 to Mar 2011 Significance" dataDxfId="636"/>
    <tableColumn id="28" xr3:uid="{A69F9BA7-1FF2-4BAE-91B1-CB7E960E9E09}" name="Apr 2011 to Mar 2012 _x000a_[note 8]" dataDxfId="635"/>
    <tableColumn id="29" xr3:uid="{7F4418BF-C615-4679-8EB0-A73C416068AF}" name="Apr 2011 to Mar 2012 Significance" dataDxfId="634"/>
    <tableColumn id="30" xr3:uid="{587CA117-F6A6-4145-93DE-734179C950EB}" name="Apr 2012 to Mar 2013 " dataDxfId="633"/>
    <tableColumn id="31" xr3:uid="{5262A3A4-D646-42DE-B4FB-913F8DC96E9E}" name="Apr 2012 to Mar 2013 Significance" dataDxfId="632"/>
    <tableColumn id="32" xr3:uid="{BC37233B-657C-4701-86BC-A41DAEE7C4E3}" name="Apr 2013 to Mar 2014 " dataDxfId="631"/>
    <tableColumn id="33" xr3:uid="{BFDCC95C-F348-4B65-B677-787B39753578}" name="Apr 2013 to Mar 2014 Significance" dataDxfId="630"/>
    <tableColumn id="34" xr3:uid="{4627E7E9-1A1A-432B-8CB2-C2F759D41AFB}" name="Apr 2014 to Mar 2015 " dataDxfId="629"/>
    <tableColumn id="35" xr3:uid="{5F168831-9C96-4722-BAEA-236492EC6958}" name="Apr 2014 to Mar 2015 Significance" dataDxfId="628"/>
    <tableColumn id="36" xr3:uid="{B5293E66-3463-486E-8A88-097A95419F36}" name="Apr 2015 to Mar 2016 " dataDxfId="627"/>
    <tableColumn id="37" xr3:uid="{9FBF099F-06D1-446F-B6CA-92D8FA1C63AD}" name="Apr 2015 to Mar 2016 Significance" dataDxfId="626"/>
    <tableColumn id="38" xr3:uid="{A92753BC-C3E3-4D1A-8C17-F46B562A27AD}" name="Apr 2016 to Mar 2017 " dataDxfId="625"/>
    <tableColumn id="39" xr3:uid="{2AF956BC-D53B-48E5-A17E-87C9B972BED0}" name="Apr 2016 to Mar 2017 Significance" dataDxfId="624"/>
    <tableColumn id="40" xr3:uid="{93B4C5BE-AAD9-4C9D-BE79-9CFE6214BAC4}" name="Apr 2017 to Mar 2018 " dataDxfId="623"/>
    <tableColumn id="41" xr3:uid="{AB01B7DD-36A0-4B10-8789-D54C9A4DBB31}" name="Apr 2017 to Mar 2018 Significance" dataDxfId="622"/>
    <tableColumn id="42" xr3:uid="{C5A3BF54-E633-4653-98E0-B4ABC3E16F65}" name="Apr 2018 to Mar 2019 " dataDxfId="621"/>
    <tableColumn id="43" xr3:uid="{3F7B8ACE-3943-4F78-9DF5-71F82D02CADB}" name="Apr 2018 to Mar 2019 Significance" dataDxfId="620"/>
    <tableColumn id="44" xr3:uid="{940031C3-A061-4146-8CEC-95776C1521AF}" name="Apr 2019 to Mar 2020 " dataDxfId="619"/>
    <tableColumn id="45" xr3:uid="{AFF6FA47-84CB-4948-B2EA-0DDE46322B4A}" name="Apr 2019 to Mar 2020 Significance" dataDxfId="618"/>
    <tableColumn id="46" xr3:uid="{E9357AE4-85F1-492F-8598-9888F9731AC2}" name="Apr 2022 to Mar 2023 " dataDxfId="617"/>
    <tableColumn id="47" xr3:uid="{9DE23811-A1AC-47BA-BE93-B827938C03FF}" name="Apr 2022 to Mar 2023 Significance" dataDxfId="616"/>
    <tableColumn id="52" xr3:uid="{E39AEBA9-3915-4779-A11D-3EBC3D69E919}" name="Jul 2023 to Jun 2024 " dataDxfId="615"/>
    <tableColumn id="53" xr3:uid="{B10BBDC2-FD71-4D0A-801A-102CB65CB1EC}" name="Jul 2023 to Jun 2024 Significance" dataDxfId="614"/>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003CEB-D074-4D6E-BF0A-579B939D51D6}" name="A6c_22" displayName="A6c_22" ref="A17:AG22" totalsRowShown="0" headerRowBorderDxfId="613">
  <tableColumns count="33">
    <tableColumn id="1" xr3:uid="{30C99D3E-113D-4C0D-9FD3-02C866AE251F}" name="Offender relationship"/>
    <tableColumn id="2" xr3:uid="{A810E8AC-8437-4B86-86E4-E48F5CC70A68}" name="Jan 1981 to Dec 1981" dataDxfId="612"/>
    <tableColumn id="3" xr3:uid="{A48B1B0B-1E4F-41E7-98B5-03F75749D3CA}" name="Jan 1983 to Dec 1983" dataDxfId="611"/>
    <tableColumn id="4" xr3:uid="{2DC9179F-2696-4211-A42C-5BE37E82FA9F}" name="Jan 1987 to Dec 1987" dataDxfId="610"/>
    <tableColumn id="5" xr3:uid="{278CF577-577D-4FD0-B2C3-01C4BF2D8856}" name="Jan 1991 to Dec 1991" dataDxfId="609"/>
    <tableColumn id="6" xr3:uid="{C876E9D4-B93D-40EA-BBF1-816D17504815}" name="Jan 1993 to Dec 1993" dataDxfId="608"/>
    <tableColumn id="7" xr3:uid="{EF48D793-F4C4-4915-9155-D41CA458E969}" name="Jan 1995 to Dec 1995" dataDxfId="607"/>
    <tableColumn id="8" xr3:uid="{51042F26-67BB-4B7C-9442-831305BC37E6}" name="Jan 1997 to Dec 1997" dataDxfId="606"/>
    <tableColumn id="9" xr3:uid="{C4FC4FA0-58F1-41AD-B7F6-03D4581CE8F8}" name="Jan 1999 to Dec 1999" dataDxfId="605"/>
    <tableColumn id="10" xr3:uid="{A6EC2A64-9B4B-4035-B914-2552B93B7F98}" name="Apr 2001 to Mar 2002" dataDxfId="604"/>
    <tableColumn id="11" xr3:uid="{3278FDC7-C683-4ED0-BF98-31CA0D5A1CBA}" name="Apr 2002 to Mar 2003" dataDxfId="603"/>
    <tableColumn id="12" xr3:uid="{C00F9647-7694-4F01-BC02-5FE3059B1297}" name="Apr 2003 to Mar 2004" dataDxfId="602"/>
    <tableColumn id="13" xr3:uid="{C4B73710-F056-4286-A73C-FBCF1B0CB7E5}" name="Apr 2004 to Mar 2005" dataDxfId="601"/>
    <tableColumn id="14" xr3:uid="{F8A00550-3F6C-4FBF-8803-BB1CC4ECE1FD}" name="Apr 2005 to Mar 2006" dataDxfId="600"/>
    <tableColumn id="15" xr3:uid="{72BE21E6-08B8-40C2-BE11-971A8F7BE9B5}" name="Apr 2006 to Mar 2007" dataDxfId="599"/>
    <tableColumn id="16" xr3:uid="{513B34AC-AF68-47AA-B9A1-90ABC1ACF103}" name="Apr 2007 to Mar 2008" dataDxfId="598"/>
    <tableColumn id="17" xr3:uid="{8785456D-1D63-40B0-8BC8-C43698050E05}" name="Apr 2008 to Mar 2009" dataDxfId="597"/>
    <tableColumn id="18" xr3:uid="{40473864-73AF-4A39-B390-3B50FBB82CB9}" name="Apr 2009 to Mar 2010" dataDxfId="596"/>
    <tableColumn id="19" xr3:uid="{761C7513-D0D4-4101-BB5D-DA48CBF43A38}" name="Apr 2010 to Mar 2011" dataDxfId="595"/>
    <tableColumn id="20" xr3:uid="{ADEEF96F-0541-49A3-838D-026F5298A20E}" name="Apr 2011 to Mar 2012" dataDxfId="594"/>
    <tableColumn id="21" xr3:uid="{18BDA46D-08DF-4FE8-914C-5EC382690CE6}" name="Apr 2012 to Mar 2013_x000a_[note 6]" dataDxfId="593"/>
    <tableColumn id="22" xr3:uid="{D0D6107A-5CC1-4C50-8802-2761E3C820D2}" name="Apr 2013 to Mar 2014" dataDxfId="592"/>
    <tableColumn id="23" xr3:uid="{B8EC6BC1-813A-4F83-B6B7-F09B9364101F}" name="Apr 2014 to Mar 2015" dataDxfId="591"/>
    <tableColumn id="24" xr3:uid="{254C4320-E94E-46F3-A8A5-F4FFAB5904ED}" name="Apr 2015 to Mar 2016" dataDxfId="590"/>
    <tableColumn id="25" xr3:uid="{E3C67D95-1502-4DC0-AB31-0ACDBB80FE6B}" name="Apr 2016 to Mar 2017" dataDxfId="589"/>
    <tableColumn id="26" xr3:uid="{0CF7E8FB-B4CC-4F02-8A99-35EA1F5ACC93}" name="Apr 2017 to Mar 2018" dataDxfId="588"/>
    <tableColumn id="27" xr3:uid="{71DD79F3-063A-4CA4-BDEB-4FCD491F29FA}" name="Apr 2018 to Mar 2019" dataDxfId="587"/>
    <tableColumn id="28" xr3:uid="{56BDDC93-5D40-4EBE-8A3C-5131BE65AC27}" name="Apr 2019 to Mar 2020_x000a_[note 7]" dataDxfId="586"/>
    <tableColumn id="29" xr3:uid="{307E2956-20AE-4A82-8060-F70ECF3E47DE}" name="Apr 2022 to Mar 2023" dataDxfId="585"/>
    <tableColumn id="30" xr3:uid="{1537382E-B81C-43BE-9EE7-5E1B06DA419C}" name="Apr 2023 to Mar 2024" dataDxfId="584"/>
    <tableColumn id="31" xr3:uid="{457C4D5B-C79F-45B5-A83B-A44F2A942E40}" name="Apr 2024 to Mar 2025" dataDxfId="583"/>
    <tableColumn id="32" xr3:uid="{8598CE88-BB0D-4D89-82C6-DE2BFBB0DA72}" name="Jul 2023 to Jun 2024" dataDxfId="582"/>
    <tableColumn id="33" xr3:uid="{A56F7C2E-15C5-46D1-ACEF-611210CCE3B5}" name="Jul 2024 to Jun 2025" dataDxfId="581"/>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B32E716-62FB-421B-A276-7A8E4608B27E}" name="A6d_23" displayName="A6d_23" ref="AI17:CE22" totalsRowShown="0" headerRowBorderDxfId="580">
  <tableColumns count="49">
    <tableColumn id="1" xr3:uid="{AD66AF59-634B-476F-B77B-52316D561F31}" name="Offender relationship"/>
    <tableColumn id="2" xr3:uid="{D6E2B841-96F1-4CA1-96E8-2A0490ECB431}" name="Jan 1995 to Dec 1995 " dataDxfId="579"/>
    <tableColumn id="3" xr3:uid="{CE02D6C2-9E83-4065-A5B0-BB0AABAC2910}" name="Jan 1995 to Dec 1995 Significance" dataDxfId="578"/>
    <tableColumn id="4" xr3:uid="{D0AE096E-53F4-4858-A761-DEC215CBF7ED}" name="Jan 1997 to Dec 1997 " dataDxfId="577"/>
    <tableColumn id="5" xr3:uid="{8C5A4491-8EE3-41A7-9B91-6E909676FC0E}" name="Jan 1997 to Dec 1997 Significance" dataDxfId="576"/>
    <tableColumn id="6" xr3:uid="{A56D746A-DA8B-428D-AD29-565C386C50E4}" name="Jan 1999 to Dec 1999 " dataDxfId="575"/>
    <tableColumn id="7" xr3:uid="{B7E37A3D-0411-49FA-83A4-3A1E99BB8229}" name="Jan 1999 to Dec 1999 Significance" dataDxfId="574"/>
    <tableColumn id="8" xr3:uid="{E9D561E3-2DB8-485A-868B-3BE5A5FD5A88}" name="Apr 2001 to Mar 2002 " dataDxfId="573"/>
    <tableColumn id="9" xr3:uid="{B0559F41-91E9-4463-BFE0-DE7532EB89ED}" name="Apr 2001 to Mar 2002 Significance" dataDxfId="572"/>
    <tableColumn id="10" xr3:uid="{1E70ECF3-CEE0-4F76-954B-CC0C50A3B5CD}" name="Apr 2002 to Mar 2003 " dataDxfId="571"/>
    <tableColumn id="11" xr3:uid="{103E8868-6242-44B8-B6D2-10F55F67CDE6}" name="Apr 2002 to Mar 2003 Significance" dataDxfId="570"/>
    <tableColumn id="12" xr3:uid="{7F8D19DD-700E-4127-9734-2B4BF30C9033}" name="Apr 2003 to Mar 2004 " dataDxfId="569"/>
    <tableColumn id="13" xr3:uid="{A3EB1C26-C745-4D0F-8B71-B1F7869B0987}" name="Apr 2003 to Mar 2004 Significance" dataDxfId="568"/>
    <tableColumn id="14" xr3:uid="{A4253784-0EB5-4F23-B433-078A451CABAD}" name="Apr 2004 to Mar 2005 " dataDxfId="567"/>
    <tableColumn id="15" xr3:uid="{4D1C3C88-C841-453D-84F6-A4567558229C}" name="Apr 2004 to Mar 2005 Significance" dataDxfId="566"/>
    <tableColumn id="16" xr3:uid="{6FE9F2BE-6382-42F5-AEEC-17D3983706AD}" name="Apr 2005 to Mar 2006 " dataDxfId="565"/>
    <tableColumn id="17" xr3:uid="{F4543B22-F0B5-427E-ACC8-DA709CFCBB90}" name="Apr 2005 to Mar 2006 Significance" dataDxfId="564"/>
    <tableColumn id="18" xr3:uid="{46C4FC3F-7C87-4F4C-80A7-47C78BDE3226}" name="Apr 2006 to Mar 2007 " dataDxfId="563"/>
    <tableColumn id="19" xr3:uid="{DF761B66-0453-4A92-9687-C8373E94A26E}" name="Apr 2006 to Mar 2007 Significance" dataDxfId="562"/>
    <tableColumn id="20" xr3:uid="{71FD09BB-37C2-4F5C-ACB7-7F1934094D46}" name="Apr 2007 to Mar 2008 " dataDxfId="561"/>
    <tableColumn id="21" xr3:uid="{98552363-24A4-41D0-BC8C-CDD16A513A4E}" name="Apr 2007 to Mar 2008 Significance" dataDxfId="560"/>
    <tableColumn id="22" xr3:uid="{77DBB0FF-8C81-40FF-AB41-47B151A9DF8E}" name="Apr 2008 to Mar 2009 " dataDxfId="559"/>
    <tableColumn id="23" xr3:uid="{66960AB9-4F20-4F53-AE00-1EE865DC1903}" name="Apr 2008 to Mar 2009 Significance" dataDxfId="558"/>
    <tableColumn id="24" xr3:uid="{D5400AC0-39F1-4983-BEBA-CBC22361EEC9}" name="Apr 2009 to Mar 2010 " dataDxfId="557"/>
    <tableColumn id="25" xr3:uid="{44D1FE32-70C1-4E7A-93F3-DF94BEF069E4}" name="Apr 2009 to Mar 2010 Significance" dataDxfId="556"/>
    <tableColumn id="26" xr3:uid="{0DA869E3-1DBA-4EB9-A38C-03659E1920AB}" name="Apr 2010 to Mar 2011 " dataDxfId="555"/>
    <tableColumn id="27" xr3:uid="{6D0674D3-27CC-418F-821F-5D5F0683D7E7}" name="Apr 2010 to Mar 2011 Significance" dataDxfId="554"/>
    <tableColumn id="28" xr3:uid="{EF10501D-181B-46DC-9240-2AE801F0A24C}" name="Apr 2011 to Mar 2012 _x000a_[note 8]" dataDxfId="553"/>
    <tableColumn id="29" xr3:uid="{58D1D753-A6DE-4281-8C5A-5582714716EC}" name="Apr 2011 to Mar 2012 Significance" dataDxfId="552"/>
    <tableColumn id="30" xr3:uid="{84C2903F-96A1-4AD1-B000-AF837F7A40C0}" name="Apr 2012 to Mar 2013 " dataDxfId="551"/>
    <tableColumn id="31" xr3:uid="{7F66E7FE-A57C-448C-9341-77AC62B0A7CC}" name="Apr 2012 to Mar 2013 Significance" dataDxfId="550"/>
    <tableColumn id="32" xr3:uid="{448D00D3-9D0A-4368-9858-3E112275F07F}" name="Apr 2013 to Mar 2014 " dataDxfId="549"/>
    <tableColumn id="33" xr3:uid="{745104FB-72B9-4D5E-A717-5787764E1142}" name="Apr 2013 to Mar 2014 Significance" dataDxfId="548"/>
    <tableColumn id="34" xr3:uid="{66D7FFD1-22E0-4071-9FB6-FACEAB155B53}" name="Apr 2014 to Mar 2015 " dataDxfId="547"/>
    <tableColumn id="35" xr3:uid="{74BAD5F0-7F8B-4FE4-842E-8A2BDE782190}" name="Apr 2014 to Mar 2015 Significance" dataDxfId="546"/>
    <tableColumn id="36" xr3:uid="{4B9E1FCB-4D9C-47D1-9B3B-110CBA3B4109}" name="Apr 2015 to Mar 2016 " dataDxfId="545"/>
    <tableColumn id="37" xr3:uid="{4893FE1B-D005-43EF-98FE-E7A92C20E198}" name="Apr 2015 to Mar 2016 Significance" dataDxfId="544"/>
    <tableColumn id="38" xr3:uid="{9F9563DC-2411-401C-B5DF-7092611A2A9F}" name="Apr 2016 to Mar 2017 " dataDxfId="543"/>
    <tableColumn id="39" xr3:uid="{7649D1BE-B478-46AB-A927-7AA90051661B}" name="Apr 2016 to Mar 2017 Significance" dataDxfId="542"/>
    <tableColumn id="40" xr3:uid="{61DF26D5-6B48-4C5C-AF38-9635F8AA7A2A}" name="Apr 2017 to Mar 2018 " dataDxfId="541"/>
    <tableColumn id="41" xr3:uid="{BAAE334D-D485-4E7F-B41A-59877F28FE57}" name="Apr 2017 to Mar 2018 Significance" dataDxfId="540"/>
    <tableColumn id="42" xr3:uid="{734656E0-7928-4DF4-B3A5-8DB3D5A53A01}" name="Apr 2018 to Mar 2019 " dataDxfId="539"/>
    <tableColumn id="43" xr3:uid="{5F01FDCC-9345-4E9F-8DF6-81B866F2EA1B}" name="Apr 2018 to Mar 2019 Significance" dataDxfId="538"/>
    <tableColumn id="44" xr3:uid="{1662B0CE-F7D5-4FC1-882E-0D598911D74F}" name="Apr 2019 to Mar 2020 " dataDxfId="537"/>
    <tableColumn id="45" xr3:uid="{86808FF6-1D91-49AC-B3F0-AC99FB6686AC}" name="Apr 2019 to Mar 2020 Significance" dataDxfId="536"/>
    <tableColumn id="46" xr3:uid="{54FAD456-AEAE-4061-81DD-5E756409F585}" name="Apr 2022 to Mar 2023 " dataDxfId="535"/>
    <tableColumn id="47" xr3:uid="{59F01896-0146-4021-B6B6-941F9488C6B8}" name="Apr 2022 to Mar 2023 Significance" dataDxfId="534"/>
    <tableColumn id="52" xr3:uid="{F2403CC1-90A6-48F4-AFC0-263406499E93}" name="Jul 2023 to Jun 2024 " dataDxfId="533"/>
    <tableColumn id="53" xr3:uid="{8A6F7B8E-946F-4691-BA0A-6705EB74AE8E}" name="Jul 2023 to Jun 2024 Significance" dataDxfId="532"/>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D3BAFCE-224D-4626-8C59-1E242A497435}" name="A6e_24" displayName="A6e_24" ref="A25:AG30" totalsRowShown="0" headerRowBorderDxfId="531">
  <tableColumns count="33">
    <tableColumn id="1" xr3:uid="{F7D54ACC-BAF6-4200-841B-6E87CADDD93E}" name="Offender relationship"/>
    <tableColumn id="2" xr3:uid="{EFCD118B-88F7-4D7B-A65D-4C4CDC5E7610}" name="Jan 1981 to Dec 1981" dataDxfId="530"/>
    <tableColumn id="3" xr3:uid="{32059E52-9DBE-40B2-A590-BBA06710DF1B}" name="Jan 1983 to Dec 1983" dataDxfId="529"/>
    <tableColumn id="4" xr3:uid="{3646626D-B7E5-4668-A972-D40A883B6EF5}" name="Jan 1987 to Dec 1987" dataDxfId="528"/>
    <tableColumn id="5" xr3:uid="{03E748BF-7596-4739-8059-0FDCD574D738}" name="Jan 1991 to Dec 1991" dataDxfId="527"/>
    <tableColumn id="6" xr3:uid="{F95AFD3B-6D12-459E-8826-1DBEE24BF53B}" name="Jan 1993 to Dec 1993" dataDxfId="526"/>
    <tableColumn id="7" xr3:uid="{452785B2-CAD4-48E5-AEDE-C29BC96C8EDE}" name="Jan 1995 to Dec 1995" dataDxfId="525"/>
    <tableColumn id="8" xr3:uid="{BE94272C-BF33-4110-B7EF-B1AF8520D6FC}" name="Jan 1997 to Dec 1997" dataDxfId="524"/>
    <tableColumn id="9" xr3:uid="{C7D4ABFA-CE03-4E24-AD38-6A88D4AB8D3B}" name="Jan 1999 to Dec 1999" dataDxfId="523"/>
    <tableColumn id="10" xr3:uid="{7132E4D7-F84C-46B3-AE66-7BFCE04AEF13}" name="Apr 2001 to Mar 2002" dataDxfId="522"/>
    <tableColumn id="11" xr3:uid="{811C4D54-CC79-4E4F-A9DE-7D72BED69BDA}" name="Apr 2002 to Mar 2003" dataDxfId="521"/>
    <tableColumn id="12" xr3:uid="{DDE2CAE1-99C2-400D-8776-A9C428B4944C}" name="Apr 2003 to Mar 2004" dataDxfId="520"/>
    <tableColumn id="13" xr3:uid="{5EA130EF-9EF3-4DEA-8611-936BF715624A}" name="Apr 2004 to Mar 2005" dataDxfId="519"/>
    <tableColumn id="14" xr3:uid="{6FE3954F-5EE5-4FCC-A746-92EC47D2802F}" name="Apr 2005 to Mar 2006" dataDxfId="518"/>
    <tableColumn id="15" xr3:uid="{69375CFC-B7D3-4C32-9F22-C94AEFBC5981}" name="Apr 2006 to Mar 2007" dataDxfId="517"/>
    <tableColumn id="16" xr3:uid="{A23A7A5C-FC8E-40EF-BDFF-1B3B65ED5527}" name="Apr 2007 to Mar 2008" dataDxfId="516"/>
    <tableColumn id="17" xr3:uid="{F1D2C590-BCB0-4D95-8CCA-C4F4CDD2FF69}" name="Apr 2008 to Mar 2009" dataDxfId="515"/>
    <tableColumn id="18" xr3:uid="{FD503DC2-A0E7-4373-9126-5BF2BED74C66}" name="Apr 2009 to Mar 2010" dataDxfId="514"/>
    <tableColumn id="19" xr3:uid="{447C7276-8FF8-4E78-95A7-68F745B0301F}" name="Apr 2010 to Mar 2011" dataDxfId="513"/>
    <tableColumn id="20" xr3:uid="{ABF0BCE2-284D-46F8-B2A4-1D2C10F8E495}" name="Apr 2011 to Mar 2012" dataDxfId="512"/>
    <tableColumn id="21" xr3:uid="{28AF01C4-398F-46BA-8309-24C056E997CD}" name="Apr 2012 to Mar 2013_x000a_[note 6]" dataDxfId="511"/>
    <tableColumn id="22" xr3:uid="{2971DAD4-F331-4E4B-9DC5-C0DDA464FF41}" name="Apr 2013 to Mar 2014" dataDxfId="510"/>
    <tableColumn id="23" xr3:uid="{F7593C19-AD1D-476C-B901-EC5EC4BD1C0F}" name="Apr 2014 to Mar 2015" dataDxfId="509"/>
    <tableColumn id="24" xr3:uid="{FE83C206-C04E-4D68-88EA-512ABE58AEED}" name="Apr 2015 to Mar 2016" dataDxfId="508"/>
    <tableColumn id="25" xr3:uid="{3B4A4727-6732-4940-A300-CABD7A542512}" name="Apr 2016 to Mar 2017" dataDxfId="507"/>
    <tableColumn id="26" xr3:uid="{F73ACD1D-203D-4BE7-A63F-CBD621D406A7}" name="Apr 2017 to Mar 2018" dataDxfId="506"/>
    <tableColumn id="27" xr3:uid="{548EAD46-B940-4286-A7CF-1DE605BEDA82}" name="Apr 2018 to Mar 2019" dataDxfId="505"/>
    <tableColumn id="28" xr3:uid="{B85AE4DF-D72B-42F8-A292-A56895A14F0B}" name="Apr 2019 to Mar 2020_x000a_[note 7]" dataDxfId="504"/>
    <tableColumn id="29" xr3:uid="{97CCA8F4-48D3-49E6-9045-A1AF1E1063FE}" name="Apr 2022 to Mar 2023" dataDxfId="503"/>
    <tableColumn id="30" xr3:uid="{F556DF1E-B6BF-47CA-B96E-8B4AB24B7EEA}" name="Apr 2023 to Mar 2024" dataDxfId="502"/>
    <tableColumn id="31" xr3:uid="{DDE44AE9-530C-4097-8F45-0837B819813F}" name="Apr 2024 to Mar 2025" dataDxfId="501"/>
    <tableColumn id="32" xr3:uid="{4396CD5B-9BBF-4B1D-B581-23B933CD6304}" name="Jul 2023 to Jun 2024" dataDxfId="500"/>
    <tableColumn id="33" xr3:uid="{610A9FEE-11B6-42B8-BC45-2B7F7E66AC5B}" name="Jul 2024 to Jun 2025" dataDxfId="499"/>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276BB56-54D1-4C18-8AD6-BB602FE179DA}" name="A6f_25" displayName="A6f_25" ref="AI25:CE30" totalsRowShown="0" headerRowBorderDxfId="498">
  <tableColumns count="49">
    <tableColumn id="1" xr3:uid="{9F531B77-783A-4AC3-AD33-583EE2B5D9D7}" name="Offender relationship"/>
    <tableColumn id="2" xr3:uid="{00CF7F8B-58B2-434B-B050-4C1EA7EC6B6F}" name="Jan 1995 to Dec 1995 " dataDxfId="497"/>
    <tableColumn id="3" xr3:uid="{1694374B-374F-4C08-8144-76A9CF627900}" name="Jan 1995 to Dec 1995 Significance" dataDxfId="496"/>
    <tableColumn id="4" xr3:uid="{B5E87C47-D830-4599-983E-B758A1349FBD}" name="Jan 1997 to Dec 1997 " dataDxfId="495"/>
    <tableColumn id="5" xr3:uid="{45C12031-1489-4F1E-9056-55EACFCCFD33}" name="Jan 1997 to Dec 1997 Significance" dataDxfId="494"/>
    <tableColumn id="6" xr3:uid="{5ADFD752-318A-4623-8234-1EA33E589448}" name="Jan 1999 to Dec 1999 " dataDxfId="493"/>
    <tableColumn id="7" xr3:uid="{22058176-6CE9-4675-852F-441D1D3C6CD8}" name="Jan 1999 to Dec 1999 Significance" dataDxfId="492"/>
    <tableColumn id="8" xr3:uid="{1CF3AE75-F3D9-4DE4-ACE4-DB04B996FD04}" name="Apr 2001 to Mar 2002 " dataDxfId="491"/>
    <tableColumn id="9" xr3:uid="{CC3436C3-7DA6-470E-8C26-43C84A588BD9}" name="Apr 2001 to Mar 2002 Significance" dataDxfId="490"/>
    <tableColumn id="10" xr3:uid="{FBD9AA29-F756-40BB-A42B-02C1EAD47DF8}" name="Apr 2002 to Mar 2003 " dataDxfId="489"/>
    <tableColumn id="11" xr3:uid="{82CAE46B-F7F5-4AE9-BB20-AD61A3AA96E3}" name="Apr 2002 to Mar 2003 Significance" dataDxfId="488"/>
    <tableColumn id="12" xr3:uid="{6E51308C-4097-4367-A2A7-11B140DCB043}" name="Apr 2003 to Mar 2004 " dataDxfId="487"/>
    <tableColumn id="13" xr3:uid="{3E628214-EEC1-47B2-83F4-23FD5AD9AB23}" name="Apr 2003 to Mar 2004 Significance" dataDxfId="486"/>
    <tableColumn id="14" xr3:uid="{6DA53EF4-2D01-4807-9BB5-6C8F613F51FA}" name="Apr 2004 to Mar 2005 " dataDxfId="485"/>
    <tableColumn id="15" xr3:uid="{86B0F4CA-D9DC-438A-B85A-3E3258E07E52}" name="Apr 2004 to Mar 2005 Significance" dataDxfId="484"/>
    <tableColumn id="16" xr3:uid="{04E52252-633C-4479-9BE1-20A4A37197A7}" name="Apr 2005 to Mar 2006 " dataDxfId="483"/>
    <tableColumn id="17" xr3:uid="{88B1C371-4E12-4AC5-80B8-E08784BC50B0}" name="Apr 2005 to Mar 2006 Significance" dataDxfId="482"/>
    <tableColumn id="18" xr3:uid="{9953F320-3652-4F9C-AC4F-626EAD089BC9}" name="Apr 2006 to Mar 2007 " dataDxfId="481"/>
    <tableColumn id="19" xr3:uid="{B02DA4BF-A71F-4976-B838-D8F72A5A894D}" name="Apr 2006 to Mar 2007 Significance" dataDxfId="480"/>
    <tableColumn id="20" xr3:uid="{7784B390-91E7-47F3-92BF-46F3BF600AC0}" name="Apr 2007 to Mar 2008 " dataDxfId="479"/>
    <tableColumn id="21" xr3:uid="{D88396BD-84ED-4F37-B47F-3447ED6C29D6}" name="Apr 2007 to Mar 2008 Significance" dataDxfId="478"/>
    <tableColumn id="22" xr3:uid="{7DA0E746-155C-4E8B-AC12-F39F2F41933B}" name="Apr 2008 to Mar 2009 " dataDxfId="477"/>
    <tableColumn id="23" xr3:uid="{4C830ADB-D750-4990-AE57-0C35261A9FC2}" name="Apr 2008 to Mar 2009 Significance" dataDxfId="476"/>
    <tableColumn id="24" xr3:uid="{57EC5086-E938-4ECB-B61F-A6B99080CB68}" name="Apr 2009 to Mar 2010 " dataDxfId="475"/>
    <tableColumn id="25" xr3:uid="{7695DEA3-AA66-4C7B-AE71-0D79B9366232}" name="Apr 2009 to Mar 2010 Significance" dataDxfId="474"/>
    <tableColumn id="26" xr3:uid="{F83BE020-C425-4521-B7FD-48B22E1E19D9}" name="Apr 2010 to Mar 2011 " dataDxfId="473"/>
    <tableColumn id="27" xr3:uid="{88F1B4AD-D1EC-4F94-9E06-CFB00C2BF604}" name="Apr 2010 to Mar 2011 Significance" dataDxfId="472"/>
    <tableColumn id="28" xr3:uid="{7144E0A3-2065-47FC-8CA2-08C76F312448}" name="Apr 2011 to Mar 2012 _x000a_[note 8]" dataDxfId="471"/>
    <tableColumn id="29" xr3:uid="{3FDE5C76-5CF7-46BC-AD96-1C4A25E5E0C8}" name="Apr 2011 to Mar 2012 Significance" dataDxfId="470"/>
    <tableColumn id="30" xr3:uid="{A354FDE2-6030-4817-93F3-A38D7FAD9AA8}" name="Apr 2012 to Mar 2013 " dataDxfId="469"/>
    <tableColumn id="31" xr3:uid="{31A66D90-4EB3-4024-8E4B-10D647FD29FF}" name="Apr 2012 to Mar 2013 Significance" dataDxfId="468"/>
    <tableColumn id="32" xr3:uid="{FD69481A-2386-420E-BCBB-CE66F36175F6}" name="Apr 2013 to Mar 2014 " dataDxfId="467"/>
    <tableColumn id="33" xr3:uid="{22A7F0A4-2E03-4587-A494-A36827EB822D}" name="Apr 2013 to Mar 2014 Significance" dataDxfId="466"/>
    <tableColumn id="34" xr3:uid="{D459AFCC-4AA8-4075-B22A-5D62DCB06F05}" name="Apr 2014 to Mar 2015 " dataDxfId="465"/>
    <tableColumn id="35" xr3:uid="{24CEF72F-09C5-4690-A818-A696E962C88E}" name="Apr 2014 to Mar 2015 Significance" dataDxfId="464"/>
    <tableColumn id="36" xr3:uid="{D8E69E02-9C4C-414C-8FAC-541925929BB0}" name="Apr 2015 to Mar 2016 " dataDxfId="463"/>
    <tableColumn id="37" xr3:uid="{1C093584-FA5D-49FB-B25E-E938DC4ADEC3}" name="Apr 2015 to Mar 2016 Significance" dataDxfId="462"/>
    <tableColumn id="38" xr3:uid="{578903F3-6D24-42E4-B944-C922A662BBDA}" name="Apr 2016 to Mar 2017 " dataDxfId="461"/>
    <tableColumn id="39" xr3:uid="{0FDA0F63-CF20-4D20-B992-B5BF8E64465A}" name="Apr 2016 to Mar 2017 Significance" dataDxfId="460"/>
    <tableColumn id="40" xr3:uid="{F946516E-368C-48CF-8869-A8CCAC216B0E}" name="Apr 2017 to Mar 2018 " dataDxfId="459"/>
    <tableColumn id="41" xr3:uid="{42EA53F8-BB70-4B1D-A291-8ADEBBCB94A6}" name="Apr 2017 to Mar 2018 Significance" dataDxfId="458"/>
    <tableColumn id="42" xr3:uid="{60209192-1824-4972-AF8C-675626E5BB03}" name="Apr 2018 to Mar 2019 " dataDxfId="457"/>
    <tableColumn id="43" xr3:uid="{0C57C5C4-30D5-467D-BBBE-B083FCEC7189}" name="Apr 2018 to Mar 2019 Significance" dataDxfId="456"/>
    <tableColumn id="44" xr3:uid="{13B79199-2B2B-488F-8F24-ACC199044607}" name="Apr 2019 to Mar 2020 " dataDxfId="455"/>
    <tableColumn id="45" xr3:uid="{DAE214B9-5C0C-41FE-AF63-991CC3E9BE3B}" name="Apr 2019 to Mar 2020 Significance" dataDxfId="454"/>
    <tableColumn id="46" xr3:uid="{C394EED0-5F2F-43DC-B5CD-49156D678E10}" name="Apr 2022 to Mar 2023 " dataDxfId="453"/>
    <tableColumn id="47" xr3:uid="{AD9229AC-9318-4665-8E03-BF5031ED7865}" name="Apr 2022 to Mar 2023 Significance" dataDxfId="452"/>
    <tableColumn id="52" xr3:uid="{44E4367D-3C1C-4C9B-90AC-CBD79A79521F}" name="Jul 2023 to Jun 2024 " dataDxfId="451"/>
    <tableColumn id="53" xr3:uid="{722AB9A0-A904-4D6E-BE94-BC56D058F8F8}" name="Jul 2023 to Jun 2024 Significance" dataDxfId="450"/>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BA3604A-B223-4E15-8751-BC936FBD915E}" name="A6g_26" displayName="A6g_26" ref="A33:AG38" totalsRowShown="0" headerRowBorderDxfId="449">
  <tableColumns count="33">
    <tableColumn id="1" xr3:uid="{FB09D43F-4457-4924-A445-D1121E0510F9}" name="Offender relationship"/>
    <tableColumn id="2" xr3:uid="{5FBE69B1-E9D4-422F-AAA4-7A608D1EE983}" name="Jan 1981 to Dec 1981" dataDxfId="448"/>
    <tableColumn id="3" xr3:uid="{4C5E4D64-9B74-4D4E-950C-242E027F0E04}" name="Jan 1983 to Dec 1983" dataDxfId="447"/>
    <tableColumn id="4" xr3:uid="{24F3C71B-4386-4E60-9DB5-26AA91CB36C7}" name="Jan 1987 to Dec 1987" dataDxfId="446"/>
    <tableColumn id="5" xr3:uid="{A1D0096B-04EF-452E-B2ED-32D4CCC8EEB8}" name="Jan 1991 to Dec 1991" dataDxfId="445"/>
    <tableColumn id="6" xr3:uid="{EA5612F2-31D1-4746-961B-A3A0A4E69EDA}" name="Jan 1993 to Dec 1993" dataDxfId="444"/>
    <tableColumn id="7" xr3:uid="{58F795ED-2849-42EF-BE73-5CE6FE1EFC67}" name="Jan 1995 to Dec 1995" dataDxfId="443"/>
    <tableColumn id="8" xr3:uid="{1661DF57-51A5-47C4-8D87-C59DC422F81B}" name="Jan 1997 to Dec 1997" dataDxfId="442"/>
    <tableColumn id="9" xr3:uid="{14E6D5EE-7AED-484B-A136-3E9694D01461}" name="Jan 1999 to Dec 1999" dataDxfId="441"/>
    <tableColumn id="10" xr3:uid="{BC609797-D5FF-4205-AE05-3F887C9F0167}" name="Apr 2001 to Mar 2002" dataDxfId="440"/>
    <tableColumn id="11" xr3:uid="{68BCFEE3-E476-4F5B-B99B-70C7D15F29F3}" name="Apr 2002 to Mar 2003" dataDxfId="439"/>
    <tableColumn id="12" xr3:uid="{50BC7826-1538-4D7B-AC9E-6243F9FA0971}" name="Apr 2003 to Mar 2004" dataDxfId="438"/>
    <tableColumn id="13" xr3:uid="{D4E8B313-F316-458F-9DEE-41729CD45B9A}" name="Apr 2004 to Mar 2005" dataDxfId="437"/>
    <tableColumn id="14" xr3:uid="{D310879D-ECC4-42B2-BAFE-A6FFEB3D54BC}" name="Apr 2005 to Mar 2006" dataDxfId="436"/>
    <tableColumn id="15" xr3:uid="{7A185370-56CE-4350-B413-2865CF1D0728}" name="Apr 2006 to Mar 2007" dataDxfId="435"/>
    <tableColumn id="16" xr3:uid="{33922AA0-1524-4F78-8DA0-8CD80EAC15CF}" name="Apr 2007 to Mar 2008" dataDxfId="434"/>
    <tableColumn id="17" xr3:uid="{AD16EC9E-429A-4715-9172-D7AB5C61CC2C}" name="Apr 2008 to Mar 2009" dataDxfId="433"/>
    <tableColumn id="18" xr3:uid="{24F6D192-FDAA-42C1-8243-788BEC0B87A4}" name="Apr 2009 to Mar 2010" dataDxfId="432"/>
    <tableColumn id="19" xr3:uid="{9346A5D3-E595-46C8-8C9E-9D456DA4DD78}" name="Apr 2010 to Mar 2011" dataDxfId="431"/>
    <tableColumn id="20" xr3:uid="{5636957F-34C6-417C-B3DF-0CEFCBCBFB28}" name="Apr 2011 to Mar 2012" dataDxfId="430"/>
    <tableColumn id="21" xr3:uid="{66D325A1-C72D-4189-8492-5F7499722C92}" name="Apr 2012 to Mar 2013_x000a_[note 6]" dataDxfId="429"/>
    <tableColumn id="22" xr3:uid="{FC6092D9-188E-4544-818C-32AFE908DEFE}" name="Apr 2013 to Mar 2014" dataDxfId="428"/>
    <tableColumn id="23" xr3:uid="{A8AB5B2A-E97B-46A5-B37F-893471252D63}" name="Apr 2014 to Mar 2015" dataDxfId="427"/>
    <tableColumn id="24" xr3:uid="{0ADED76C-A7B8-402A-9CCF-BE6C74D2EDEF}" name="Apr 2015 to Mar 2016" dataDxfId="426"/>
    <tableColumn id="25" xr3:uid="{399F9496-7EB2-4E52-AE11-945F6E95E0E6}" name="Apr 2016 to Mar 2017" dataDxfId="425"/>
    <tableColumn id="26" xr3:uid="{F9293975-0FA7-413E-842F-04D5DF04F63B}" name="Apr 2017 to Mar 2018" dataDxfId="424"/>
    <tableColumn id="27" xr3:uid="{CAAFC27E-4232-4332-BD90-B93B0664E04E}" name="Apr 2018 to Mar 2019" dataDxfId="423"/>
    <tableColumn id="28" xr3:uid="{0662E4D7-7F32-4AE2-9DFC-815D9D2752BF}" name="Apr 2019 to Mar 2020_x000a_[note 7]" dataDxfId="422"/>
    <tableColumn id="29" xr3:uid="{A24EC875-2D25-4AE6-9722-57B888AE4981}" name="Apr 2022 to Mar 2023" dataDxfId="421"/>
    <tableColumn id="30" xr3:uid="{BBA9AEB8-1E74-46FF-91E5-57746E0D3BB0}" name="Apr 2023 to Mar 2024" dataDxfId="420"/>
    <tableColumn id="31" xr3:uid="{2423AB65-B636-4DD4-8CE1-80E6E7A2BFE4}" name="Apr 2024 to Mar 2025" dataDxfId="419"/>
    <tableColumn id="32" xr3:uid="{F71C5B78-1407-437B-A348-3D98B62779E6}" name="Jul 2023 to Jun 2024" dataDxfId="418"/>
    <tableColumn id="33" xr3:uid="{F65A7E6A-DB52-46D6-8427-14AC80FA8F97}" name="Jul 2024 to Jun 2025" dataDxfId="417"/>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29DFC48-1BD0-4EF2-B33C-1E37A5B4C8B3}" name="A6h_27" displayName="A6h_27" ref="AI33:CE38" totalsRowShown="0" headerRowBorderDxfId="416">
  <tableColumns count="49">
    <tableColumn id="1" xr3:uid="{26480824-B407-4C76-8B83-5430EC90D91B}" name="Offender relationship"/>
    <tableColumn id="2" xr3:uid="{29DE9F51-8EB6-4BBA-86EB-59F2F6D86086}" name="Jan 1995 to Dec 1995 " dataDxfId="415"/>
    <tableColumn id="3" xr3:uid="{33B32796-918E-480B-AC31-40F7D39137BF}" name="Jan 1995 to Dec 1995 Significance" dataDxfId="414"/>
    <tableColumn id="4" xr3:uid="{5E78DD64-6AC6-49C0-ABBA-ABDD0DA70A68}" name="Jan 1997 to Dec 1997 " dataDxfId="413"/>
    <tableColumn id="5" xr3:uid="{CB4055A9-862A-4D38-BEC1-C1F67BAA78C4}" name="Jan 1997 to Dec 1997 Significance" dataDxfId="412"/>
    <tableColumn id="6" xr3:uid="{F9F5F1B0-DC2A-4292-9A41-AA8DA4C6CCC5}" name="Jan 1999 to Dec 1999 " dataDxfId="411"/>
    <tableColumn id="7" xr3:uid="{A3C4737E-6DAE-4781-9DB7-EB7DC422E823}" name="Jan 1999 to Dec 1999 Significance" dataDxfId="410"/>
    <tableColumn id="8" xr3:uid="{52B73F3C-6F5B-4458-B1A6-8EB35135DC8B}" name="Apr 2001 to Mar 2002 " dataDxfId="409"/>
    <tableColumn id="9" xr3:uid="{734E7A7C-3777-49B1-A3E3-0CAFED42FACC}" name="Apr 2001 to Mar 2002 Significance" dataDxfId="408"/>
    <tableColumn id="10" xr3:uid="{4251B57C-54E5-4C64-BE88-F7F7EDCE49EC}" name="Apr 2002 to Mar 2003 " dataDxfId="407"/>
    <tableColumn id="11" xr3:uid="{900FED60-9BF5-4772-B4BD-87AE7CD372FB}" name="Apr 2002 to Mar 2003 Significance" dataDxfId="406"/>
    <tableColumn id="12" xr3:uid="{57E6B868-4670-498F-84B3-79650319EE3D}" name="Apr 2003 to Mar 2004 " dataDxfId="405"/>
    <tableColumn id="13" xr3:uid="{FC52477C-B093-4170-950C-A724B2A2E2CA}" name="Apr 2003 to Mar 2004 Significance" dataDxfId="404"/>
    <tableColumn id="14" xr3:uid="{4427603B-D1AE-4580-B5BD-C351CE2AC46E}" name="Apr 2004 to Mar 2005 " dataDxfId="403"/>
    <tableColumn id="15" xr3:uid="{BF432860-C553-46D1-A9CE-5FE8BBEBC09A}" name="Apr 2004 to Mar 2005 Significance" dataDxfId="402"/>
    <tableColumn id="16" xr3:uid="{A0829A31-0ED4-409C-B582-49214F3D1A18}" name="Apr 2005 to Mar 2006 " dataDxfId="401"/>
    <tableColumn id="17" xr3:uid="{7345F488-711F-4F44-A9CB-D23837643860}" name="Apr 2005 to Mar 2006 Significance" dataDxfId="400"/>
    <tableColumn id="18" xr3:uid="{5A4C7BC8-6E2F-457D-AF4C-D23ADCCE0F22}" name="Apr 2006 to Mar 2007 " dataDxfId="399"/>
    <tableColumn id="19" xr3:uid="{93F6C787-2724-4A37-96D3-882F6D744A60}" name="Apr 2006 to Mar 2007 Significance" dataDxfId="398"/>
    <tableColumn id="20" xr3:uid="{14319E81-D211-4DD0-90FA-E7D5839DED1C}" name="Apr 2007 to Mar 2008 " dataDxfId="397"/>
    <tableColumn id="21" xr3:uid="{4F14B599-1A05-402B-8CDC-D02083B75134}" name="Apr 2007 to Mar 2008 Significance" dataDxfId="396"/>
    <tableColumn id="22" xr3:uid="{23BDFC71-9DD1-4E2B-ACE7-A34ACB457BE1}" name="Apr 2008 to Mar 2009 " dataDxfId="395"/>
    <tableColumn id="23" xr3:uid="{1098F6E5-AA65-4947-B9D4-A2F67CB829EE}" name="Apr 2008 to Mar 2009 Significance" dataDxfId="394"/>
    <tableColumn id="24" xr3:uid="{0CEBECD8-D282-436A-8C1E-AF31D315DAF5}" name="Apr 2009 to Mar 2010 " dataDxfId="393"/>
    <tableColumn id="25" xr3:uid="{8089A438-F1E7-46A4-B142-5BC5A738A943}" name="Apr 2009 to Mar 2010 Significance" dataDxfId="392"/>
    <tableColumn id="26" xr3:uid="{D59572D3-5ADF-446E-B3B2-DB660A7DBD83}" name="Apr 2010 to Mar 2011 " dataDxfId="391"/>
    <tableColumn id="27" xr3:uid="{90DFE577-0603-4FF4-97BC-A2FD58B17596}" name="Apr 2010 to Mar 2011 Significance" dataDxfId="390"/>
    <tableColumn id="28" xr3:uid="{2F8577C9-031B-4BFA-93EF-F1231E2530A4}" name="Apr 2011 to Mar 2012 _x000a_[note 8]" dataDxfId="389"/>
    <tableColumn id="29" xr3:uid="{9BD16DC5-1C9E-49C2-96B4-AB0744C30A3C}" name="Apr 2011 to Mar 2012 Significance" dataDxfId="388"/>
    <tableColumn id="30" xr3:uid="{08E0BE69-991B-48B1-8D06-0BEBA0A42E3E}" name="Apr 2012 to Mar 2013 " dataDxfId="387"/>
    <tableColumn id="31" xr3:uid="{7A897E19-AF9A-4435-975D-E62A2AA10C7E}" name="Apr 2012 to Mar 2013 Significance" dataDxfId="386"/>
    <tableColumn id="32" xr3:uid="{48689A0E-B597-402B-8F0E-10C810B1681F}" name="Apr 2013 to Mar 2014 " dataDxfId="385"/>
    <tableColumn id="33" xr3:uid="{4D48FFBF-5691-4D7E-8A43-C168CFEEE034}" name="Apr 2013 to Mar 2014 Significance" dataDxfId="384"/>
    <tableColumn id="34" xr3:uid="{F542F854-AF6C-45B8-8328-AD51EC563324}" name="Apr 2014 to Mar 2015 " dataDxfId="383"/>
    <tableColumn id="35" xr3:uid="{A06CD26D-3C67-4C25-86C3-9978E7F48B8B}" name="Apr 2014 to Mar 2015 Significance" dataDxfId="382"/>
    <tableColumn id="36" xr3:uid="{6A299821-76A4-40F6-B7AD-60AA629A5BE7}" name="Apr 2015 to Mar 2016 " dataDxfId="381"/>
    <tableColumn id="37" xr3:uid="{20995E3E-1C42-45DF-B7FF-0960D3971346}" name="Apr 2015 to Mar 2016 Significance" dataDxfId="380"/>
    <tableColumn id="38" xr3:uid="{093CCAB2-0E36-4243-B48C-65A002558D70}" name="Apr 2016 to Mar 2017 " dataDxfId="379"/>
    <tableColumn id="39" xr3:uid="{072139C1-4F3E-49A2-B8FB-565F1762DD0A}" name="Apr 2016 to Mar 2017 Significance" dataDxfId="378"/>
    <tableColumn id="40" xr3:uid="{89C08966-E456-4E8C-BDD9-D125EF9A34F4}" name="Apr 2017 to Mar 2018 " dataDxfId="377"/>
    <tableColumn id="41" xr3:uid="{071777B0-A7C4-4174-B82B-9F297C44A2A8}" name="Apr 2017 to Mar 2018 Significance" dataDxfId="376"/>
    <tableColumn id="42" xr3:uid="{349C8033-5E4B-420F-A3F8-F01AD4FC3430}" name="Apr 2018 to Mar 2019 " dataDxfId="375"/>
    <tableColumn id="43" xr3:uid="{8EEF4F73-4008-40E3-A4E2-173A02629A62}" name="Apr 2018 to Mar 2019 Significance" dataDxfId="374"/>
    <tableColumn id="44" xr3:uid="{F0239423-7CD6-434A-B8B9-37254780232E}" name="Apr 2019 to Mar 2020 " dataDxfId="373"/>
    <tableColumn id="45" xr3:uid="{61E924F4-E8A7-4811-BCDC-C39AB6A5F0F1}" name="Apr 2019 to Mar 2020 Significance" dataDxfId="372"/>
    <tableColumn id="46" xr3:uid="{10D0CE32-631E-4464-A714-986E84ABC5BA}" name="Apr 2022 to Mar 2023 " dataDxfId="371"/>
    <tableColumn id="47" xr3:uid="{C7FA4464-8E15-44C5-B53E-1985D60A1371}" name="Apr 2022 to Mar 2023 Significance" dataDxfId="370"/>
    <tableColumn id="52" xr3:uid="{83627C73-C9D9-4422-955D-E07A88F91C6C}" name="Jul 2023 to Jun 2024 " dataDxfId="369"/>
    <tableColumn id="53" xr3:uid="{4E1E3495-621C-400D-A141-9278B18A9A63}" name="Jul 2023 to Jun 2024 Significance" dataDxfId="368"/>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17A86E3-BD1F-4514-BBC1-3C01FE0A7CE4}" name="Table1327" displayName="Table1327" ref="A9:H42" totalsRowShown="0" headerRowDxfId="367" dataDxfId="365" headerRowBorderDxfId="366" tableBorderDxfId="364" headerRowCellStyle="Normal 3" dataCellStyle="Normal 2 2 7">
  <autoFilter ref="A9:H42" xr:uid="{017A86E3-BD1F-4514-BBC1-3C01FE0A7CE4}">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CC2EC17-EBFE-49DD-B38D-8DE59C8BA0F1}" name="Offence" dataDxfId="363" dataCellStyle="Normal 2"/>
    <tableColumn id="6" xr3:uid="{97C4E5C8-60C8-4DCE-8ED4-2DFD5512A71E}" name="Apr 2020 to Mar 2021" dataDxfId="362" dataCellStyle="Normal 2 2 7"/>
    <tableColumn id="9" xr3:uid="{B3C5BA3D-6F5F-4F9B-8EC7-0D41D11E2101}" name="Apr 2021 to Mar 2022" dataDxfId="361" dataCellStyle="Normal 2 2 7"/>
    <tableColumn id="10" xr3:uid="{D913C269-8E4A-4A11-9BAE-99719BFF3E8D}" name="Apr 2022 to Mar 2023" dataDxfId="360" dataCellStyle="Normal 2 2 7"/>
    <tableColumn id="7" xr3:uid="{BF3F351C-E463-442F-97F5-C1065E726BCB}" name="Apr 2023 to Mar 2024" dataDxfId="359" dataCellStyle="Normal 2 2 7"/>
    <tableColumn id="11" xr3:uid="{97064746-B1BF-4545-B1D2-810E4B75D4BA}" name="Apr 2024 to Mar 2025" dataDxfId="358" dataCellStyle="Normal 2 2 7"/>
    <tableColumn id="2" xr3:uid="{1C80B54F-C56F-4F07-AAB7-B5B51856C69C}" name="Jul 2023 to Jun 2024" dataDxfId="357" dataCellStyle="Normal 2 2 7"/>
    <tableColumn id="3" xr3:uid="{F1B88410-058E-433C-A629-354A18C3F863}" name="Jul 2024 to Jun 2025" dataDxfId="356" dataCellStyle="Normal 2 2 7"/>
  </tableColumns>
  <tableStyleInfo showFirstColumn="0" showLastColumn="0" showRowStripes="0"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5FAC11B-FEC7-46E9-8857-EFB49C0AA1F3}" name="Tableb3" displayName="Tableb3" ref="A9:E12" totalsRowShown="0" headerRowDxfId="355" dataDxfId="353" headerRowBorderDxfId="354" tableBorderDxfId="352">
  <autoFilter ref="A9:E12" xr:uid="{B5FAC11B-FEC7-46E9-8857-EFB49C0AA1F3}">
    <filterColumn colId="0" hiddenButton="1"/>
    <filterColumn colId="1" hiddenButton="1"/>
    <filterColumn colId="2" hiddenButton="1"/>
    <filterColumn colId="3" hiddenButton="1"/>
    <filterColumn colId="4" hiddenButton="1"/>
  </autoFilter>
  <tableColumns count="5">
    <tableColumn id="1" xr3:uid="{99F2024E-A127-4714-B59D-72EEF574B554}" name="Firearm offences" dataDxfId="351"/>
    <tableColumn id="2" xr3:uid="{62242E30-746E-4FE8-A7A2-FF88F64403B8}" name="Apr 2014 to _x000a_Mar 2015" dataDxfId="350"/>
    <tableColumn id="3" xr3:uid="{AD7DDC4B-B354-4732-A722-FCA889DA9580}" name="Apr 2019 to _x000a_Mar 2020" dataDxfId="349"/>
    <tableColumn id="4" xr3:uid="{3BC6CD4E-3AB1-47E5-8952-5EE63CC0D4FB}" name="Jul 2023 to_x000a_ Jun 2024" dataDxfId="348"/>
    <tableColumn id="5" xr3:uid="{956AB730-763E-4B19-BFC6-B7FC55969B36}" name="Jul 2024 to_x000a_ Jun 2025" dataDxfId="347"/>
  </tableColumns>
  <tableStyleInfo name="Table Style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556EE6-B916-4AF4-B200-F4786E850E80}" name="Table4" displayName="Table4" ref="A8:Y15" totalsRowShown="0" headerRowDxfId="346" dataDxfId="344" headerRowBorderDxfId="345" tableBorderDxfId="343">
  <autoFilter ref="A8:Y15" xr:uid="{A1556EE6-B916-4AF4-B200-F4786E850E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autoFilter>
  <tableColumns count="25">
    <tableColumn id="1" xr3:uid="{5D62689D-2FA8-4DC7-B757-F66104902A43}" name="Principal weapon " dataDxfId="342"/>
    <tableColumn id="2" xr3:uid="{00440E2F-3841-41A7-A0DD-500E093B7118}" name="Apr 2002 to_x000a_ Mar 2003" dataDxfId="341" dataCellStyle="Comma 5 2"/>
    <tableColumn id="3" xr3:uid="{63B7AABA-B175-4E87-9032-021C27D82829}" name="Apr 2003 to_x000a_ Mar 2004" dataDxfId="340" dataCellStyle="Comma 5 2"/>
    <tableColumn id="4" xr3:uid="{708C3D22-B92B-4C1D-A69D-895724CD1E14}" name="Apr 2004 to_x000a_ Mar 2005" dataDxfId="339" dataCellStyle="Comma 5 2"/>
    <tableColumn id="5" xr3:uid="{5CFA09E2-2821-4E2B-9D8B-9D498B951495}" name="Apr 2005 to_x000a_ Mar 2006" dataDxfId="338" dataCellStyle="Comma 5 2"/>
    <tableColumn id="6" xr3:uid="{9CC580B9-3713-433D-885C-196871C83D9A}" name="Apr 2006 to_x000a_ Mar 2007" dataDxfId="337" dataCellStyle="Comma 5 2"/>
    <tableColumn id="7" xr3:uid="{A38C2826-8235-459F-947D-AAC2950B49F8}" name="Apr 2007 to_x000a_ Mar 2008" dataDxfId="336" dataCellStyle="Comma 5 2"/>
    <tableColumn id="8" xr3:uid="{0F02F4F6-A5D0-49C9-8175-4235AD605B24}" name="Apr 2008 to_x000a_ Mar 2009" dataDxfId="335" dataCellStyle="Comma 5 2"/>
    <tableColumn id="9" xr3:uid="{DB53CD4D-6B1F-40EF-B61B-3DDF44D06793}" name="Apr 2009 to_x000a_ Mar 2010" dataDxfId="334" dataCellStyle="Comma 5 2"/>
    <tableColumn id="10" xr3:uid="{D80A410D-BC7F-41E5-B914-90DEFFDDEABB}" name="Apr 2010 to_x000a_ Mar 2011" dataDxfId="333" dataCellStyle="Comma 5 2"/>
    <tableColumn id="11" xr3:uid="{641690DF-FAFD-4F22-B7D2-9BBC7B2C68FE}" name="Apr 2011 to_x000a_ Mar 2012" dataDxfId="332" dataCellStyle="Comma 5 2"/>
    <tableColumn id="12" xr3:uid="{BBA6069A-16BF-4AC4-AA4A-58634FDAE91F}" name="Apr 2012 to_x000a_ Mar 2013" dataDxfId="331" dataCellStyle="Comma 5 2"/>
    <tableColumn id="13" xr3:uid="{8A6C8313-7F67-4DA3-AAE3-A75316C1DA8E}" name="Apr 2013 to_x000a_ Mar 2014" dataDxfId="330" dataCellStyle="Comma 5 2"/>
    <tableColumn id="14" xr3:uid="{AE6079A7-A2E9-4D4A-818A-A73CEE1D81C7}" name="Apr 2014 to_x000a_Mar 2015" dataDxfId="329" dataCellStyle="Comma 5 2"/>
    <tableColumn id="15" xr3:uid="{42ED65F1-E6F6-4DBB-BAB6-1F9386366F27}" name="Apr 2015 to _x000a_Mar 2016" dataDxfId="328" dataCellStyle="Comma 5 2"/>
    <tableColumn id="16" xr3:uid="{8F132458-3132-4F21-BA63-22519E30FD8D}" name="Apr 2016 to _x000a_Mar 2017" dataDxfId="327" dataCellStyle="Comma 5 2"/>
    <tableColumn id="17" xr3:uid="{DEB5B3E4-3592-4535-A834-2BBCABAC6F1E}" name="Apr 2017 to _x000a_Mar 2018" dataDxfId="326" dataCellStyle="Comma 5 2"/>
    <tableColumn id="18" xr3:uid="{C8539625-8693-44C3-A7B5-FF313DDEE6AF}" name="Apr  2018 to_x000a_ Mar  2019" dataDxfId="325" dataCellStyle="Comma 5 2"/>
    <tableColumn id="19" xr3:uid="{9490F7F6-5DA4-4524-BC3B-100A757A58D3}" name="Apr 2019 to_x000a_ Mar 2020 " dataDxfId="324" dataCellStyle="Comma 5 2"/>
    <tableColumn id="20" xr3:uid="{7016E794-0BE5-49CD-911F-0DBE315A6646}" name="Apr 2020 to _x000a_Mar 2021" dataDxfId="323" dataCellStyle="Comma 5 2"/>
    <tableColumn id="21" xr3:uid="{5AA9B110-E63E-4DF5-BDE4-6688246B2FAC}" name="Apr 2021 to _x000a_Mar 2022" dataDxfId="322" dataCellStyle="Comma 5 2"/>
    <tableColumn id="22" xr3:uid="{4A244D65-722C-49FC-A2B3-D5AF7FB91059}" name="Apr 2022 to _x000a_Mar 2023" dataDxfId="321" dataCellStyle="Comma 5 2"/>
    <tableColumn id="25" xr3:uid="{E206384B-4B3D-4B6A-AB72-A3186B335507}" name="Jul 2023 to_x000a_ Jun 2024" dataDxfId="320" dataCellStyle="Comma 5 2"/>
    <tableColumn id="23" xr3:uid="{EA1FA2B5-F3B6-47BD-A675-FE563A941B8F}" name="Jul 2024 to_x000a_ Jun 2025" dataDxfId="319" dataCellStyle="Comma 5 2"/>
    <tableColumn id="24" xr3:uid="{EE406C5E-0B22-4E4A-9D07-22C3107F96B2}" name="YE Jun 2025_x000a_ compared with previous year_x000a_ % change" dataDxfId="318"/>
  </tableColumns>
  <tableStyleInfo name="Table Style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1108E681-069C-49C3-B87F-D75355CE39F6}" name="Table29" displayName="Table29" ref="A9:H18" totalsRowShown="0" dataDxfId="316" headerRowBorderDxfId="317" tableBorderDxfId="315">
  <autoFilter ref="A9:H18" xr:uid="{1108E681-069C-49C3-B87F-D75355CE39F6}">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2C61B82-51A3-4D29-9458-EC7E57FD5BB2}" name="Selected offences" dataDxfId="314"/>
    <tableColumn id="2" xr3:uid="{CCA3B47B-A162-4465-95F7-9A507CFC989D}" name="Apr 2019 to_x000a_ Mar 2020" dataDxfId="313"/>
    <tableColumn id="3" xr3:uid="{D92D8890-0BFB-4B58-9DCC-CAADABFF52C2}" name="Apr 2020 to_x000a_ Mar 2021" dataDxfId="312"/>
    <tableColumn id="4" xr3:uid="{5AE0D5B5-1E48-417A-A0F7-2CCE5581DDAC}" name="Apr 2021 to_x000a_ Mar 2022" dataDxfId="311"/>
    <tableColumn id="5" xr3:uid="{601510C1-BDDC-4C50-88ED-BEB238C02F1C}" name="Apr 2022 to _x000a_Mar 2023" dataDxfId="310"/>
    <tableColumn id="8" xr3:uid="{027C3E87-E74A-4FA9-AD28-0D171B9A4FEC}" name="Jul 2023 to _x000a_Jun 2024" dataDxfId="309"/>
    <tableColumn id="6" xr3:uid="{90E69891-5D01-4CC2-9185-ADE4DD2EC8A8}" name="Jul 2024 to _x000a_Jun 2025" dataDxfId="308"/>
    <tableColumn id="7" xr3:uid="{04B8785A-F285-47D5-9A33-81967BC339C7}" name="Jul 2024 to Jun 2025 compared with previous year % change" dataDxfId="307" dataCellStyle="Normal 4 2 2 2 2 3"/>
  </tableColumns>
  <tableStyleInfo name="Table Style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82C4404B-93F1-41B2-9476-4186CFF2A548}" name="Table31" displayName="Table31" ref="J9:P18" totalsRowShown="0" dataDxfId="305" headerRowBorderDxfId="306" tableBorderDxfId="304">
  <autoFilter ref="J9:P18" xr:uid="{82C4404B-93F1-41B2-9476-4186CFF2A54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89B1D65-3868-4518-84DC-717A1F942ED1}" name="Selected offences" dataDxfId="303"/>
    <tableColumn id="2" xr3:uid="{30A15D72-031F-40EB-8CD9-EF058F2BC08F}" name="Apr 2019 to Mar 2020 (%)" dataDxfId="302" dataCellStyle="Comma"/>
    <tableColumn id="3" xr3:uid="{9E1CA626-9379-43E5-8E15-DC8989E64F1E}" name="Apr 2020 to Mar 2021 (%)" dataDxfId="301" dataCellStyle="Comma"/>
    <tableColumn id="4" xr3:uid="{3FA2E680-45C5-4C4D-B53E-B9CD0EDF014B}" name="Apr 2021 to Mar 2022 (%)" dataDxfId="300" dataCellStyle="Comma"/>
    <tableColumn id="5" xr3:uid="{B5674536-F863-4E4B-AEAE-BA5937318853}" name="Apr 2022 to Mar 2023 (%)" dataDxfId="299" dataCellStyle="Comma"/>
    <tableColumn id="6" xr3:uid="{08BED116-9B61-4079-9687-9A703176E6AF}" name="Jul 2023 to Jun 2024 (%)" dataDxfId="298" dataCellStyle="Comma"/>
    <tableColumn id="7" xr3:uid="{0D24CA5B-1BE8-4FA1-8C26-7E993AC07844}" name="Jul 2024 to Jun 2025 (%)" dataDxfId="297" dataCellStyle="Comma"/>
  </tableColumns>
  <tableStyleInfo name="Table Style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E13BB290-8F85-4C26-AF48-33241F8D515B}" name="Tablef35" displayName="Tablef35" ref="A9:Q20" totalsRowShown="0" headerRowBorderDxfId="296">
  <autoFilter ref="A9:Q20" xr:uid="{E13BB290-8F85-4C26-AF48-33241F8D5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9AD5ADEC-7799-4301-8986-17A70B9AAADE}" name="Selected offences"/>
    <tableColumn id="2" xr3:uid="{C10BA210-2752-4BBE-A9A7-B5A7080C9BAD}" name="Apr 2010 to _x000a_Mar 2011"/>
    <tableColumn id="3" xr3:uid="{AEDF7A47-8579-4107-A723-F2BDCD5E182E}" name="Apr 2011 to _x000a_Mar 2012"/>
    <tableColumn id="4" xr3:uid="{F9E75B5C-75CB-48A1-BE68-D071AD7559CD}" name="Apr 2012 to _x000a_Mar 2013"/>
    <tableColumn id="5" xr3:uid="{F13E1041-1A7F-4B64-B3F4-2A5C5E784986}" name="Apr 2013 to _x000a_Mar 2014"/>
    <tableColumn id="6" xr3:uid="{B827E49E-516C-43F5-AADA-E52EE7BEF2FB}" name="Apr 2014 to _x000a_Mar 2015"/>
    <tableColumn id="7" xr3:uid="{8368DE37-09D4-4837-ABC4-96B10E3FD804}" name="Apr 2015 to _x000a_Mar 2016"/>
    <tableColumn id="8" xr3:uid="{AB5B6E96-A9D0-460E-8316-E782C3811179}" name="Apr 2016 to _x000a_Mar 2017"/>
    <tableColumn id="9" xr3:uid="{90E0108D-2EA9-41E4-B718-A509BE5CE246}" name="Apr 2017 to _x000a_Mar 2018"/>
    <tableColumn id="10" xr3:uid="{AC3590A2-4996-4C29-975B-CB8FE0E4A11C}" name="Apr 2018 to _x000a_Mar 2019"/>
    <tableColumn id="11" xr3:uid="{3F74F054-7C5F-4EB5-B831-DDC87B5CE7E5}" name="Apr 2019 to Mar 2020"/>
    <tableColumn id="12" xr3:uid="{BFA95520-E52E-45CD-8037-155D36293213}" name="Apr 2020 to Mar 2021"/>
    <tableColumn id="13" xr3:uid="{E8F0B9A3-4383-4594-81FF-75BBDB797F7D}" name="Apr 2021 to Mar 2022" dataDxfId="295"/>
    <tableColumn id="14" xr3:uid="{D974C383-FB59-480C-9BDC-83BE65A15695}" name="Apr 2022 to _x000a_Mar 2023" dataDxfId="294"/>
    <tableColumn id="17" xr3:uid="{2A8E8C04-B6CB-4538-A1DD-6B94478BAD83}" name="Jul 2023 to _x000a_Jun 2024" dataDxfId="293" dataCellStyle="Normal 4 2 2 2 3"/>
    <tableColumn id="16" xr3:uid="{81C63E2C-06B2-424D-9404-050AA2F8CCFB}" name="Jul 2024 to _x000a_Jun 2025" dataDxfId="292"/>
    <tableColumn id="15" xr3:uid="{C3E56E46-E1AD-4B81-906A-4EE651C79AD9}" name="Jul 2024 to Jun 2025 compared with previous year % change"/>
  </tableColumns>
  <tableStyleInfo name="Table Style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8D23374-072F-42DB-9E99-B25C154A7853}" name="Table109" displayName="Table109" ref="A23:P32" totalsRowShown="0" headerRowDxfId="291">
  <autoFilter ref="A23:P32" xr:uid="{68D23374-072F-42DB-9E99-B25C154A78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83107A-1142-4D1D-8864-ED563AABBA63}" name="Selected offences" dataDxfId="290"/>
    <tableColumn id="2" xr3:uid="{E87CF36C-5D57-41BB-A6AA-A6B83994F48A}" name="Apr 2010 to _x000a_Mar 2011_x000a_(%)" dataDxfId="289" dataCellStyle="Percent 5 2 2 2 2 3"/>
    <tableColumn id="3" xr3:uid="{54012C96-01D0-4F11-85E4-7A9E6CF5BE54}" name="Apr 2011 to _x000a_Mar 2012 _x000a_(%)" dataDxfId="288" dataCellStyle="Percent 5 2 2 2 2 3"/>
    <tableColumn id="4" xr3:uid="{A39E492B-58DA-4C56-9887-052D6C1439AA}" name="Apr 2012 to _x000a_Mar 2013_x000a_(%)" dataDxfId="287" dataCellStyle="Percent 5 2 2 2 2 3"/>
    <tableColumn id="5" xr3:uid="{85144804-1232-4AC8-B135-089A04E6213B}" name="Apr 2013 to _x000a_Mar 2014_x000a_(%)" dataDxfId="286" dataCellStyle="Percent 5 2 2 2 2 3"/>
    <tableColumn id="6" xr3:uid="{ED5AC4CD-7EA4-458D-8857-63259700629C}" name="Apr 2014 to _x000a_Mar 2015_x000a_(%)" dataDxfId="285" dataCellStyle="Percent 5 2 2 2 2 3"/>
    <tableColumn id="7" xr3:uid="{99FE3EBB-8D18-4C41-89A6-EBFF656915B7}" name="Apr 2015 to _x000a_Mar 2016_x000a_(%)" dataDxfId="284" dataCellStyle="Percent 5 2 2 2 2 3"/>
    <tableColumn id="8" xr3:uid="{F2A4C730-58CB-430E-879E-1B32E30C2DF6}" name="Apr 2016 to _x000a_Mar 2017_x000a_(%)" dataDxfId="283" dataCellStyle="Percent 5 2 2 2 2 3"/>
    <tableColumn id="9" xr3:uid="{8B73F573-5AA8-44F0-BAE6-9EDE0EE9C8EA}" name="Apr 2017 to _x000a_Mar 2018_x000a_(%)" dataDxfId="282" dataCellStyle="Percent 5 2 2 2 2 3"/>
    <tableColumn id="10" xr3:uid="{49468EED-66BD-4F72-98A5-6C6A52E42B1D}" name="Apr 2018 to _x000a_Mar 2019_x000a_(%)" dataDxfId="281" dataCellStyle="Percent 5 2 2 2 2 3"/>
    <tableColumn id="11" xr3:uid="{9F158423-68E0-4527-96AA-EC0BAA2D7921}" name="Apr 2019 to Mar 2020_x000a_ (%)" dataDxfId="280" dataCellStyle="Percent 5 2 2 2 2 3"/>
    <tableColumn id="12" xr3:uid="{0A883E2F-A36A-4EDD-BF1F-E3F073EC5421}" name="Apr 2020 to Mar 2021 (%)" dataDxfId="279" dataCellStyle="Percent 5 2 2 2 2 3"/>
    <tableColumn id="13" xr3:uid="{D73EDE26-2BC1-45B2-9530-A27D2395B14E}" name="Apr 2021 to Mar 2022 (%)" dataDxfId="278" dataCellStyle="Percent 5 2 2 2 2 3"/>
    <tableColumn id="14" xr3:uid="{B51D9954-D1EF-44B0-A131-54C0C7C77087}" name="Apr 2022 to Mar 2023 (%)" dataDxfId="277" dataCellStyle="Percent 5 2 2 2 2 3"/>
    <tableColumn id="15" xr3:uid="{A2C02609-D53C-4DFA-80AD-6133660E796B}" name="Jul 2023 to Jun 2024 (%)" dataDxfId="276" dataCellStyle="Percent 5 2 2 2 2 3"/>
    <tableColumn id="16" xr3:uid="{34A52730-0855-4A0F-93E8-1622BE15C631}" name="Jul 2024 to Jun 2025 (%)" dataDxfId="275" dataCellStyle="Percent 5 2 2 2 2 3"/>
  </tableColumns>
  <tableStyleInfo name="Table Style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3A83229-61F5-44C4-B14A-97C967EE2DBB}" name="Table28" displayName="Table28" ref="A9:Q19" totalsRowShown="0" headerRowBorderDxfId="274" tableBorderDxfId="273">
  <autoFilter ref="A9:Q19" xr:uid="{83A83229-61F5-44C4-B14A-97C967EE2DB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973A2BD5-A447-4017-9E22-2E1443D51E87}" name="Selected offences" dataDxfId="272" dataCellStyle="Normal 4 2 2 2 3"/>
    <tableColumn id="2" xr3:uid="{95DDA911-7A1D-4C61-9AC7-9A0392ACD5BC}" name="Apr 2010 to _x000a_Mar 2011"/>
    <tableColumn id="3" xr3:uid="{26DE50EC-E0C7-49BC-A175-AFAC7B3E10B1}" name="Apr 2011 to _x000a_Mar 2012"/>
    <tableColumn id="4" xr3:uid="{64B98F79-4C14-4D4A-9E2E-2B4793FAFD07}" name="Apr 2012 to _x000a_Mar 2013"/>
    <tableColumn id="5" xr3:uid="{223B7748-82E4-41B2-889D-7A142C872F0E}" name="Apr 2013 to _x000a_Mar 2014"/>
    <tableColumn id="6" xr3:uid="{EF876D54-9C00-4178-9AD0-0EE2430535C1}" name="Apr 2014 to _x000a_Mar 2015"/>
    <tableColumn id="7" xr3:uid="{328B1972-A652-4369-97EA-87F2023B9135}" name="Apr 2015 to _x000a_Mar 2016"/>
    <tableColumn id="8" xr3:uid="{40BECEA6-E01C-467C-86DE-93965B75C039}" name="Apr 2016 to _x000a_Mar 2017"/>
    <tableColumn id="9" xr3:uid="{39F15DF2-6FBC-4885-B4CC-FEC28465C9CB}" name="Apr 2017 to _x000a_Mar 2018"/>
    <tableColumn id="10" xr3:uid="{0F3F97A6-F2AF-4E85-827F-6BB00366232F}" name="Apr 2018 to _x000a_Mar 2019"/>
    <tableColumn id="11" xr3:uid="{E77A5179-560E-43D7-9794-4B374C5026B7}" name="Apr 2019 to_x000a_ Mar 2020"/>
    <tableColumn id="12" xr3:uid="{CBE13833-B0FC-4DCA-A81C-C597C190CA1C}" name="Apr 2020 to_x000a_ Mar 2021"/>
    <tableColumn id="13" xr3:uid="{95CD3009-077C-45AC-B2C1-531744323BBA}" name="Apr 2021 to_x000a_ Mar 2022" dataDxfId="271" dataCellStyle="Normal 4 2 2 2 3"/>
    <tableColumn id="14" xr3:uid="{27E606DF-CEE5-4AAF-8112-AB01D3561383}" name="Apr 2022 to _x000a_Mar 2023"/>
    <tableColumn id="17" xr3:uid="{43684E2B-1563-4FE7-B472-9E749023F1CE}" name="Jul 2023 to _x000a_Jun 2024"/>
    <tableColumn id="15" xr3:uid="{2DC2F9EE-048F-45C2-A336-094F4B650C96}" name="Jul 2024 to _x000a_Jun 2025"/>
    <tableColumn id="16" xr3:uid="{90BD4E54-FF24-4A5A-8096-2D51ACBD4B5C}" name="Jul 2024 to Jun 2025 compared with previous year % change"/>
  </tableColumns>
  <tableStyleInfo name="Table Style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770B4DF-53A9-4893-93F8-C6A26FDC3D0D}" name="TableF75" displayName="TableF75" ref="A6:P15" totalsRowShown="0" headerRowDxfId="270" dataDxfId="268" headerRowBorderDxfId="269" tableBorderDxfId="267" dataCellStyle="Comma">
  <autoFilter ref="A6:P15" xr:uid="{4770B4DF-53A9-4893-93F8-C6A26FDC3D0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AFF22E-8ED2-4FC7-8C61-C1EA206E479C}" name="Admissions" dataDxfId="266"/>
    <tableColumn id="13" xr3:uid="{BD96D2B7-EBB7-467C-B225-8E946AB205EF}" name="Age group" dataDxfId="265"/>
    <tableColumn id="2" xr3:uid="{9227A6EE-E043-4F7F-A75D-942C2EB299ED}" name="Apr 2012 to Mar 2013" dataDxfId="264" dataCellStyle="Comma"/>
    <tableColumn id="3" xr3:uid="{DAAB5E34-5F4C-446F-AC56-552103AFDBBE}" name="Apr 2013 to Mar 2014" dataDxfId="263" dataCellStyle="Comma"/>
    <tableColumn id="4" xr3:uid="{82B00D65-7EFE-46DB-816F-4EF901D00942}" name="Apr 2014 to Mar 2015" dataDxfId="262" dataCellStyle="Comma"/>
    <tableColumn id="5" xr3:uid="{E015BD14-A7AE-4B32-877C-08C222A6C22C}" name="Apr 2015 to Mar 2016" dataDxfId="261" dataCellStyle="Comma"/>
    <tableColumn id="6" xr3:uid="{264BBB6A-B585-4A6D-8D9C-741527056603}" name="Apr 2016 to Mar 2017" dataDxfId="260" dataCellStyle="Comma"/>
    <tableColumn id="7" xr3:uid="{690C746C-10FD-4242-9234-B2F3C782DCB4}" name="Apr 2017 to Mar 2018" dataDxfId="259" dataCellStyle="Comma"/>
    <tableColumn id="8" xr3:uid="{82D04F95-F414-4E44-B6B3-B8E4502FF79D}" name="Apr 2018 to Mar 2019" dataDxfId="258" dataCellStyle="Comma"/>
    <tableColumn id="9" xr3:uid="{23828CA2-59AC-442A-8986-EA2DFF7F0B7B}" name="Apr 2019 to Mar 2020" dataDxfId="257" dataCellStyle="Comma"/>
    <tableColumn id="14" xr3:uid="{D62E4D32-E4DD-469B-8898-ACDBEBD7EC46}" name="Apr 2020 to Mar 2021" dataDxfId="256" dataCellStyle="Comma"/>
    <tableColumn id="11" xr3:uid="{ACB720FE-A147-4707-84D6-2306830BFAA2}" name="Apr 2021 to Mar 2022 " dataDxfId="255" dataCellStyle="Comma"/>
    <tableColumn id="15" xr3:uid="{80AA7CCC-9AF0-46DE-A6DC-B417AF07D65D}" name="Apr 2022_x000a_to Mar 2023" dataDxfId="254" dataCellStyle="Comma"/>
    <tableColumn id="10" xr3:uid="{CCEBA1AC-A778-4AD0-9260-A56107C4F713}" name="Jul 2023_x000a_to Jun 2024" dataDxfId="253" dataCellStyle="Comma"/>
    <tableColumn id="16" xr3:uid="{7B3131CC-03A1-455B-97C9-24511D3C6B9C}" name="Jul 2024 to Jun 2025 [note 5]" dataDxfId="252" dataCellStyle="Comma"/>
    <tableColumn id="12" xr3:uid="{41BD22B5-6B61-48D6-87E3-B6CB5EA0CE40}" name="Jul 2024 to Jun 2025_x000a_ compared with_x000a_ previous year_x000a_ % change" dataDxfId="251"/>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31BD0D4-A992-4846-8149-564FD7838294}" name="Table544" displayName="Table544" ref="A9:L16" totalsRowShown="0" headerRowBorderDxfId="250" tableBorderDxfId="249" dataCellStyle="Normal 4 2 2 2 3">
  <autoFilter ref="A9:L16" xr:uid="{531BD0D4-A992-4846-8149-564FD783829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F6B7E6E-1667-459E-A78D-5CAA106B94EB}" name="Offence" dataDxfId="248" dataCellStyle="Normal 4 2 2 2 3"/>
    <tableColumn id="2" xr3:uid="{A0165B52-CDC3-410A-8EF4-45D3B75CF5E0}" name="Apr 2015 to _x000a_Mar 2016" dataCellStyle="Normal 4 2 2 2 3"/>
    <tableColumn id="3" xr3:uid="{2CEBC4BB-7B6D-4879-AB7A-3EAF60C5704A}" name="Apr 2016 to _x000a_Mar 2017" dataCellStyle="Normal 4 2 2 2 3"/>
    <tableColumn id="4" xr3:uid="{13CCEFEA-9DE0-4DFE-90C2-97524A29442F}" name="Apr 2017 to _x000a_Mar 2018" dataCellStyle="Normal 4 2 2 2 3"/>
    <tableColumn id="5" xr3:uid="{454EB9D1-4542-44C6-A729-D94E2CA1EB8E}" name="Apr 2018 to _x000a_Mar 2019" dataCellStyle="Normal 4 2 2 2 3"/>
    <tableColumn id="6" xr3:uid="{5672475B-5671-4C2B-9CF2-B4F642B35672}" name="Apr 2019 to _x000a_Mar 2020 " dataCellStyle="Normal 4 2 2 2 3"/>
    <tableColumn id="7" xr3:uid="{1FE50D0E-4D2C-46A5-BDE0-C3E59D572987}" name="Apr 2020 to _x000a_Mar 2021" dataCellStyle="Normal 4 2 2 2 3"/>
    <tableColumn id="8" xr3:uid="{C57FFA90-6556-49F5-995A-4C65A6F5A71F}" name="Apr 2021 to _x000a_Mar 2022" dataCellStyle="Normal 4 2 2 2 3"/>
    <tableColumn id="9" xr3:uid="{58A456BF-12F9-4C87-8012-5F5CDD06E45B}" name="Apr 2022 to _x000a_Mar 2023" dataCellStyle="Normal 4 2 2 2 3"/>
    <tableColumn id="12" xr3:uid="{D6809380-AD8E-40E1-B3A4-FA8214DCCBB7}" name="Jul 2023 to_x000a_ Jun 2024" dataCellStyle="Normal 4 2 2 2 3"/>
    <tableColumn id="10" xr3:uid="{1BC929AE-A38C-4EC2-B7D7-4AF7A05A1C09}" name="Jul 2024 to_x000a_ Jun 2025" dataDxfId="247" dataCellStyle="Comma 18"/>
    <tableColumn id="11" xr3:uid="{8B2EA1BB-795A-4557-8617-BABA528A469D}" name="YE Jun 2025_x000a_ compared with previous year_x000a_ % change" dataDxfId="246" dataCellStyle="Normal 10 2 2 2 2 2"/>
  </tableColumns>
  <tableStyleInfo name="Table Style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27C2607-78D2-44ED-955B-DCBBE882429E}" name="Table555" displayName="Table555" ref="A19:K26" totalsRowShown="0" dataDxfId="244" headerRowBorderDxfId="245" tableBorderDxfId="243" dataCellStyle="Normal 4 2 2 3 2">
  <autoFilter ref="A19:K26" xr:uid="{227C2607-78D2-44ED-955B-DCBBE882429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C583A22D-D58E-4CF3-976B-7DE3112EA3BC}" name="Offence" dataDxfId="242" dataCellStyle="Normal 4 2 2 2 3"/>
    <tableColumn id="2" xr3:uid="{38FB78AD-6901-4655-95D1-ECCA8CDDC341}" name="Apr 2015 to _x000a_Mar 2016_x000a_ (%)" dataDxfId="241" dataCellStyle="Normal 4 2 2 2 3"/>
    <tableColumn id="3" xr3:uid="{C7C265A7-7E7F-4DC6-BBA9-9546C2D9404A}" name="Apr 2016 to _x000a_Mar 2017_x000a_(%)" dataDxfId="240" dataCellStyle="Normal 4 2 2 2 3"/>
    <tableColumn id="4" xr3:uid="{7576647B-6750-4F09-B4B8-3F542D59D3C7}" name="Apr 2017 to _x000a_Mar 2018_x000a_(%)" dataDxfId="239" dataCellStyle="Normal 4 2 2 2 3"/>
    <tableColumn id="5" xr3:uid="{821601A1-89AF-4082-9BF9-0469E586BF89}" name="Apr 2018 to _x000a_Mar 2019_x000a_(%)" dataDxfId="238" dataCellStyle="Normal 4 2 2 2 3"/>
    <tableColumn id="6" xr3:uid="{5D83289D-703D-4D36-A2D1-893092E1D03D}" name="Apr 2019 to _x000a_Mar 2020_x000a_(%) " dataDxfId="237" dataCellStyle="Normal 4 2 2 2 3"/>
    <tableColumn id="7" xr3:uid="{CC1B1E1C-3CA2-4764-AC29-BBBCC3298F74}" name="Apr 2020 to _x000a_Mar 2021_x000a_(%)" dataDxfId="236" dataCellStyle="Normal 4 2 2 3 2"/>
    <tableColumn id="8" xr3:uid="{158D9B4C-57F4-42FD-8E78-B395575F9A3D}" name="Apr 2021 to _x000a_Mar 2022_x000a_(%)" dataDxfId="235" dataCellStyle="Normal 4 2 2 3 2"/>
    <tableColumn id="9" xr3:uid="{58EE8CE4-413F-4AC9-B0ED-03C080D5A508}" name="Apr 2022 to _x000a_Mar 2023_x000a_(%)" dataDxfId="234" dataCellStyle="Normal 4 2 2 3 2"/>
    <tableColumn id="10" xr3:uid="{6FAEB320-88D4-41BD-81EA-05EDFF76EAAA}" name="Jul 2023 to_x000a_ Jun 2024_x000a_(%)" dataDxfId="233" dataCellStyle="Normal 4 2 2 3 2"/>
    <tableColumn id="11" xr3:uid="{2DEA3D90-4807-45E6-8044-C1270FC1FE7B}" name="Jul 2024 to_x000a_ Jun 2025_x000a_(%)" dataDxfId="232" dataCellStyle="Normal 4 2 2 3 2"/>
  </tableColumns>
  <tableStyleInfo name="Table Style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5EDCF75-3E10-4AAA-85E6-79512A03FC07}" name="Table472" displayName="Table472" ref="A8:J19" totalsRowShown="0">
  <tableColumns count="10">
    <tableColumn id="1" xr3:uid="{501544F0-5593-45BA-BF13-8E5A1C7269C6}" name="Offences"/>
    <tableColumn id="2" xr3:uid="{02A03900-3298-410F-851D-529DB7B07EE5}" name="Apr 2016 to_x000a_ Mar 2017_x000a_(%)"/>
    <tableColumn id="3" xr3:uid="{C66D7892-E4A0-4F53-A077-7DFC2602B588}" name="Apr 2017 to_x000a_ Mar 2018_x000a_(%)"/>
    <tableColumn id="4" xr3:uid="{4BCF092C-C28A-48E4-A618-FAED26CA2631}" name="Apr 2018 to_x000a_ Mar 2019_x000a_(%)"/>
    <tableColumn id="5" xr3:uid="{363EFC8A-582A-426A-9958-DAB53D063908}" name="Apr 2019 to_x000a_ Mar 2020_x000a_(%)"/>
    <tableColumn id="6" xr3:uid="{8F603E10-42D1-4393-957F-49C418D72893}" name="Apr 2020 to_x000a_ Mar 2021_x000a_(%)"/>
    <tableColumn id="7" xr3:uid="{A2A47966-5451-4480-8BC1-3D9FA1A9239A}" name="Apr 2021 to_x000a_ Mar 2022_x000a_(%)"/>
    <tableColumn id="10" xr3:uid="{C1386221-16F2-4144-89C0-18F463A52CFD}" name="Apr 2022 to_x000a_ Mar 2023_x000a_(%)" dataDxfId="231"/>
    <tableColumn id="11" xr3:uid="{575E7EB0-98A8-4AC7-90E6-5C87A15F5CD0}" name="Jul 2023 to_x000a_ Jun 2024_x000a_(%)" dataDxfId="230"/>
    <tableColumn id="8" xr3:uid="{F5A2B85B-E710-4292-AF71-3AC91353655D}" name="Jul 2024 to_x000a_ Jun 2025_x000a_(%)"/>
  </tableColumns>
  <tableStyleInfo name="Table Style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FCC162B-CD76-4658-ACFE-8BF34AC90C03}" name="notes_table29" displayName="notes_table29" ref="A4:C10" totalsRowShown="0" headerRowDxfId="229" dataDxfId="228">
  <tableColumns count="3">
    <tableColumn id="1" xr3:uid="{20FF4374-4B8F-494A-8527-C4C4B6FB8691}" name="Note number" dataDxfId="227"/>
    <tableColumn id="2" xr3:uid="{2E591C74-992F-40EE-AC9F-6A26143E1D09}" name="Note text" dataDxfId="226"/>
    <tableColumn id="3" xr3:uid="{6A85F0B5-45E7-478D-A162-8D1BDEEAB98A}" name="Useful links" dataDxfId="225"/>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02FAF49-5F43-4664-A9F5-74FF70ED12FD}" name="notes_table32" displayName="notes_table32" ref="A13:C16" totalsRowShown="0" headerRowDxfId="224" dataDxfId="223">
  <tableColumns count="3">
    <tableColumn id="1" xr3:uid="{D8F3BA0E-D3D1-4124-8E0C-C18515D7EBD5}" name="Note number" dataDxfId="222"/>
    <tableColumn id="2" xr3:uid="{D42D5C83-404A-4C89-A2FE-802E4FDEC5FA}" name="Note text" dataDxfId="221"/>
    <tableColumn id="3" xr3:uid="{D8660A21-362D-45BA-A310-6A1DE0A9FA62}" name="Useful links" dataDxfId="220"/>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D93E2B-1B82-477A-883F-889EE4F6A645}" name="FAAa" displayName="FAAa" ref="A7:E30" totalsRowShown="0" headerRowBorderDxfId="219">
  <tableColumns count="5">
    <tableColumn id="1" xr3:uid="{EE050DC2-92AF-478D-80CC-86B1AB05CBFE}" name="Offence group_x000a_[note 1]"/>
    <tableColumn id="2" xr3:uid="{B4411528-DFDA-42D3-BFBD-DC03E791FF22}" name="Number of incidents (thousands)_x000a_[note 2]" dataDxfId="218"/>
    <tableColumn id="3" xr3:uid="{93825B3C-8C24-4E71-87FA-B54B6FD07479}" name="Rate per 1,000 people aged 16 years and over" dataDxfId="217"/>
    <tableColumn id="4" xr3:uid="{CB775298-F65B-4B01-B4B4-D831BBEAFDE3}" name="Number of victims aged 16 years and over (thousands)_x000a_[note 3]" dataDxfId="216"/>
    <tableColumn id="5" xr3:uid="{F3ECB3E7-2209-4194-8C78-3C830B9362E8}" name="Percentage victims aged 16 years and over once or more_x000a_[note 3]" dataDxfId="215"/>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247333B-8DB0-48ED-80C3-30FC0473F619}" name="FBB" displayName="FBB" ref="A7:D12" totalsRowShown="0" headerRowBorderDxfId="214">
  <tableColumns count="4">
    <tableColumn id="1" xr3:uid="{D6EAE3E7-3655-4FC5-9710-1A94B25DFC64}" name="Was the money that was taken:"/>
    <tableColumn id="2" xr3:uid="{8D7A807F-9AA4-49C6-91F9-8775CF84E22D}" name="Fraud %_x000a_[note 2]"/>
    <tableColumn id="3" xr3:uid="{578C58D1-C1DC-45D5-A0F6-CDE3A684E4C3}" name="Bank and credit account fraud %_x000a_[note 2]"/>
    <tableColumn id="4" xr3:uid="{5A3C2E1C-58EE-425A-89F5-21E80FDDFA76}" name="Consumer and retail fraud %_x000a_[note 2]"/>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CF70081-467B-496B-81B3-5498D5065728}" name="Table36" displayName="Table36" ref="A9:M76" totalsRowShown="0" headerRowBorderDxfId="213" tableBorderDxfId="212">
  <autoFilter ref="A9:M76" xr:uid="{6CF70081-467B-496B-81B3-5498D506572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6336393-2F47-438A-AB01-7F40E1350AAC}" name="Reporting body and fraud and computer misuse type [note 3]" dataDxfId="211" dataCellStyle="Normal 4 2 2 2"/>
    <tableColumn id="2" xr3:uid="{D56B8C11-FA8E-4346-8203-068E777041A8}" name="Action Fraud_x000a_ Jul 2023 to _x000a_Jun 2024_x000a_ [note 2]" dataDxfId="210" dataCellStyle="Normal 4 2 5"/>
    <tableColumn id="3" xr3:uid="{1E857813-F13F-428E-BE3B-BFD4968A2860}" name="Action Fraud_x000a_ Jul 2024 to _x000a_Jun 2025_x000a_ [note 2]" dataDxfId="209" dataCellStyle="Normal 4 2 5"/>
    <tableColumn id="4" xr3:uid="{D21BC6E5-7668-40E4-A727-62439D938F87}" name="Cifas_x000a_ Jul 2023 to _x000a_Jun 2024_x000a_ [note 4,5]" dataDxfId="208" dataCellStyle="Normal 3 2 2"/>
    <tableColumn id="5" xr3:uid="{4605A9BE-E6A1-48ED-BBF6-AC2D4F92DFD1}" name="Cifas_x000a_ Jul 2024 to _x000a_Jun 2025_x000a_[note 4,5]" dataDxfId="207" dataCellStyle="Normal 3 2 2"/>
    <tableColumn id="6" xr3:uid="{BB825309-1AAE-4D2F-8D69-294E472A266B}" name="UK Finance_x000a_ Jul 2023 to _x000a_Jun 2024_x000a_[note 2,5,6,7]" dataDxfId="206" dataCellStyle="Normal 3 2 2"/>
    <tableColumn id="7" xr3:uid="{1D7462FE-6443-45D7-8EA1-B13237F1186A}" name="UK Finance_x000a_ Jul 2024 to _x000a_Jun 2025_x000a_[note 2,5,6,7]" dataDxfId="205" dataCellStyle="Normal 3 2 2"/>
    <tableColumn id="8" xr3:uid="{218D4BC4-E656-4449-AFEE-DA637BF12FA4}" name="Total_x000a_Jul 2023 to _x000a_Jun 2024" dataDxfId="204" dataCellStyle="Normal 4 2 5"/>
    <tableColumn id="9" xr3:uid="{8D7CB8CA-A324-4479-A0AF-2FBD2F288B69}" name="Total_x000a_Jul 2024 to _x000a_Jun 2025" dataDxfId="203" dataCellStyle="Normal 4 2 5"/>
    <tableColumn id="10" xr3:uid="{83F7E280-7B96-4963-8A93-E481260F60C6}" name="  Action Fraud_x000a_ years % change_x000a_  [note 2]" dataDxfId="202" dataCellStyle="Normal 4 2 5"/>
    <tableColumn id="11" xr3:uid="{C052E120-2994-4B39-99CD-5735505AD14E}" name="Cifas_x000a_ years % change_x000a_ [note 4,5]" dataDxfId="201" dataCellStyle="Normal 3 2 2"/>
    <tableColumn id="12" xr3:uid="{E6854EF9-D05B-4B4D-85DB-44A2601DC3DA}" name="UK Finance_x000a_years % change_x000a_[note 2,5,6,7]" dataDxfId="200" dataCellStyle="Normal 3 2 2"/>
    <tableColumn id="13" xr3:uid="{0F7440ED-F9E4-40F8-B9D4-53EE6F2BF57F}" name="Total years_x000a_ % change_x000a__x000a_" dataDxfId="199" dataCellStyle="Normal 4 2 5"/>
  </tableColumns>
  <tableStyleInfo name="Table Style 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C6A099E-32A5-40B3-AB56-EE629895C212}" name="Table43" displayName="Table43" ref="A9:Q20" totalsRowShown="0" headerRowDxfId="198" dataDxfId="196" headerRowBorderDxfId="197" tableBorderDxfId="195" headerRowCellStyle="Normal 3 2 2" dataCellStyle="Comma 2 2 14">
  <autoFilter ref="A9:Q20" xr:uid="{EC6A099E-32A5-40B3-AB56-EE629895C21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B7838C3E-F2BE-42A4-8B1B-1CF22C2FDDCB}" name="UK Finance FRAUD (CAMIS)_x000a_Payment types" dataDxfId="194" dataCellStyle="Normal 10 2 2 2 3 5"/>
    <tableColumn id="2" xr3:uid="{85ABA804-A420-4464-AB3B-39043104119E}" name="Apr 2010 to _x000a_Mar 2011" dataDxfId="193" dataCellStyle="Comma 2 2 14"/>
    <tableColumn id="3" xr3:uid="{C436D115-9F4C-4BE0-9218-957536F84EB9}" name="Apr 2011 to_x000a_ Mar 2012" dataDxfId="192" dataCellStyle="Comma 2 2 14"/>
    <tableColumn id="4" xr3:uid="{525781CD-E66C-4D28-9188-207C14499F8A}" name="Apr 2012 to_x000a_ Mar 2013" dataDxfId="191" dataCellStyle="Comma 2 2 14"/>
    <tableColumn id="5" xr3:uid="{90882B6B-DFA7-4D60-A267-C9265D08759B}" name="Apr 2013 to_x000a_ Mar 2014" dataDxfId="190" dataCellStyle="Comma 2 2 14"/>
    <tableColumn id="6" xr3:uid="{643FB35B-0D81-42F0-8E20-0E50FFF053A5}" name="Apr 2014 to_x000a_ Mar 2015" dataDxfId="189" dataCellStyle="Comma 2 2 14"/>
    <tableColumn id="7" xr3:uid="{3285C4E2-A1DB-4057-A3D0-FE117ECC496F}" name="Apr 2015 to_x000a_ Mar 2016" dataDxfId="188" dataCellStyle="Comma 2 2 14"/>
    <tableColumn id="8" xr3:uid="{557F75AD-1535-4EDD-8F17-96359855433D}" name="Apr 2016 to _x000a_Mar 2017" dataDxfId="187" dataCellStyle="Comma 2 2 14"/>
    <tableColumn id="9" xr3:uid="{33D751C3-B5E6-4FF4-AAE2-B28AE122FFA3}" name="Apr 2017 to _x000a_Mar 2018" dataDxfId="186" dataCellStyle="Comma 2 2 14"/>
    <tableColumn id="10" xr3:uid="{301B1BB8-3AB5-4DC3-8795-A28A22227253}" name="Apr 2018 to_x000a_ Mar 2019" dataDxfId="185" dataCellStyle="Comma 2 2 14"/>
    <tableColumn id="11" xr3:uid="{3A19A1B7-16FA-4007-A3C2-BABF9D803C63}" name="Apr 2019 to_x000a_ Mar 2020" dataDxfId="184" dataCellStyle="Comma 2 2 14"/>
    <tableColumn id="12" xr3:uid="{37055F8E-37FB-4AD5-AB63-BC205621A59E}" name="Apr 2020 to_x000a_ Mar 2021" dataDxfId="183" dataCellStyle="Comma 2 2 14"/>
    <tableColumn id="13" xr3:uid="{39581E70-4753-487A-BCE9-559916B27526}" name="Apr 2021 to_x000a_ Mar 2022" dataDxfId="182" dataCellStyle="Comma 2 2 14"/>
    <tableColumn id="14" xr3:uid="{C209F62C-DEEB-42C3-BDCA-B825E30ED6F6}" name="Apr 2022 to _x000a_Mar 2023" dataDxfId="181" dataCellStyle="Comma 2 2 14"/>
    <tableColumn id="17" xr3:uid="{C92EB1D9-E7A3-4207-AF92-50B51FD052F1}" name="Jul 2023 to_x000a_ Jun 2024" dataDxfId="180" dataCellStyle="Comma 2 2 14"/>
    <tableColumn id="15" xr3:uid="{A817878D-F36F-42A6-B208-B48B593A5842}" name="Jul 2024 to_x000a_ Jun 2025" dataDxfId="179" dataCellStyle="Comma 18"/>
    <tableColumn id="16" xr3:uid="{71B28CD4-0AD5-403F-8580-94F5FB7A302E}" name="YE Jun 2025_x000a_ compared with previous year_x000a_ % change" dataDxfId="178" dataCellStyle="Normal 10 2 2 2 2 2"/>
  </tableColumns>
  <tableStyleInfo name="Table Style 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4EEDBAE-FED9-4EB3-B206-3A1F8959F969}" name="TableF11" displayName="TableF11" ref="A7:D17" totalsRowShown="0" headerRowBorderDxfId="177" tableBorderDxfId="176">
  <autoFilter ref="A7:D17" xr:uid="{F4EEDBAE-FED9-4EB3-B206-3A1F8959F969}">
    <filterColumn colId="0" hiddenButton="1"/>
    <filterColumn colId="1" hiddenButton="1"/>
    <filterColumn colId="2" hiddenButton="1"/>
    <filterColumn colId="3" hiddenButton="1"/>
  </autoFilter>
  <tableColumns count="4">
    <tableColumn id="1" xr3:uid="{46515C96-E095-40C1-A7CD-24E8DE99FE11}" name="Offence codes in grouping" dataDxfId="175" dataCellStyle="Normal 4 2 2 3 2"/>
    <tableColumn id="2" xr3:uid="{15D800CA-F306-4F07-B1C9-0D4CE6FA91B3}" name="Grouping" dataDxfId="174" dataCellStyle="Normal 4 2 2 3 2"/>
    <tableColumn id="3" xr3:uid="{95CC0407-5855-437F-9BD4-16F4BAED0742}" name="Number of offences flagged as online crime" dataDxfId="173" dataCellStyle="Normal 10 2 2 2 2 2"/>
    <tableColumn id="4" xr3:uid="{C730738C-A7FF-4204-A5C2-251C72539D46}" name="Proportion of total offences flagged as online crime (%)" dataDxfId="172" dataCellStyle="Normal 10 2 2 2 2 2"/>
  </tableColumns>
  <tableStyleInfo name="Table Style 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BF74790-064A-4316-9C20-1609D410276C}" name="notes_table2937" displayName="notes_table2937" ref="A4:C8" totalsRowShown="0" headerRowDxfId="171" dataDxfId="170">
  <tableColumns count="3">
    <tableColumn id="1" xr3:uid="{64EB9CBE-9C2E-4EE5-8A91-39E7241284FC}" name="Note number" dataDxfId="169"/>
    <tableColumn id="2" xr3:uid="{B1ECC0E2-4D8B-466A-8C92-F04D466C3B7B}" name="Note text" dataDxfId="168"/>
    <tableColumn id="3" xr3:uid="{4D46745C-0BA5-43C0-AB52-0DA27E0ED939}" name="Useful links" dataDxfId="167"/>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4C805F2-F236-4A5A-871C-9289737997F5}" name="notes_table3238" displayName="notes_table3238" ref="A13:C23" totalsRowShown="0" headerRowDxfId="166" dataDxfId="165">
  <tableColumns count="3">
    <tableColumn id="1" xr3:uid="{FA969536-11CB-434B-9FEF-286909A6E478}" name="Note number" dataDxfId="164"/>
    <tableColumn id="2" xr3:uid="{3FAC8BB3-46CF-46DD-9334-3D1D06343E44}" name="Note text" dataDxfId="163"/>
    <tableColumn id="3" xr3:uid="{19FDA97F-F593-4F84-A757-057CD641943F}" name="Useful links" dataDxfId="162"/>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3D0056D-D971-463F-8161-77D65FC9A0D6}" name="Table26" displayName="Table26" ref="A24:C26" totalsRowShown="0">
  <autoFilter ref="A24:C26" xr:uid="{93D0056D-D971-463F-8161-77D65FC9A0D6}">
    <filterColumn colId="0" hiddenButton="1"/>
    <filterColumn colId="1" hiddenButton="1"/>
    <filterColumn colId="2" hiddenButton="1"/>
  </autoFilter>
  <tableColumns count="3">
    <tableColumn id="1" xr3:uid="{5E28E47B-9A5D-4089-A831-A7F191AA305E}" name="Note number" dataDxfId="161"/>
    <tableColumn id="2" xr3:uid="{4FD331F9-B128-43B3-95F2-FE898691E8C8}" name="Note text" dataDxfId="160"/>
    <tableColumn id="3" xr3:uid="{C4B08ED6-7E45-4530-8E4B-64820CB33530}" name="Useful links"/>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E1FEA20-9A96-484F-8F5D-C694389CDB54}" name="Table25" displayName="Table25" ref="A29:C33" totalsRowShown="0" headerRowDxfId="159" dataDxfId="158">
  <autoFilter ref="A29:C33" xr:uid="{9E1FEA20-9A96-484F-8F5D-C694389CDB54}">
    <filterColumn colId="0" hiddenButton="1"/>
    <filterColumn colId="1" hiddenButton="1"/>
    <filterColumn colId="2" hiddenButton="1"/>
  </autoFilter>
  <tableColumns count="3">
    <tableColumn id="1" xr3:uid="{43ACD01D-F6C4-4196-AEAB-EA8B643FED16}" name="Note number" dataDxfId="157"/>
    <tableColumn id="2" xr3:uid="{57F915EA-A730-4AC8-A604-9928E7021263}" name="Note text" dataDxfId="156"/>
    <tableColumn id="3" xr3:uid="{8E29D69E-A8D1-4A06-9B4F-00DDF3792C92}" name="Useful links" dataDxfId="155"/>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9B0F66-E855-41F5-855F-4AE2FE11169E}" name="Table27" displayName="Table27" ref="A36:C43" totalsRowShown="0" headerRowDxfId="154">
  <autoFilter ref="A36:C43" xr:uid="{749B0F66-E855-41F5-855F-4AE2FE11169E}">
    <filterColumn colId="0" hiddenButton="1"/>
    <filterColumn colId="1" hiddenButton="1"/>
    <filterColumn colId="2" hiddenButton="1"/>
  </autoFilter>
  <tableColumns count="3">
    <tableColumn id="1" xr3:uid="{1ADC214C-D9AC-47F5-AA41-72039C5470FC}" name="Note number" dataDxfId="153"/>
    <tableColumn id="2" xr3:uid="{22F603AC-8601-4FE3-A1F0-E8EA949BB948}" name="Note text" dataDxfId="152"/>
    <tableColumn id="3" xr3:uid="{C9157BF6-8697-4E65-9C06-CB6A6DB15A7E}" name="Useful links" dataDxfId="151"/>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924EF9F-5C74-43BA-B1DD-DAA4F6C4781F}" name="FDDa" displayName="FDDa" ref="A8:D24" totalsRowShown="0" headerRowDxfId="150" dataDxfId="148" headerRowBorderDxfId="149">
  <tableColumns count="4">
    <tableColumn id="1" xr3:uid="{0A672059-7C30-40DC-8509-C6C94C3F8745}" name="Types of anti-social behaviour experienced/witnessed_x000a_[note 1]" dataDxfId="147"/>
    <tableColumn id="2" xr3:uid="{11A8EDA9-CB4D-4580-9F53-FE805A84ED48}" name="Jul 2023 to Jun 2024" dataDxfId="146"/>
    <tableColumn id="3" xr3:uid="{9AE1C409-1DC2-44B8-9852-3CB2D679D1C6}" name="Jul 2024 to Jun 2025" dataDxfId="145"/>
    <tableColumn id="4" xr3:uid="{4FD61475-0443-4BE8-A7F4-3592864D81FF}" name="Jul 2024 to Jun 2025 compared with Jul 2023 to Jun 2024 Statistically significant difference_x000a_[note 2]" dataDxfId="144"/>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F17AC85-5E42-4B48-9B92-B9E1C2ADE8A5}" name="FDDb" displayName="FDDb" ref="F8:I24" totalsRowShown="0" headerRowDxfId="143" dataDxfId="141" headerRowBorderDxfId="142">
  <tableColumns count="4">
    <tableColumn id="1" xr3:uid="{5E02FAEB-42E0-4D9E-B341-277BB5F2ED81}" name="Types of anti-social behaviour experienced/witnessed_x000a_[note 3]" dataDxfId="140"/>
    <tableColumn id="2" xr3:uid="{A4C83A80-A6E5-4097-B54B-D0B9A63F7251}" name="Jul 2023 to Jun 2024" dataDxfId="139"/>
    <tableColumn id="3" xr3:uid="{480094D2-C938-4311-8CB6-05C484312021}" name="Jul 2024 to Jun 2025" dataDxfId="138"/>
    <tableColumn id="4" xr3:uid="{6267EE01-0467-4208-9CC3-3B684E626ED1}" name="Jul 2024 to Jun 2025 compared with Jul 2023 to Jun 2024 Statistically significant difference_x000a_[note 2]" dataDxfId="137"/>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D27F6FF-AB7D-49FA-B472-C1D0F0025E8A}" name="FEEa" displayName="FEEa" ref="A9:G18" totalsRowShown="0" headerRowBorderDxfId="136">
  <tableColumns count="7">
    <tableColumn id="1" xr3:uid="{6CC934D4-5732-4426-B47A-506B86EEADEC}" name="Percentage saying there is a very/fairly big problem in their area_x000a_[note 2]"/>
    <tableColumn id="2" xr3:uid="{F1B70C1C-3349-49CE-AB7F-1A18343F79C8}" name="Jan 1996 to Dec 1996" dataDxfId="135"/>
    <tableColumn id="3" xr3:uid="{DCCD0600-2F46-4072-9210-6E96B27A7E60}" name="Apr 2014 to Mar 2015_x000a_[note 4]" dataDxfId="134"/>
    <tableColumn id="4" xr3:uid="{4126ED63-569E-4108-A16D-FB744E1C2475}" name="Apr 2019 to Mar 2020" dataDxfId="133"/>
    <tableColumn id="5" xr3:uid="{5EC87997-397D-46CA-9450-523757E98451}" name="Jul 2023 to Jun 2024" dataDxfId="132"/>
    <tableColumn id="6" xr3:uid="{C7577C02-2F81-4C2A-8F70-48F6E8D6EC66}" name="Jul 2024 to Jun 2025" dataDxfId="131"/>
    <tableColumn id="7" xr3:uid="{B9FBAC9E-50DB-4EEE-83FF-E87B7FC2ACB9}" name="Jul 2024 to Jun 2025 compared with Jul 2023 to Jun 2024 Statistically significant difference_x000a_[note 3]"/>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F49353-4F45-4517-AA9E-3EA0E779D255}" name="FEEb" displayName="FEEb" ref="I9:O18" totalsRowShown="0">
  <tableColumns count="7">
    <tableColumn id="1" xr3:uid="{4B2C528F-B61A-4A1F-90EF-E03D3921EFB5}" name="Percentage saying there is a very/fairly big problem in their area_x000a_[note 2]"/>
    <tableColumn id="2" xr3:uid="{2151C263-867E-4945-9A9F-417ABC25293C}" name="Jan 1996 to Dec 1996" dataDxfId="130"/>
    <tableColumn id="3" xr3:uid="{8F7E398E-C9EF-4DF1-B099-17DE98DFFB7F}" name="Apr 2014 to Mar 2015_x000a_[note 4]" dataDxfId="129"/>
    <tableColumn id="4" xr3:uid="{34462950-2F3F-42E0-8F8B-2BB3F9AC9E79}" name="Apr 2019 to Mar 2020" dataDxfId="128"/>
    <tableColumn id="5" xr3:uid="{96F2D616-B98E-4CB4-A53B-1150B462E489}" name="Jul 2023 to Jun 2024" dataDxfId="127"/>
    <tableColumn id="6" xr3:uid="{AC5198D7-FE9E-4DA7-B59B-D6DF25F2325D}" name="Jul 2024 to Jun 2025" dataDxfId="126"/>
    <tableColumn id="7" xr3:uid="{940298D4-FD83-4948-9F12-31FFF636FB99}" name="Jul 2024 to Jun 2025 compared with Jul 2023 to Jun 2024 Statistically significant difference_x000a_[note 3]"/>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9D2047C-ACC4-4C76-9CBA-B200628C6AD9}" name="Tablef222" displayName="Tablef222" ref="A8:O10" totalsRowShown="0" headerRowDxfId="125" dataDxfId="123" headerRowBorderDxfId="124" tableBorderDxfId="122">
  <autoFilter ref="A8:O10" xr:uid="{89D2047C-ACC4-4C76-9CBA-B200628C6AD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6E9C89A-D5D9-40D4-89AF-91E49758E51E}" name="Percentage saying ASB is a very/fairly_x000a_big problem in their area " dataDxfId="121"/>
    <tableColumn id="3" xr3:uid="{5EB0F0B7-DABA-4535-A62C-9F17A8E49E10}" name="Apr 2012 to Mar 2013_x000a_(%)_x000a_" dataDxfId="120"/>
    <tableColumn id="4" xr3:uid="{BB33BA7F-B7EB-44F7-A56F-B48F2B0CDC48}" name="Apr 2013 to Mar 2014_x000a_(%)_x000a_" dataDxfId="119"/>
    <tableColumn id="5" xr3:uid="{290027E3-F9E4-4615-AA0B-B583F2582D30}" name="Apr 2014 to Mar 2015_x000a_(%)_x000a_  " dataDxfId="118"/>
    <tableColumn id="6" xr3:uid="{FF84A0C7-16FB-4548-B9BF-90B0FC84B60F}" name="Apr 2015 to Mar 2016_x000a_(%)_x000a_" dataDxfId="117"/>
    <tableColumn id="7" xr3:uid="{62548BD8-4FF8-4CB6-A1DA-C5D622313B43}" name="Apr 2016 to Mar 2017_x000a_(%)_x000a_ " dataDxfId="116"/>
    <tableColumn id="8" xr3:uid="{37476EE4-4682-43A3-90F8-78388C64DFC3}" name="Apr 2017 to Mar 2018_x000a_(%)_x000a_ " dataDxfId="115"/>
    <tableColumn id="9" xr3:uid="{8FEC115D-7FD6-468C-9D5A-25AA5E21816B}" name="Apr 2018 to Mar 2019_x000a_(%)_x000a_" dataDxfId="114"/>
    <tableColumn id="10" xr3:uid="{E046C6BF-2A01-4F16-A364-6E02C5A3ACB0}" name="Apr 2019 to Mar 2020_x000a_(%)_x000a_" dataDxfId="113"/>
    <tableColumn id="11" xr3:uid="{58B100EB-33D4-4B64-A17A-D01C19166D84}" name="Apr 2023 to Mar 2024_x000a_(%)_x000a_" dataDxfId="112"/>
    <tableColumn id="2" xr3:uid="{72B6C82E-C3B1-4932-A947-9F6576F2C9CE}" name="Apr 2024 to Mar 2025_x000a_(%)_x000a_" dataDxfId="111"/>
    <tableColumn id="15" xr3:uid="{9E65B02A-0804-4C94-B9B7-8378D6A6036B}" name="Jul 2023 to Jun 2024 (%)" dataDxfId="110"/>
    <tableColumn id="14" xr3:uid="{D49D59A2-C566-44D6-B4F9-A9FCE2E71609}" name="Jul 2024 to Jun 2025 (%)" dataDxfId="109"/>
    <tableColumn id="12" xr3:uid="{D771680D-4036-4144-B2B7-89FF9336B7F4}" name="Jul 2024 to Jun 2025 compared with Apr 2014 to Mar 2015_x000a_ [note 2]" dataDxfId="108"/>
    <tableColumn id="13" xr3:uid="{632F89C7-90AD-4A8D-A9A9-8DA1A30AB96F}" name="Jul 2024 to Jun 2025 compared with Jul 2023 to Jun 2024_x000a_[note 2]" dataDxfId="107"/>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38E07C0-CB04-4733-9D7C-F18699F10158}" name="Tablef20" displayName="Tablef20" ref="A9:T12" totalsRowShown="0" headerRowDxfId="106" dataDxfId="105" tableBorderDxfId="104">
  <autoFilter ref="A9:T12" xr:uid="{C38E07C0-CB04-4733-9D7C-F18699F1015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autoFilter>
  <tableColumns count="20">
    <tableColumn id="1" xr3:uid="{6BDECA44-5363-4B29-B755-76A5D68D03BD}" name="Police recorded crime and anti-social behaviour" dataDxfId="103"/>
    <tableColumn id="2" xr3:uid="{D20BDBAA-EC55-4C62-8137-97E15380E891}" name="Apr 2007 to _x000a_Mar 2008" dataDxfId="102"/>
    <tableColumn id="3" xr3:uid="{97FDA82E-AB46-4810-B51E-2C9D307B3DB7}" name="Apr 2008 to _x000a_Mar 2009" dataDxfId="101"/>
    <tableColumn id="4" xr3:uid="{ABE67BD8-3FBB-4AB5-BA08-5E1B80336B70}" name="Apr 2009 to _x000a_Mar 2010" dataDxfId="100"/>
    <tableColumn id="5" xr3:uid="{A101430C-6DCC-4BA7-94A7-3D3B33F941F8}" name="Apr 2010 to _x000a_Mar 2011" dataDxfId="99"/>
    <tableColumn id="6" xr3:uid="{9FD01318-878C-46FD-9EE7-CFCA3993212F}" name="Apr 2011 to _x000a_Mar 2012" dataDxfId="98"/>
    <tableColumn id="7" xr3:uid="{874B09AC-D2A6-40F9-ABF8-73CA84FAA203}" name="Apr 2012 to _x000a_Mar 2013" dataDxfId="97"/>
    <tableColumn id="8" xr3:uid="{8AEAC7DA-8C85-42DC-B3AD-FD8FD3BC2797}" name="Apr 2013 to _x000a_Mar 2014" dataDxfId="96"/>
    <tableColumn id="9" xr3:uid="{504FCE47-F727-45E7-8024-7288B5A7E326}" name="Apr 2014 to _x000a_Mar 2015" dataDxfId="95"/>
    <tableColumn id="10" xr3:uid="{041215F6-A7FD-4C6A-A6CE-02F9AFBE2522}" name="Apr 2015 to _x000a_Mar 2016" dataDxfId="94"/>
    <tableColumn id="11" xr3:uid="{C26ED5D5-C615-4DA6-A240-E05804D20606}" name="Apr 2016 to _x000a_Mar 2017" dataDxfId="93"/>
    <tableColumn id="12" xr3:uid="{5F49FBE7-1082-436A-B5C7-BE4E41F89D7D}" name="Apr 2017 to _x000a_Mar 2018" dataDxfId="92"/>
    <tableColumn id="13" xr3:uid="{7329538F-D0FF-43ED-8AA3-AF168066E3EF}" name="Apr 2018 to_x000a_ Mar 2019" dataDxfId="91"/>
    <tableColumn id="14" xr3:uid="{E6C6E165-0E6C-4200-8D98-4CEBAB2BC674}" name="Apr 2019 to_x000a_ Mar 2020" dataDxfId="90"/>
    <tableColumn id="15" xr3:uid="{736C3F19-58AC-49E5-BF74-F6F2295BA5B4}" name="Apr 2020 to_x000a_ Mar 2021" dataDxfId="89"/>
    <tableColumn id="16" xr3:uid="{B0E79EBC-36E6-4833-8106-4621DCEC15A3}" name="Apr 2021 to_x000a_ Mar 2022" dataDxfId="88"/>
    <tableColumn id="19" xr3:uid="{C5DF9193-2F21-4C1E-BE8D-A36EB1517635}" name="Apr 2022 to_x000a_ Mar 2023" dataDxfId="87"/>
    <tableColumn id="17" xr3:uid="{4893840C-9C17-490B-B33E-13A1839F9C1A}" name="Jul 2023 to_x000a_ Jun 2024" dataDxfId="86"/>
    <tableColumn id="18" xr3:uid="{F3E92111-7111-4BD1-84AE-D0D64820AD28}" name="Jul 2024 to_x000a_ Jun 2025" dataDxfId="85"/>
    <tableColumn id="20" xr3:uid="{F79A2DE4-6729-4863-9410-4EFAF9AFAC46}" name="YE Jun 2025_x000a_ compared with previous year_x000a_ % change" dataDxfId="84">
      <calculatedColumnFormula>Tablef20[[#This Row],[Jul 2024 to
 Jun 2025]]/Tablef20[[#This Row],[Jul 2023 to
 Jun 2024]]-1</calculatedColumnFormula>
    </tableColumn>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932294C-3515-4D7D-BC6E-A21193FA1100}" name="Tabled4" displayName="Tabled4" ref="A7:B10" totalsRowShown="0" headerRowDxfId="83" dataDxfId="81" headerRowBorderDxfId="82">
  <autoFilter ref="A7:B10" xr:uid="{5932294C-3515-4D7D-BC6E-A21193FA1100}">
    <filterColumn colId="0" hiddenButton="1"/>
    <filterColumn colId="1" hiddenButton="1"/>
  </autoFilter>
  <tableColumns count="2">
    <tableColumn id="1" xr3:uid="{F9EA39EA-5CDF-41A0-B167-C835393824CE}" name="Category" dataDxfId="80"/>
    <tableColumn id="2" xr3:uid="{5AE8AE55-57E3-4401-B025-0D4BDE641CF2}" name="Percentage" dataDxfId="79"/>
  </tableColumns>
  <tableStyleInfo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B4B98641-B578-41D1-B70A-BF3246680705}" name="Table56" displayName="Table56" ref="A8:D12" totalsRowShown="0" headerRowDxfId="78" dataDxfId="77" tableBorderDxfId="76">
  <autoFilter ref="A8:D12" xr:uid="{B4B98641-B578-41D1-B70A-BF3246680705}">
    <filterColumn colId="0" hiddenButton="1"/>
    <filterColumn colId="1" hiddenButton="1"/>
    <filterColumn colId="2" hiddenButton="1"/>
    <filterColumn colId="3" hiddenButton="1"/>
  </autoFilter>
  <tableColumns count="4">
    <tableColumn id="1" xr3:uid="{CC3DE0D7-AE6D-4BDE-A29E-9138F4521927}" name="Non-notifiable offences" dataDxfId="75"/>
    <tableColumn id="2" xr3:uid="{F73E0910-8E09-4EA3-99F0-A704A648C79C}" name="Apr 2013 to Mar 2014 _x000a_[note 2]" dataDxfId="74"/>
    <tableColumn id="3" xr3:uid="{F6EBEF0A-D178-4C72-8236-BFE6C7AEE9A7}" name="Jan 2023 to Dec 2023" dataDxfId="73"/>
    <tableColumn id="4" xr3:uid="{51329740-6745-4215-9E7D-A0D125480547}" name="Jan 2024 to Dec 2024" dataDxfId="72"/>
  </tableColumns>
  <tableStyleInfo name="Table Style 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86810E-3889-4CBB-BA9B-731B167FF2D1}" name="Table57" displayName="Table57" ref="F8:H12" totalsRowShown="0" headerRowDxfId="71" dataDxfId="70" tableBorderDxfId="69">
  <autoFilter ref="F8:H12" xr:uid="{5086810E-3889-4CBB-BA9B-731B167FF2D1}">
    <filterColumn colId="0" hiddenButton="1"/>
    <filterColumn colId="1" hiddenButton="1"/>
    <filterColumn colId="2" hiddenButton="1"/>
  </autoFilter>
  <tableColumns count="3">
    <tableColumn id="1" xr3:uid="{A9862214-D022-4B8F-B5CC-206B7DA8986E}" name="Non-notifiable offences" dataDxfId="68"/>
    <tableColumn id="2" xr3:uid="{3931D8C2-02D0-4D15-99E7-68D638424215}" name="Jan 2024 to Dec 2024 compared with Apr 2013 to Mar 2014_x000a_ [note 2]" dataDxfId="67"/>
    <tableColumn id="3" xr3:uid="{0A703576-51D1-439D-B255-D1EC430FAE43}" name="Jan 2024 to Dec 2024 compared with Jan 2023 to Dec 2023" dataDxfId="66"/>
  </tableColumns>
  <tableStyleInfo name="Table Style 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DD62535-72BE-4651-B19A-2E195A3C668D}" name="Table22" displayName="Table22" ref="A18:C23" totalsRowShown="0" headerRowDxfId="65">
  <autoFilter ref="A18:C23" xr:uid="{CDD62535-72BE-4651-B19A-2E195A3C668D}">
    <filterColumn colId="0" hiddenButton="1"/>
    <filterColumn colId="1" hiddenButton="1"/>
    <filterColumn colId="2" hiddenButton="1"/>
  </autoFilter>
  <tableColumns count="3">
    <tableColumn id="1" xr3:uid="{BC3BE81B-96F1-4743-A503-8BD7504C4B9D}" name="Note number" dataDxfId="64"/>
    <tableColumn id="2" xr3:uid="{8D33532B-81E8-4E6A-8D95-8F58AC783342}" name="Note text" dataDxfId="63"/>
    <tableColumn id="3" xr3:uid="{93BF7ED0-B96C-4BEA-A8CF-B270C58A551E}" name="Useful links" dataDxfId="62"/>
  </tableColumns>
  <tableStyleInfo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B7B338-8509-4100-8379-FBFABB97C5C3}" name="Notes20" displayName="Notes20" ref="A10:C15" totalsRowShown="0" headerRowDxfId="61" dataDxfId="60">
  <autoFilter ref="A10:C15" xr:uid="{FBB7B338-8509-4100-8379-FBFABB97C5C3}">
    <filterColumn colId="0" hiddenButton="1"/>
    <filterColumn colId="1" hiddenButton="1"/>
    <filterColumn colId="2" hiddenButton="1"/>
  </autoFilter>
  <tableColumns count="3">
    <tableColumn id="1" xr3:uid="{B2AA41AB-BB83-4C2A-AF54-5813AD700A4A}" name="Note number" dataDxfId="59"/>
    <tableColumn id="2" xr3:uid="{2D7E2F43-D63F-40C2-A5AD-D459E5F2B560}" name="Note text" dataDxfId="58" dataCellStyle="Normal 4 2 2 2 2 2"/>
    <tableColumn id="3" xr3:uid="{472E01D2-981C-4366-8A03-FF8726B6ECC2}" name="Useful links" dataDxfId="57"/>
  </tableColumns>
  <tableStyleInfo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276E34AC-F62F-478E-8767-0C5E4BA19EBB}" name="Tablef13a3" displayName="Tablef13a3" ref="A8:M15" totalsRowShown="0" headerRowDxfId="56" dataDxfId="54" headerRowBorderDxfId="55" tableBorderDxfId="53">
  <tableColumns count="13">
    <tableColumn id="1" xr3:uid="{590F20DA-4279-48E0-A199-305BB05B293B}" name="Offence" dataDxfId="52" totalsRowDxfId="51"/>
    <tableColumn id="4" xr3:uid="{26961631-9B4E-4B78-AB07-1EE79FD4CD22}" name="Jul 2023 to _x000a_Sep 2023" dataDxfId="50" totalsRowDxfId="49"/>
    <tableColumn id="5" xr3:uid="{452E97BA-053D-4120-AC3E-F3328BA18958}" name="Oct 2023 to_x000a_ Dec 2023" dataDxfId="48" totalsRowDxfId="47"/>
    <tableColumn id="6" xr3:uid="{1F71EEE6-E598-4390-A894-081314D1FDAA}" name="Jan 2024 to_x000a_ Mar 2024" dataDxfId="46" totalsRowDxfId="45"/>
    <tableColumn id="7" xr3:uid="{EEC200DC-5E93-47C2-8CC6-566B543BF444}" name="Apr 2024 to_x000a_Jun 2024" dataDxfId="44" totalsRowDxfId="43"/>
    <tableColumn id="8" xr3:uid="{61558198-F88F-4B11-8040-600060E5562C}" name="Jul 2024 to _x000a_Sep 2024" dataDxfId="42" totalsRowDxfId="41"/>
    <tableColumn id="9" xr3:uid="{A1EF283B-6A03-470A-A201-097BC4547ACE}" name="Oct 2024 to_x000a_ Dec 2024" dataDxfId="40" totalsRowDxfId="39"/>
    <tableColumn id="14" xr3:uid="{CBF40CEF-30BE-4007-9684-8CE6B509AFB4}" name="Jan 2025 to_x000a_ Mar 2025" totalsRowDxfId="38"/>
    <tableColumn id="3" xr3:uid="{48D08394-C8D8-4C84-B2D0-0E3057E7D447}" name="Apr 2025 to_x000a_Jun 2025" dataDxfId="37" totalsRowDxfId="36"/>
    <tableColumn id="11" xr3:uid="{FC3EEA78-07CB-4443-AA88-1D46F194573E}" name="Jul to Sep_x000a_ 2023 and 2024_x000a_(% change)" dataDxfId="35" totalsRowDxfId="34"/>
    <tableColumn id="12" xr3:uid="{75F92A13-131B-430F-8FF8-301B81DFB966}" name="Oct to Dec_x000a_2023 and 2024_x000a_(% change)" dataDxfId="33" totalsRowDxfId="32"/>
    <tableColumn id="13" xr3:uid="{3B88DE56-2835-42FA-BA19-46D7C4E8D60B}" name="Jan to Mar_x000a_2024 and 2025_x000a_(% change)" dataDxfId="31" totalsRowDxfId="30"/>
    <tableColumn id="10" xr3:uid="{832481AF-3420-4797-AC7C-0CD0DA2CC66C}" name="Apr to Jun_x000a_2024 and 2025_x000a_ (% change)" dataDxfId="29" totalsRowDxfId="28"/>
  </tableColumns>
  <tableStyleInfo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5B7A483-7E22-4129-A1E4-07D53F630BF2}" name="Tablef13b4" displayName="Tablef13b4" ref="A18:I25" totalsRowShown="0" headerRowDxfId="27" dataDxfId="25" headerRowBorderDxfId="26" tableBorderDxfId="24">
  <tableColumns count="9">
    <tableColumn id="1" xr3:uid="{7D8308BF-88ED-40B5-A775-336CDD76EC82}" name="Offence" dataDxfId="23"/>
    <tableColumn id="3" xr3:uid="{E0D7B885-2058-4E86-B967-DFE746DE8ACA}" name="Jul 2023 to_x000a_ Sep 2023_x000a_(%)" dataDxfId="22"/>
    <tableColumn id="4" xr3:uid="{7AFCF056-F0A9-4A2D-882E-0B87321C9531}" name="Oct 2023 to_x000a_ Dec 2023_x000a_(%)" dataDxfId="21"/>
    <tableColumn id="5" xr3:uid="{23FB47A6-555E-406F-957C-9629C2887C60}" name="Jan 2023 to_x000a_ Mar 2024_x000a_(%)" dataDxfId="20"/>
    <tableColumn id="6" xr3:uid="{6AE833D3-E54A-441A-943F-BF769A82E446}" name="Apr 2024 to_x000a_ Jun 2024_x000a_(%)" dataDxfId="19"/>
    <tableColumn id="7" xr3:uid="{EE52DA6A-EB23-4152-B667-CF1EDD113D49}" name="Jul 2024 to_x000a_ Sep 2024_x000a_(%)" dataDxfId="18"/>
    <tableColumn id="8" xr3:uid="{D90464AF-718D-4E89-AC4F-11F7779F867A}" name="Oct 2024 to_x000a_ Dec 2024_x000a_(%)" dataDxfId="17"/>
    <tableColumn id="9" xr3:uid="{91431623-F813-4255-AF78-DC98F81D129D}" name="Jan 2025 to_x000a_ Mar 2025_x000a_(%)" dataDxfId="16"/>
    <tableColumn id="2" xr3:uid="{DD3FE7FC-2BD3-470E-AD25-02860A7AF674}" name="Apr 2025 to _x000a_Jun 2025_x000a_(%)" dataDxfId="15"/>
  </tableColumns>
  <tableStyleInfo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630417F-9B2A-4BAB-865C-9396082907D5}" name="Table1373" displayName="Table1373" ref="A8:K13" totalsRowShown="0" headerRowDxfId="14" dataDxfId="12" headerRowBorderDxfId="13" tableBorderDxfId="11" headerRowCellStyle="Normal 3">
  <autoFilter ref="A8:K13" xr:uid="{F630417F-9B2A-4BAB-865C-9396082907D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44DEFAED-7C80-401F-B50F-AF18DF3AA286}" name="Offence" dataDxfId="10"/>
    <tableColumn id="4" xr3:uid="{CFF80C4F-00BE-4914-A788-4FAC9E661FB5}" name="Jul 2023 to Sep 2023" dataDxfId="9"/>
    <tableColumn id="5" xr3:uid="{5621CAB1-9F7A-4407-9232-C00CA1C23ADF}" name="Oct 2023 to Dec 2023" dataDxfId="8"/>
    <tableColumn id="2" xr3:uid="{92363E45-7183-40B5-A3E5-08E0B9E8D894}" name="Jan 2024 to Mar 2024" dataDxfId="7"/>
    <tableColumn id="3" xr3:uid="{B2EA09CE-3FD9-4547-A3AC-EFB52C2DA176}" name="Apr 2024 to Jun 2024" dataDxfId="6"/>
    <tableColumn id="6" xr3:uid="{CC93252B-51A2-48F1-AE4B-3095B4AF8A98}" name="Jul 2023 to Jun 2024" dataDxfId="5"/>
    <tableColumn id="9" xr3:uid="{5F7E8744-DAE8-46EF-BCB7-A383B46FDB51}" name="Jul 2024 to Sep 2024" dataDxfId="4"/>
    <tableColumn id="10" xr3:uid="{E6B54D52-D184-4CB9-8113-A72095FCCE8E}" name="Oct 2024 to Dec 2024" dataDxfId="3"/>
    <tableColumn id="7" xr3:uid="{12E4B507-9A2B-419D-B5C4-CE55E0604259}" name="Jan 2025 to Mar 2025" dataDxfId="2"/>
    <tableColumn id="8" xr3:uid="{EACB85F8-6481-491E-B3E9-F1143BFD6FFD}" name="Apr 2025 to Jun 2025" dataDxfId="1"/>
    <tableColumn id="11" xr3:uid="{314DCCFD-D280-4053-A26B-8E1439C9652F}" name="Jul 2024 to Jun 2025" dataDxfId="0"/>
  </tableColumns>
  <tableStyleInfo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mailto:crimestatistics@ons.gov.uk" TargetMode="External"/><Relationship Id="rId7" Type="http://schemas.openxmlformats.org/officeDocument/2006/relationships/printerSettings" Target="../printerSettings/printerSettings1.bin"/><Relationship Id="rId2" Type="http://schemas.openxmlformats.org/officeDocument/2006/relationships/hyperlink" Target="https://www.ons.gov.uk/peoplepopulationandcommunity/crimeandjustice/methodologies/userguidetocrimestatisticsforenglandandwales" TargetMode="External"/><Relationship Id="rId1" Type="http://schemas.openxmlformats.org/officeDocument/2006/relationships/hyperlink" Target="https://www.ons.gov.uk/peoplepopulationandcommunity/crimeandjustice/bulletins/crimeinenglandandwales/previousReleases" TargetMode="External"/><Relationship Id="rId6" Type="http://schemas.openxmlformats.org/officeDocument/2006/relationships/hyperlink" Target="https://osr.statisticsauthority.gov.uk/correspondence/ed-humpherson-to-jen-woolford-accreditation-of-the-estimates-from-the-crime-survey-for-england-and-wales/" TargetMode="External"/><Relationship Id="rId5" Type="http://schemas.openxmlformats.org/officeDocument/2006/relationships/hyperlink" Target="https://www.ons.gov.uk/releasecalendar?view=upcoming" TargetMode="External"/><Relationship Id="rId4" Type="http://schemas.openxmlformats.org/officeDocument/2006/relationships/hyperlink" Target="mailto:crimestatistics@ons.gov.uk"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www.ons.gov.uk/peoplepopulationandcommunity/crimeandjustice/articles/improvingvictimisationestimatesderivedfromthecrimesurveyforenglandandwales/2019-01-24" TargetMode="External"/><Relationship Id="rId7" Type="http://schemas.openxmlformats.org/officeDocument/2006/relationships/table" Target="../tables/table2.xml"/><Relationship Id="rId2" Type="http://schemas.openxmlformats.org/officeDocument/2006/relationships/hyperlink" Target="https://www.ons.gov.uk/peoplepopulationandcommunity/crimeandjustice/methodologies/userguidetocrimestatisticsforenglandandwales" TargetMode="External"/><Relationship Id="rId1" Type="http://schemas.openxmlformats.org/officeDocument/2006/relationships/hyperlink" Target="https://www.ons.gov.uk/peoplepopulationandcommunity/crimeandjustice/methodologies/userguidetocrimestatisticsforenglandandwales" TargetMode="External"/><Relationship Id="rId6" Type="http://schemas.openxmlformats.org/officeDocument/2006/relationships/printerSettings" Target="../printerSettings/printerSettings3.bin"/><Relationship Id="rId5" Type="http://schemas.openxmlformats.org/officeDocument/2006/relationships/hyperlink" Target="https://www.ons.gov.uk/peoplepopulationandcommunity/crimeandjustice/articles/crimetrendsinenglandandwalesandhowwemeasurethem/2024-03-06" TargetMode="External"/><Relationship Id="rId4" Type="http://schemas.openxmlformats.org/officeDocument/2006/relationships/hyperlink" Target="https://www.ons.gov.uk/peoplepopulationandcommunity/crimeandjustice/methodologies/userguidetocrimestatisticsforenglandandwales"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2.bin"/><Relationship Id="rId3" Type="http://schemas.openxmlformats.org/officeDocument/2006/relationships/hyperlink" Target="https://www.ons.gov.uk/peoplepopulationandcommunity/crimeandjustice/methodologies/userguidetocrimestatisticsforenglandandwales" TargetMode="External"/><Relationship Id="rId7" Type="http://schemas.openxmlformats.org/officeDocument/2006/relationships/hyperlink" Target="https://www.ons.gov.uk/peoplepopulationandcommunity/crimeandjustice/methodologies/userguidetocrimestatisticsforenglandandwales" TargetMode="External"/><Relationship Id="rId2" Type="http://schemas.openxmlformats.org/officeDocument/2006/relationships/hyperlink" Target="https://www.ons.gov.uk/peoplepopulationandcommunity/crimeandjustice/articles/homicideinenglandandwales/yearendingmarch2024" TargetMode="External"/><Relationship Id="rId1" Type="http://schemas.openxmlformats.org/officeDocument/2006/relationships/hyperlink" Target="https://www.gov.uk/government/statistics/police-recorded-crime-open-data-tables" TargetMode="External"/><Relationship Id="rId6" Type="http://schemas.openxmlformats.org/officeDocument/2006/relationships/hyperlink" Target="https://www.ons.gov.uk/peoplepopulationandcommunity/crimeandjustice/methodologies/userguidetocrimestatisticsforenglandandwales" TargetMode="External"/><Relationship Id="rId5" Type="http://schemas.openxmlformats.org/officeDocument/2006/relationships/hyperlink" Target="https://www.ukfinance.org.uk/policy-and-guidance/reports-and-publications/annual-fraud-report-2025" TargetMode="External"/><Relationship Id="rId4" Type="http://schemas.openxmlformats.org/officeDocument/2006/relationships/hyperlink" Target="https://www.ons.gov.uk/peoplepopulationandcommunity/crimeandjustice/methodologies/userguidetocrimestatisticsforenglandandwales" TargetMode="External"/><Relationship Id="rId9"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8" Type="http://schemas.openxmlformats.org/officeDocument/2006/relationships/table" Target="../tables/table19.xml"/><Relationship Id="rId3" Type="http://schemas.openxmlformats.org/officeDocument/2006/relationships/hyperlink" Target="https://www.ons.gov.uk/peoplepopulationandcommunity/crimeandjustice/methodologies/policerecordedoffencesinvolvingknivesorsharpinstrumentsmethodologychanges" TargetMode="External"/><Relationship Id="rId7" Type="http://schemas.openxmlformats.org/officeDocument/2006/relationships/table" Target="../tables/table18.xml"/><Relationship Id="rId2" Type="http://schemas.openxmlformats.org/officeDocument/2006/relationships/hyperlink" Target="https://www.ons.gov.uk/peoplepopulationandcommunity/crimeandjustice/articles/improvingvictimisationestimatesderivedfromthecrimesurveyforenglandandwales/2019-01-24" TargetMode="External"/><Relationship Id="rId1" Type="http://schemas.openxmlformats.org/officeDocument/2006/relationships/hyperlink" Target="https://www.ons.gov.uk/peoplepopulationandcommunity/crimeandjustice/methodologies/policerecordedoffencesinvolvingknivesorsharpinstrumentsmethodologychanges" TargetMode="External"/><Relationship Id="rId6" Type="http://schemas.openxmlformats.org/officeDocument/2006/relationships/table" Target="../tables/table17.xml"/><Relationship Id="rId11" Type="http://schemas.openxmlformats.org/officeDocument/2006/relationships/table" Target="../tables/table22.xml"/><Relationship Id="rId5" Type="http://schemas.openxmlformats.org/officeDocument/2006/relationships/table" Target="../tables/table16.xml"/><Relationship Id="rId10" Type="http://schemas.openxmlformats.org/officeDocument/2006/relationships/table" Target="../tables/table21.xml"/><Relationship Id="rId4" Type="http://schemas.openxmlformats.org/officeDocument/2006/relationships/printerSettings" Target="../printerSettings/printerSettings17.bin"/><Relationship Id="rId9" Type="http://schemas.openxmlformats.org/officeDocument/2006/relationships/table" Target="../tables/table20.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29.xml"/><Relationship Id="rId3" Type="http://schemas.openxmlformats.org/officeDocument/2006/relationships/table" Target="../tables/table24.xml"/><Relationship Id="rId7" Type="http://schemas.openxmlformats.org/officeDocument/2006/relationships/table" Target="../tables/table28.xml"/><Relationship Id="rId2" Type="http://schemas.openxmlformats.org/officeDocument/2006/relationships/table" Target="../tables/table23.xml"/><Relationship Id="rId1" Type="http://schemas.openxmlformats.org/officeDocument/2006/relationships/printerSettings" Target="../printerSettings/printerSettings18.bin"/><Relationship Id="rId6" Type="http://schemas.openxmlformats.org/officeDocument/2006/relationships/table" Target="../tables/table27.xml"/><Relationship Id="rId5" Type="http://schemas.openxmlformats.org/officeDocument/2006/relationships/table" Target="../tables/table26.xml"/><Relationship Id="rId4" Type="http://schemas.openxmlformats.org/officeDocument/2006/relationships/table" Target="../tables/table25.xml"/><Relationship Id="rId9" Type="http://schemas.openxmlformats.org/officeDocument/2006/relationships/table" Target="../tables/table30.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35.xml"/><Relationship Id="rId2" Type="http://schemas.openxmlformats.org/officeDocument/2006/relationships/table" Target="../tables/table34.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37.xml"/><Relationship Id="rId2" Type="http://schemas.openxmlformats.org/officeDocument/2006/relationships/table" Target="../tables/table36.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8" Type="http://schemas.openxmlformats.org/officeDocument/2006/relationships/hyperlink" Target="https://www.ukfinance.org.uk/policy-and-guidance/reports-publications/fraud-facts-2021" TargetMode="External"/><Relationship Id="rId13" Type="http://schemas.openxmlformats.org/officeDocument/2006/relationships/table" Target="../tables/table44.xml"/><Relationship Id="rId3" Type="http://schemas.openxmlformats.org/officeDocument/2006/relationships/hyperlink" Target="https://www.ons.gov.uk/peoplepopulationandcommunity/crimeandjustice/methodologies/userguidetocrimestatisticsforenglandandwales" TargetMode="External"/><Relationship Id="rId7" Type="http://schemas.openxmlformats.org/officeDocument/2006/relationships/hyperlink" Target="https://www.ons.gov.uk/peoplepopulationandcommunity/crimeandjustice/methodologies/userguidetocrimestatisticsforenglandandwales" TargetMode="External"/><Relationship Id="rId12" Type="http://schemas.openxmlformats.org/officeDocument/2006/relationships/table" Target="../tables/table43.xml"/><Relationship Id="rId2" Type="http://schemas.openxmlformats.org/officeDocument/2006/relationships/hyperlink" Target="https://www.actionfraud.police.uk/what-is-national-fraud-intelligence-bureau" TargetMode="External"/><Relationship Id="rId1" Type="http://schemas.openxmlformats.org/officeDocument/2006/relationships/hyperlink" Target="https://www.ons.gov.uk/peoplepopulationandcommunity/crimeandjustice/methodologies/userguidetocrimestatisticsforenglandandwales" TargetMode="External"/><Relationship Id="rId6" Type="http://schemas.openxmlformats.org/officeDocument/2006/relationships/hyperlink" Target="https://www.ukfinance.org.uk/policy-and-guidance/reports-and-publications/annual-fraud-report-2023" TargetMode="External"/><Relationship Id="rId11" Type="http://schemas.openxmlformats.org/officeDocument/2006/relationships/printerSettings" Target="../printerSettings/printerSettings28.bin"/><Relationship Id="rId5" Type="http://schemas.openxmlformats.org/officeDocument/2006/relationships/hyperlink" Target="https://www.ukfinance.org.uk/policy-and-guidance/reports-and-publications/annual-fraud-report-2024" TargetMode="External"/><Relationship Id="rId10" Type="http://schemas.openxmlformats.org/officeDocument/2006/relationships/hyperlink" Target="https://www.legislation.gov.uk/ukpga/2023/50" TargetMode="External"/><Relationship Id="rId4" Type="http://schemas.openxmlformats.org/officeDocument/2006/relationships/hyperlink" Target="https://www.ons.gov.uk/peoplepopulationandcommunity/crimeandjustice/methodologies/userguidetocrimestatisticsforenglandandwales" TargetMode="External"/><Relationship Id="rId9" Type="http://schemas.openxmlformats.org/officeDocument/2006/relationships/hyperlink" Target="https://www.legislation.gov.uk/ukpga/2023/50" TargetMode="External"/></Relationships>
</file>

<file path=xl/worksheets/_rels/sheet29.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table" Target="../tables/table47.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table" Target="../tables/table48.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9.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8" Type="http://schemas.openxmlformats.org/officeDocument/2006/relationships/table" Target="../tables/table52.xml"/><Relationship Id="rId3" Type="http://schemas.openxmlformats.org/officeDocument/2006/relationships/hyperlink" Target="https://www.ons.gov.uk/peoplepopulationandcommunity/crimeandjustice/methodologies/userguidetocrimestatisticsforenglandandwales" TargetMode="External"/><Relationship Id="rId7" Type="http://schemas.openxmlformats.org/officeDocument/2006/relationships/table" Target="../tables/table51.xml"/><Relationship Id="rId2" Type="http://schemas.openxmlformats.org/officeDocument/2006/relationships/hyperlink" Target="https://www.ons.gov.uk/peoplepopulationandcommunity/crimeandjustice/methodologies/userguidetocrimestatisticsforenglandandwales" TargetMode="External"/><Relationship Id="rId1" Type="http://schemas.openxmlformats.org/officeDocument/2006/relationships/hyperlink" Target="https://www.ons.gov.uk/peoplepopulationandcommunity/crimeandjustice/methodologies/userguidetocrimestatisticsforenglandandwales" TargetMode="External"/><Relationship Id="rId6" Type="http://schemas.openxmlformats.org/officeDocument/2006/relationships/table" Target="../tables/table50.xml"/><Relationship Id="rId5" Type="http://schemas.openxmlformats.org/officeDocument/2006/relationships/printerSettings" Target="../printerSettings/printerSettings34.bin"/><Relationship Id="rId10" Type="http://schemas.openxmlformats.org/officeDocument/2006/relationships/table" Target="../tables/table54.xml"/><Relationship Id="rId4" Type="http://schemas.openxmlformats.org/officeDocument/2006/relationships/hyperlink" Target="https://www.ons.gov.uk/peoplepopulationandcommunity/crimeandjustice/methodologies/userguidetocrimestatisticsforenglandandwales" TargetMode="External"/><Relationship Id="rId9" Type="http://schemas.openxmlformats.org/officeDocument/2006/relationships/table" Target="../tables/table53.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56.xml"/><Relationship Id="rId2" Type="http://schemas.openxmlformats.org/officeDocument/2006/relationships/table" Target="../tables/table55.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58.xml"/><Relationship Id="rId2" Type="http://schemas.openxmlformats.org/officeDocument/2006/relationships/table" Target="../tables/table57.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table" Target="../tables/table59.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3" Type="http://schemas.openxmlformats.org/officeDocument/2006/relationships/table" Target="../tables/table60.xml"/><Relationship Id="rId2" Type="http://schemas.openxmlformats.org/officeDocument/2006/relationships/drawing" Target="../drawings/drawing1.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3" Type="http://schemas.openxmlformats.org/officeDocument/2006/relationships/table" Target="../tables/table61.xml"/><Relationship Id="rId2" Type="http://schemas.openxmlformats.org/officeDocument/2006/relationships/drawing" Target="../drawings/drawing2.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3" Type="http://schemas.openxmlformats.org/officeDocument/2006/relationships/table" Target="../tables/table62.xml"/><Relationship Id="rId2" Type="http://schemas.openxmlformats.org/officeDocument/2006/relationships/printerSettings" Target="../printerSettings/printerSettings40.bin"/><Relationship Id="rId1" Type="http://schemas.openxmlformats.org/officeDocument/2006/relationships/hyperlink" Target="https://www.gov.uk/government/collections/criminal-justice-statistics-quarterly" TargetMode="External"/><Relationship Id="rId4" Type="http://schemas.openxmlformats.org/officeDocument/2006/relationships/table" Target="../tables/table63.xml"/></Relationships>
</file>

<file path=xl/worksheets/_rels/sheet41.xml.rels><?xml version="1.0" encoding="UTF-8" standalone="yes"?>
<Relationships xmlns="http://schemas.openxmlformats.org/package/2006/relationships"><Relationship Id="rId3" Type="http://schemas.openxmlformats.org/officeDocument/2006/relationships/printerSettings" Target="../printerSettings/printerSettings41.bin"/><Relationship Id="rId2" Type="http://schemas.openxmlformats.org/officeDocument/2006/relationships/hyperlink" Target="https://www.ons.gov.uk/peoplepopulationandcommunity/crimeandjustice/methodologies/userguidetocrimestatisticsforenglandandwales" TargetMode="External"/><Relationship Id="rId1" Type="http://schemas.openxmlformats.org/officeDocument/2006/relationships/hyperlink" Target="https://www.ons.gov.uk/peoplepopulationandcommunity/crimeandjustice/methodologies/policerecordedoffencesinvolvingknivesorsharpinstrumentsmethodologychanges" TargetMode="External"/><Relationship Id="rId5" Type="http://schemas.openxmlformats.org/officeDocument/2006/relationships/table" Target="../tables/table65.xml"/><Relationship Id="rId4" Type="http://schemas.openxmlformats.org/officeDocument/2006/relationships/table" Target="../tables/table64.xml"/></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3" Type="http://schemas.openxmlformats.org/officeDocument/2006/relationships/table" Target="../tables/table67.xml"/><Relationship Id="rId2" Type="http://schemas.openxmlformats.org/officeDocument/2006/relationships/table" Target="../tables/table66.x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table" Target="../tables/table68.xml"/><Relationship Id="rId1" Type="http://schemas.openxmlformats.org/officeDocument/2006/relationships/printerSettings" Target="../printerSettings/printerSettings4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showGridLines="0" tabSelected="1" workbookViewId="0"/>
  </sheetViews>
  <sheetFormatPr defaultColWidth="11.85546875" defaultRowHeight="15" customHeight="1" x14ac:dyDescent="0.25"/>
  <cols>
    <col min="1" max="1" width="153.140625" customWidth="1"/>
    <col min="2" max="2" width="78.85546875" customWidth="1"/>
  </cols>
  <sheetData>
    <row r="1" spans="1:2" ht="20.25" customHeight="1" x14ac:dyDescent="0.25">
      <c r="A1" s="19" t="s">
        <v>0</v>
      </c>
      <c r="B1" s="20"/>
    </row>
    <row r="2" spans="1:2" ht="30" customHeight="1" x14ac:dyDescent="0.25">
      <c r="A2" s="54" t="s">
        <v>1</v>
      </c>
      <c r="B2" s="21" t="s">
        <v>2</v>
      </c>
    </row>
    <row r="3" spans="1:2" ht="24" customHeight="1" x14ac:dyDescent="0.25">
      <c r="A3" s="22" t="s">
        <v>3</v>
      </c>
      <c r="B3" s="23" t="s">
        <v>4</v>
      </c>
    </row>
    <row r="4" spans="1:2" ht="30" customHeight="1" x14ac:dyDescent="0.25">
      <c r="A4" s="22" t="s">
        <v>5</v>
      </c>
      <c r="B4" s="24" t="s">
        <v>6</v>
      </c>
    </row>
    <row r="5" spans="1:2" ht="30" customHeight="1" thickBot="1" x14ac:dyDescent="0.3">
      <c r="A5" s="20" t="s">
        <v>7</v>
      </c>
      <c r="B5" s="20"/>
    </row>
    <row r="6" spans="1:2" ht="47.25" x14ac:dyDescent="0.25">
      <c r="A6" s="25" t="s">
        <v>8</v>
      </c>
      <c r="B6" s="26" t="s">
        <v>9</v>
      </c>
    </row>
    <row r="7" spans="1:2" ht="41.25" customHeight="1" thickBot="1" x14ac:dyDescent="0.3">
      <c r="A7" s="27" t="s">
        <v>10</v>
      </c>
      <c r="B7" s="20"/>
    </row>
    <row r="8" spans="1:2" ht="34.5" customHeight="1" x14ac:dyDescent="0.25">
      <c r="A8" s="20" t="s">
        <v>11</v>
      </c>
      <c r="B8" s="28" t="s">
        <v>12</v>
      </c>
    </row>
    <row r="9" spans="1:2" ht="30" customHeight="1" x14ac:dyDescent="0.25">
      <c r="A9" s="20" t="s">
        <v>13</v>
      </c>
      <c r="B9" s="23" t="s">
        <v>14</v>
      </c>
    </row>
    <row r="10" spans="1:2" ht="21" customHeight="1" x14ac:dyDescent="0.25">
      <c r="A10" s="29" t="s">
        <v>15</v>
      </c>
      <c r="B10" s="20"/>
    </row>
    <row r="11" spans="1:2" ht="30" customHeight="1" x14ac:dyDescent="0.25">
      <c r="A11" s="681" t="s">
        <v>16</v>
      </c>
      <c r="B11" s="682" t="s">
        <v>17</v>
      </c>
    </row>
    <row r="12" spans="1:2" ht="18.75" customHeight="1" x14ac:dyDescent="0.25">
      <c r="A12" s="30" t="s">
        <v>18</v>
      </c>
      <c r="B12" s="20"/>
    </row>
  </sheetData>
  <hyperlinks>
    <hyperlink ref="B3" r:id="rId1" display="Crime in England and Wales, year ending June 2021" xr:uid="{895327B4-73E7-4F11-B0D8-BC38FDBD3A88}"/>
    <hyperlink ref="B8" r:id="rId2" display="User guide to crime statistics for England and Wales: Measuring crime during the Coronavirus (COVID-19) pandemic" xr:uid="{4DB6A520-B992-4994-8BF8-F4A490EE15B2}"/>
    <hyperlink ref="B9" r:id="rId3" xr:uid="{A96BCAF8-5777-43F7-AAA7-5BAA660A8CD5}"/>
    <hyperlink ref="B11" r:id="rId4" display="crimestatistics@ons.gov.uk" xr:uid="{43B9F735-377E-4736-8931-BC08AB76C210}"/>
    <hyperlink ref="B4" r:id="rId5" xr:uid="{C758E83F-A4C1-45A0-80DD-349E2C9CF0C0}"/>
    <hyperlink ref="B6" r:id="rId6" xr:uid="{4D8BD2F8-1B56-4F68-8386-2D26EE9B2963}"/>
  </hyperlinks>
  <pageMargins left="0.7" right="0.7" top="0.75" bottom="0.75" header="0.3" footer="0.3"/>
  <pageSetup paperSize="9" orientation="portrait" r:id="rId7"/>
  <tableParts count="1">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0"/>
  <sheetViews>
    <sheetView showGridLines="0" workbookViewId="0"/>
  </sheetViews>
  <sheetFormatPr defaultRowHeight="15" customHeight="1" x14ac:dyDescent="0.25"/>
  <cols>
    <col min="1" max="1" width="24.42578125" customWidth="1"/>
    <col min="2" max="2" width="145.7109375" customWidth="1"/>
  </cols>
  <sheetData>
    <row r="1" spans="1:2" ht="27.75" customHeight="1" x14ac:dyDescent="0.25">
      <c r="A1" s="52" t="s">
        <v>19</v>
      </c>
      <c r="B1" s="39"/>
    </row>
    <row r="2" spans="1:2" ht="30" customHeight="1" x14ac:dyDescent="0.25">
      <c r="A2" s="53" t="s">
        <v>20</v>
      </c>
      <c r="B2" s="43"/>
    </row>
    <row r="3" spans="1:2" ht="22.5" customHeight="1" x14ac:dyDescent="0.25">
      <c r="A3" s="53" t="s">
        <v>21</v>
      </c>
      <c r="B3" s="43"/>
    </row>
    <row r="4" spans="1:2" ht="39.75" customHeight="1" x14ac:dyDescent="0.25">
      <c r="A4" s="53" t="s">
        <v>22</v>
      </c>
      <c r="B4" s="43"/>
    </row>
    <row r="5" spans="1:2" ht="22.5" customHeight="1" x14ac:dyDescent="0.25">
      <c r="A5" s="55" t="s">
        <v>23</v>
      </c>
      <c r="B5" s="43"/>
    </row>
    <row r="6" spans="1:2" ht="22.5" customHeight="1" x14ac:dyDescent="0.25">
      <c r="A6" s="41" t="s">
        <v>24</v>
      </c>
      <c r="B6" s="41" t="s">
        <v>1512</v>
      </c>
    </row>
    <row r="7" spans="1:2" ht="27" customHeight="1" x14ac:dyDescent="0.25">
      <c r="A7" s="51" t="s">
        <v>26</v>
      </c>
      <c r="B7" s="44" t="s">
        <v>1416</v>
      </c>
    </row>
    <row r="8" spans="1:2" ht="24.75" customHeight="1" x14ac:dyDescent="0.25">
      <c r="A8" s="51" t="s">
        <v>27</v>
      </c>
      <c r="B8" s="44" t="s">
        <v>1417</v>
      </c>
    </row>
    <row r="9" spans="1:2" ht="30" customHeight="1" x14ac:dyDescent="0.25">
      <c r="A9" s="51" t="s">
        <v>28</v>
      </c>
      <c r="B9" s="44" t="s">
        <v>1418</v>
      </c>
    </row>
    <row r="10" spans="1:2" ht="35.25" customHeight="1" x14ac:dyDescent="0.25">
      <c r="A10" s="51" t="s">
        <v>29</v>
      </c>
      <c r="B10" s="44" t="s">
        <v>1419</v>
      </c>
    </row>
    <row r="11" spans="1:2" ht="27.75" customHeight="1" x14ac:dyDescent="0.25">
      <c r="A11" s="51" t="s">
        <v>30</v>
      </c>
      <c r="B11" s="44" t="s">
        <v>1420</v>
      </c>
    </row>
    <row r="12" spans="1:2" ht="37.5" customHeight="1" x14ac:dyDescent="0.25">
      <c r="A12" s="51" t="s">
        <v>31</v>
      </c>
      <c r="B12" s="44" t="s">
        <v>1470</v>
      </c>
    </row>
    <row r="13" spans="1:2" ht="30" customHeight="1" x14ac:dyDescent="0.25">
      <c r="A13" s="51" t="s">
        <v>32</v>
      </c>
      <c r="B13" s="44" t="s">
        <v>1421</v>
      </c>
    </row>
    <row r="14" spans="1:2" ht="25.5" customHeight="1" x14ac:dyDescent="0.25">
      <c r="A14" s="51" t="s">
        <v>33</v>
      </c>
      <c r="B14" s="44" t="s">
        <v>1422</v>
      </c>
    </row>
    <row r="15" spans="1:2" ht="28.5" customHeight="1" x14ac:dyDescent="0.25">
      <c r="A15" s="51" t="s">
        <v>34</v>
      </c>
      <c r="B15" s="44" t="s">
        <v>1362</v>
      </c>
    </row>
    <row r="16" spans="1:2" ht="27" customHeight="1" x14ac:dyDescent="0.25">
      <c r="A16" s="51" t="s">
        <v>35</v>
      </c>
      <c r="B16" s="44" t="s">
        <v>1363</v>
      </c>
    </row>
    <row r="17" spans="1:2" ht="24" customHeight="1" x14ac:dyDescent="0.25">
      <c r="A17" s="51" t="s">
        <v>36</v>
      </c>
      <c r="B17" s="44" t="s">
        <v>1364</v>
      </c>
    </row>
    <row r="18" spans="1:2" ht="35.25" customHeight="1" x14ac:dyDescent="0.25">
      <c r="A18" s="51" t="s">
        <v>37</v>
      </c>
      <c r="B18" s="44" t="s">
        <v>1423</v>
      </c>
    </row>
    <row r="19" spans="1:2" ht="28.5" customHeight="1" x14ac:dyDescent="0.25">
      <c r="A19" s="50" t="s">
        <v>38</v>
      </c>
      <c r="B19" s="44"/>
    </row>
    <row r="20" spans="1:2" ht="22.5" customHeight="1" x14ac:dyDescent="0.25">
      <c r="A20" s="41" t="s">
        <v>24</v>
      </c>
      <c r="B20" s="41" t="s">
        <v>25</v>
      </c>
    </row>
    <row r="21" spans="1:2" ht="28.5" customHeight="1" x14ac:dyDescent="0.25">
      <c r="A21" s="51" t="s">
        <v>39</v>
      </c>
      <c r="B21" s="44" t="s">
        <v>1424</v>
      </c>
    </row>
    <row r="22" spans="1:2" ht="28.5" customHeight="1" x14ac:dyDescent="0.25">
      <c r="A22" s="51" t="s">
        <v>40</v>
      </c>
      <c r="B22" s="56" t="s">
        <v>1365</v>
      </c>
    </row>
    <row r="23" spans="1:2" ht="28.5" customHeight="1" x14ac:dyDescent="0.25">
      <c r="A23" s="51" t="s">
        <v>41</v>
      </c>
      <c r="B23" s="44" t="s">
        <v>1366</v>
      </c>
    </row>
    <row r="24" spans="1:2" ht="24.75" customHeight="1" x14ac:dyDescent="0.25">
      <c r="A24" s="51" t="s">
        <v>42</v>
      </c>
      <c r="B24" s="44" t="s">
        <v>1426</v>
      </c>
    </row>
    <row r="25" spans="1:2" ht="24" customHeight="1" x14ac:dyDescent="0.25">
      <c r="A25" s="51" t="s">
        <v>43</v>
      </c>
      <c r="B25" s="44" t="s">
        <v>1425</v>
      </c>
    </row>
    <row r="26" spans="1:2" ht="33.75" customHeight="1" x14ac:dyDescent="0.25">
      <c r="A26" s="51" t="s">
        <v>44</v>
      </c>
      <c r="B26" s="56" t="s">
        <v>1367</v>
      </c>
    </row>
    <row r="27" spans="1:2" ht="28.5" customHeight="1" x14ac:dyDescent="0.25">
      <c r="A27" s="51" t="s">
        <v>45</v>
      </c>
      <c r="B27" s="56" t="s">
        <v>1368</v>
      </c>
    </row>
    <row r="28" spans="1:2" ht="28.5" customHeight="1" x14ac:dyDescent="0.25">
      <c r="A28" s="51" t="s">
        <v>46</v>
      </c>
      <c r="B28" s="56" t="s">
        <v>1369</v>
      </c>
    </row>
    <row r="29" spans="1:2" ht="28.5" customHeight="1" x14ac:dyDescent="0.25">
      <c r="A29" s="51" t="s">
        <v>47</v>
      </c>
      <c r="B29" s="56" t="s">
        <v>1370</v>
      </c>
    </row>
    <row r="30" spans="1:2" ht="41.25" customHeight="1" x14ac:dyDescent="0.25">
      <c r="A30" s="51" t="s">
        <v>48</v>
      </c>
      <c r="B30" s="56" t="s">
        <v>1371</v>
      </c>
    </row>
    <row r="31" spans="1:2" ht="30.75" customHeight="1" x14ac:dyDescent="0.25">
      <c r="A31" s="50" t="s">
        <v>50</v>
      </c>
      <c r="B31" s="44"/>
    </row>
    <row r="32" spans="1:2" ht="22.5" customHeight="1" x14ac:dyDescent="0.25">
      <c r="A32" s="41" t="s">
        <v>24</v>
      </c>
      <c r="B32" s="41" t="s">
        <v>25</v>
      </c>
    </row>
    <row r="33" spans="1:2" ht="23.25" customHeight="1" x14ac:dyDescent="0.25">
      <c r="A33" s="51" t="s">
        <v>51</v>
      </c>
      <c r="B33" s="56" t="s">
        <v>1372</v>
      </c>
    </row>
    <row r="34" spans="1:2" ht="21.75" customHeight="1" x14ac:dyDescent="0.25">
      <c r="A34" s="51" t="s">
        <v>53</v>
      </c>
      <c r="B34" s="56" t="s">
        <v>1373</v>
      </c>
    </row>
    <row r="35" spans="1:2" ht="33.75" customHeight="1" x14ac:dyDescent="0.25">
      <c r="A35" s="51" t="s">
        <v>54</v>
      </c>
      <c r="B35" s="56" t="s">
        <v>1374</v>
      </c>
    </row>
    <row r="36" spans="1:2" ht="22.5" customHeight="1" x14ac:dyDescent="0.25">
      <c r="A36" s="51" t="s">
        <v>55</v>
      </c>
      <c r="B36" s="56" t="s">
        <v>1375</v>
      </c>
    </row>
    <row r="37" spans="1:2" ht="41.25" customHeight="1" x14ac:dyDescent="0.25">
      <c r="A37" s="51" t="s">
        <v>56</v>
      </c>
      <c r="B37" s="56" t="s">
        <v>1376</v>
      </c>
    </row>
    <row r="38" spans="1:2" ht="26.25" customHeight="1" x14ac:dyDescent="0.25">
      <c r="A38" s="50" t="s">
        <v>57</v>
      </c>
      <c r="B38" s="44"/>
    </row>
    <row r="39" spans="1:2" ht="22.5" customHeight="1" x14ac:dyDescent="0.25">
      <c r="A39" s="41" t="s">
        <v>24</v>
      </c>
      <c r="B39" s="41" t="s">
        <v>25</v>
      </c>
    </row>
    <row r="40" spans="1:2" ht="23.25" customHeight="1" x14ac:dyDescent="0.25">
      <c r="A40" s="51" t="s">
        <v>58</v>
      </c>
      <c r="B40" s="56" t="s">
        <v>1377</v>
      </c>
    </row>
    <row r="41" spans="1:2" ht="21" customHeight="1" x14ac:dyDescent="0.25">
      <c r="A41" s="51" t="s">
        <v>59</v>
      </c>
      <c r="B41" s="56" t="s">
        <v>1378</v>
      </c>
    </row>
    <row r="42" spans="1:2" ht="24" customHeight="1" x14ac:dyDescent="0.25">
      <c r="A42" s="51" t="s">
        <v>60</v>
      </c>
      <c r="B42" s="56" t="s">
        <v>1379</v>
      </c>
    </row>
    <row r="43" spans="1:2" ht="27.75" customHeight="1" x14ac:dyDescent="0.25">
      <c r="A43" s="51" t="s">
        <v>61</v>
      </c>
      <c r="B43" s="56" t="s">
        <v>1380</v>
      </c>
    </row>
    <row r="44" spans="1:2" ht="27.75" customHeight="1" x14ac:dyDescent="0.25">
      <c r="A44" s="51" t="s">
        <v>62</v>
      </c>
      <c r="B44" s="56" t="s">
        <v>1381</v>
      </c>
    </row>
    <row r="45" spans="1:2" ht="39.75" customHeight="1" x14ac:dyDescent="0.25">
      <c r="A45" s="51" t="s">
        <v>63</v>
      </c>
      <c r="B45" s="56" t="s">
        <v>1382</v>
      </c>
    </row>
    <row r="46" spans="1:2" ht="27" customHeight="1" x14ac:dyDescent="0.25">
      <c r="A46" s="55" t="s">
        <v>64</v>
      </c>
      <c r="B46" s="39"/>
    </row>
    <row r="47" spans="1:2" ht="22.5" customHeight="1" x14ac:dyDescent="0.25">
      <c r="A47" s="41" t="s">
        <v>24</v>
      </c>
      <c r="B47" s="41" t="s">
        <v>25</v>
      </c>
    </row>
    <row r="48" spans="1:2" ht="26.25" customHeight="1" x14ac:dyDescent="0.25">
      <c r="A48" s="51" t="s">
        <v>65</v>
      </c>
      <c r="B48" s="56" t="s">
        <v>1383</v>
      </c>
    </row>
    <row r="49" spans="1:2" ht="28.5" customHeight="1" x14ac:dyDescent="0.25">
      <c r="A49" s="51" t="s">
        <v>66</v>
      </c>
      <c r="B49" s="56" t="s">
        <v>1384</v>
      </c>
    </row>
    <row r="50" spans="1:2" ht="23.25" customHeight="1" x14ac:dyDescent="0.25">
      <c r="A50" s="51" t="s">
        <v>67</v>
      </c>
      <c r="B50" s="56" t="s">
        <v>1385</v>
      </c>
    </row>
  </sheetData>
  <phoneticPr fontId="47" type="noConversion"/>
  <hyperlinks>
    <hyperlink ref="A48" location="Table_E1!A1" display="Table E1" xr:uid="{5CA6CB58-36AB-4BB7-BA6C-1D2CB2024466}"/>
    <hyperlink ref="A50" location="Table_E3!A1" display="Table E3" xr:uid="{16CBAF1C-B14C-42CE-B291-36704CBC3F37}"/>
    <hyperlink ref="A49" location="Worksheet_E2!A1" display="Worksheet E2" xr:uid="{0BC0D2C6-21F1-446E-82ED-AFFC35337497}"/>
    <hyperlink ref="A45" location="Worksheet_D6!A1" display="Worksheet D6" xr:uid="{6E5D34D7-ADD1-400E-A89B-192BE26BB861}"/>
    <hyperlink ref="A18" location="Table_A7!A1" display="Table A7" xr:uid="{194DBFCE-BA6D-43A1-B675-FB002E9246BE}"/>
    <hyperlink ref="A17" location="'Summary Table_A6'!A1" display="Summary table A6" xr:uid="{D594E5B4-0397-492E-B19B-70C29BEAFE3F}"/>
    <hyperlink ref="A28" location="Table_B8!A1" display="Table B8" xr:uid="{92344D5C-F31E-411D-9752-D1B0F3ADD244}"/>
    <hyperlink ref="A30" location="Table_B10!A1" display="Table B10" xr:uid="{3C0574C6-1755-4993-8CCC-E0972F689A87}"/>
    <hyperlink ref="A29" location="Worksheet_B9!A1" display="Worksheet B9" xr:uid="{6A54AD21-C179-460B-A985-D98EBFE0722D}"/>
    <hyperlink ref="A27" location="Worksheet_B7!A1" display="Worksheet B7" xr:uid="{52D2A947-8397-4F2B-9247-D2250AEBA206}"/>
    <hyperlink ref="A26" location="Worksheet_B6!A1" display="Worksheet B6" xr:uid="{48155851-E545-43FF-AF43-3BF665EDA772}"/>
    <hyperlink ref="A25" location="Worksheet_B5!A1" display="Worksheet B5" xr:uid="{F2FE6B85-DA98-4656-B8C6-D173F5EACF12}"/>
    <hyperlink ref="A43" location="Table_D4!A1" display="Table D4" xr:uid="{0F9834E1-2AF5-4DA4-8D58-647A9E56C5E2}"/>
    <hyperlink ref="A37" location="Table_C5!A1" display="Table C5" xr:uid="{22B96B8A-691E-4A5C-97FC-7E75697F45A6}"/>
    <hyperlink ref="A36" location="Table_C4!A1" display="Table C4" xr:uid="{8A33B16A-B6C9-463F-92E3-70571C8A62D0}"/>
    <hyperlink ref="A35" location="Table_C3!A1" display="Table C3" xr:uid="{0ACD7DA0-A715-4B9B-8678-203985E0D6C2}"/>
    <hyperlink ref="A16" location="Table_A5b!A1" display="Table A5b" xr:uid="{562D4D1A-1454-47D7-91F3-2FBDFB679A69}"/>
    <hyperlink ref="A15" location="Table_A5a!A1" display="Table A5a" xr:uid="{7E8133A4-0765-4FCC-A458-4A13206C346F}"/>
    <hyperlink ref="A44" location="Table_D5!A1" display="Table D5" xr:uid="{BCA2A4C1-8CC4-41E1-A65C-A749C14CA817}"/>
    <hyperlink ref="A24" location="Table_B4!A1" display="Table B4" xr:uid="{89754AF2-F152-4D22-A94C-2CC7D4194797}"/>
    <hyperlink ref="A23" location="Table_B3!A1" display="Table B3" xr:uid="{821016CC-4872-4E92-A766-C3F6E893CC59}"/>
    <hyperlink ref="A42" location="Table_D3!A1" display="Table D3" xr:uid="{C9DB0A9E-F5DC-46E6-B4A3-6E2914992011}"/>
    <hyperlink ref="A41" location="Worksheet_D2!A1" display="Worksheet D2" xr:uid="{5AE8F387-E38A-4188-B54B-3792455421E3}"/>
    <hyperlink ref="A40" location="Worksheet_D1!A1" display="Worksheet D1" xr:uid="{D880642E-6AFE-485C-A045-95FB08099065}"/>
    <hyperlink ref="A34" location="Table_C2!A1" display="Table C2" xr:uid="{E82E4E0F-E0D3-40ED-BF7E-CC5D43F7959D}"/>
    <hyperlink ref="A33" location="Table_C1!A1" display="Table C1" xr:uid="{55040060-2B2A-420D-8B74-0557D390B3C8}"/>
    <hyperlink ref="A14" location="Table_A4b!A1" display="Table_A4b" xr:uid="{00000000-0004-0000-0100-00000F000000}"/>
    <hyperlink ref="A13" location="Table_A4a!A1" display="Table_A4a" xr:uid="{00000000-0004-0000-0100-00000E000000}"/>
    <hyperlink ref="A21" location="Worksheet_B1!A1" display="Worksheet_B1" xr:uid="{00000000-0004-0000-0100-000006000000}"/>
    <hyperlink ref="A12" location="'Table_A3b'!A1" display="Table_A3b" xr:uid="{00000000-0004-0000-0100-000005000000}"/>
    <hyperlink ref="A11" location="'Table_A3a'!A1" display="Table_A3a" xr:uid="{00000000-0004-0000-0100-000004000000}"/>
    <hyperlink ref="A10" location="'Table_A2b'!A1" display="Table_A2b" xr:uid="{00000000-0004-0000-0100-000003000000}"/>
    <hyperlink ref="A9" location="'Table_A2a'!A1" display="Table_A2a" xr:uid="{00000000-0004-0000-0100-000002000000}"/>
    <hyperlink ref="A8" location="'Table_A1b'!A1" display="Table_A1b" xr:uid="{00000000-0004-0000-0100-000001000000}"/>
    <hyperlink ref="A7" location="'Table_A1a'!A1" display="Table_A1a" xr:uid="{00000000-0004-0000-0100-000000000000}"/>
    <hyperlink ref="A22" location="Table_B2!A1" display="Table B2" xr:uid="{30A70D23-92D4-4239-8E41-8BBA5026D7D7}"/>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C26"/>
  <sheetViews>
    <sheetView showGridLines="0" workbookViewId="0"/>
  </sheetViews>
  <sheetFormatPr defaultRowHeight="15" customHeight="1" x14ac:dyDescent="0.25"/>
  <cols>
    <col min="1" max="1" width="15.5703125" customWidth="1"/>
    <col min="2" max="2" width="150.7109375" customWidth="1"/>
    <col min="3" max="3" width="66.28515625" customWidth="1"/>
  </cols>
  <sheetData>
    <row r="1" spans="1:3" ht="32.25" customHeight="1" x14ac:dyDescent="0.25">
      <c r="A1" s="837" t="s">
        <v>68</v>
      </c>
      <c r="B1" s="39"/>
      <c r="C1" s="39"/>
    </row>
    <row r="2" spans="1:3" ht="24.75" customHeight="1" x14ac:dyDescent="0.25">
      <c r="A2" s="49" t="s">
        <v>69</v>
      </c>
      <c r="B2" s="43"/>
      <c r="C2" s="43"/>
    </row>
    <row r="3" spans="1:3" ht="30" customHeight="1" x14ac:dyDescent="0.25">
      <c r="A3" s="50" t="s">
        <v>70</v>
      </c>
      <c r="B3" s="43"/>
      <c r="C3" s="43"/>
    </row>
    <row r="4" spans="1:3" ht="30" customHeight="1" x14ac:dyDescent="0.25">
      <c r="A4" s="41" t="s">
        <v>71</v>
      </c>
      <c r="B4" s="41" t="s">
        <v>72</v>
      </c>
      <c r="C4" s="42" t="s">
        <v>2</v>
      </c>
    </row>
    <row r="5" spans="1:3" ht="60" x14ac:dyDescent="0.25">
      <c r="A5" s="37">
        <v>1</v>
      </c>
      <c r="B5" s="44" t="s">
        <v>73</v>
      </c>
      <c r="C5" s="841" t="s">
        <v>1466</v>
      </c>
    </row>
    <row r="6" spans="1:3" ht="40.5" customHeight="1" x14ac:dyDescent="0.25">
      <c r="A6" s="37">
        <v>2</v>
      </c>
      <c r="B6" s="44" t="s">
        <v>74</v>
      </c>
      <c r="C6" s="841" t="s">
        <v>797</v>
      </c>
    </row>
    <row r="7" spans="1:3" ht="60" x14ac:dyDescent="0.25">
      <c r="A7" s="37">
        <v>3</v>
      </c>
      <c r="B7" s="44" t="s">
        <v>75</v>
      </c>
      <c r="C7" s="842"/>
    </row>
    <row r="8" spans="1:3" ht="30" customHeight="1" x14ac:dyDescent="0.25">
      <c r="A8" s="37">
        <v>4</v>
      </c>
      <c r="B8" s="44" t="s">
        <v>76</v>
      </c>
      <c r="C8" s="843"/>
    </row>
    <row r="9" spans="1:3" ht="30" customHeight="1" x14ac:dyDescent="0.25">
      <c r="A9" s="37">
        <v>5</v>
      </c>
      <c r="B9" s="44" t="s">
        <v>77</v>
      </c>
      <c r="C9" s="844" t="s">
        <v>358</v>
      </c>
    </row>
    <row r="10" spans="1:3" ht="30" customHeight="1" x14ac:dyDescent="0.25">
      <c r="A10" s="37">
        <v>6</v>
      </c>
      <c r="B10" s="44" t="s">
        <v>78</v>
      </c>
      <c r="C10" s="842"/>
    </row>
    <row r="11" spans="1:3" ht="30" customHeight="1" x14ac:dyDescent="0.25">
      <c r="A11" s="37">
        <v>7</v>
      </c>
      <c r="B11" s="44" t="s">
        <v>79</v>
      </c>
      <c r="C11" s="842"/>
    </row>
    <row r="12" spans="1:3" ht="50.25" customHeight="1" x14ac:dyDescent="0.25">
      <c r="A12" s="37">
        <v>8</v>
      </c>
      <c r="B12" s="44" t="s">
        <v>80</v>
      </c>
      <c r="C12" s="844" t="s">
        <v>358</v>
      </c>
    </row>
    <row r="13" spans="1:3" ht="46.5" customHeight="1" x14ac:dyDescent="0.25">
      <c r="A13" s="37">
        <v>9</v>
      </c>
      <c r="B13" s="44" t="s">
        <v>81</v>
      </c>
      <c r="C13" s="842"/>
    </row>
    <row r="14" spans="1:3" ht="44.25" customHeight="1" x14ac:dyDescent="0.25">
      <c r="A14" s="37">
        <v>10</v>
      </c>
      <c r="B14" s="44" t="s">
        <v>82</v>
      </c>
      <c r="C14" s="842"/>
    </row>
    <row r="15" spans="1:3" ht="48" customHeight="1" x14ac:dyDescent="0.25">
      <c r="A15" s="37">
        <v>11</v>
      </c>
      <c r="B15" s="44" t="s">
        <v>83</v>
      </c>
      <c r="C15" s="842"/>
    </row>
    <row r="16" spans="1:3" ht="87" customHeight="1" x14ac:dyDescent="0.25">
      <c r="A16" s="37">
        <v>12</v>
      </c>
      <c r="B16" s="44" t="s">
        <v>84</v>
      </c>
      <c r="C16" s="843"/>
    </row>
    <row r="17" spans="1:3" ht="45.75" customHeight="1" x14ac:dyDescent="0.25">
      <c r="A17" s="37">
        <v>13</v>
      </c>
      <c r="B17" s="44" t="s">
        <v>85</v>
      </c>
      <c r="C17" s="844" t="s">
        <v>358</v>
      </c>
    </row>
    <row r="18" spans="1:3" ht="42" customHeight="1" x14ac:dyDescent="0.25">
      <c r="A18" s="37">
        <v>14</v>
      </c>
      <c r="B18" s="44" t="s">
        <v>86</v>
      </c>
      <c r="C18" s="842"/>
    </row>
    <row r="19" spans="1:3" ht="51.75" customHeight="1" x14ac:dyDescent="0.25">
      <c r="A19" s="37">
        <v>15</v>
      </c>
      <c r="B19" s="44" t="s">
        <v>87</v>
      </c>
      <c r="C19" s="842"/>
    </row>
    <row r="20" spans="1:3" ht="45" customHeight="1" x14ac:dyDescent="0.25">
      <c r="A20" s="37">
        <v>16</v>
      </c>
      <c r="B20" s="44" t="s">
        <v>88</v>
      </c>
      <c r="C20" s="842"/>
    </row>
    <row r="21" spans="1:3" ht="54.75" customHeight="1" x14ac:dyDescent="0.25">
      <c r="A21" s="37">
        <v>17</v>
      </c>
      <c r="B21" s="44" t="s">
        <v>89</v>
      </c>
      <c r="C21" s="842"/>
    </row>
    <row r="22" spans="1:3" ht="43.5" customHeight="1" x14ac:dyDescent="0.25">
      <c r="A22" s="37">
        <v>18</v>
      </c>
      <c r="B22" s="44" t="s">
        <v>90</v>
      </c>
      <c r="C22" s="842"/>
    </row>
    <row r="23" spans="1:3" ht="50.25" customHeight="1" x14ac:dyDescent="0.25">
      <c r="A23" s="37">
        <v>19</v>
      </c>
      <c r="B23" s="44" t="s">
        <v>92</v>
      </c>
      <c r="C23" s="842"/>
    </row>
    <row r="24" spans="1:3" ht="49.5" customHeight="1" x14ac:dyDescent="0.25">
      <c r="A24" s="37">
        <v>20</v>
      </c>
      <c r="B24" s="44" t="s">
        <v>91</v>
      </c>
      <c r="C24" s="842"/>
    </row>
    <row r="25" spans="1:3" ht="45.75" customHeight="1" x14ac:dyDescent="0.25">
      <c r="A25" s="37">
        <v>21</v>
      </c>
      <c r="B25" s="44" t="s">
        <v>93</v>
      </c>
      <c r="C25" s="842"/>
    </row>
    <row r="26" spans="1:3" ht="47.25" customHeight="1" x14ac:dyDescent="0.25">
      <c r="A26" s="37">
        <v>22</v>
      </c>
      <c r="B26" s="44" t="s">
        <v>94</v>
      </c>
      <c r="C26" s="842"/>
    </row>
  </sheetData>
  <hyperlinks>
    <hyperlink ref="C9" r:id="rId1" display="User Guide to crime statistics for England and Wales: Measuring crime during the Coronavirus (COVID-19) pandemic" xr:uid="{E13AA7BD-3D87-4C14-A551-9811F8C94F8B}"/>
    <hyperlink ref="C17" r:id="rId2" display="User Guide to crime statistics for England and Wales: Measuring crime during the Coronavirus (COVID-19) pandemic" xr:uid="{85D15F0F-E5C2-49E3-924F-005BABD521EB}"/>
    <hyperlink ref="C6" r:id="rId3" display="https://www.ons.gov.uk/peoplepopulationandcommunity/crimeandjustice/articles/improvingvictimisationestimatesderivedfromthecrimesurveyforenglandandwales/2019-01-24" xr:uid="{3E6391A3-0F6B-4358-AF14-0E131C97AE0C}"/>
    <hyperlink ref="C12" r:id="rId4" display="User Guide to crime statistics for England and Wales: Measuring crime during the Coronavirus (COVID-19) pandemic" xr:uid="{E1D308A6-D154-4098-A18C-8817457FFF6D}"/>
    <hyperlink ref="C5" r:id="rId5" xr:uid="{954E72F7-4CB6-47A8-AFF3-8118A799279D}"/>
  </hyperlinks>
  <pageMargins left="0.7" right="0.7" top="0.75" bottom="0.75" header="0.3" footer="0.3"/>
  <pageSetup paperSize="9" orientation="portrait" r:id="rId6"/>
  <tableParts count="1">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61"/>
  <sheetViews>
    <sheetView showGridLines="0" zoomScaleNormal="100" workbookViewId="0"/>
  </sheetViews>
  <sheetFormatPr defaultRowHeight="15" customHeight="1" x14ac:dyDescent="0.25"/>
  <cols>
    <col min="1" max="1" width="104.7109375" customWidth="1"/>
    <col min="2" max="33" width="16.7109375" customWidth="1"/>
  </cols>
  <sheetData>
    <row r="1" spans="1:33" ht="20.100000000000001" customHeight="1" x14ac:dyDescent="0.25">
      <c r="A1" s="836" t="s">
        <v>1472</v>
      </c>
    </row>
    <row r="2" spans="1:33" ht="20.100000000000001" customHeight="1" x14ac:dyDescent="0.25">
      <c r="A2" s="185" t="s">
        <v>95</v>
      </c>
    </row>
    <row r="3" spans="1:33" ht="20.100000000000001" customHeight="1" x14ac:dyDescent="0.25">
      <c r="A3" s="1" t="s">
        <v>96</v>
      </c>
    </row>
    <row r="4" spans="1:33" ht="20.100000000000001" customHeight="1" x14ac:dyDescent="0.25">
      <c r="A4" s="2" t="s">
        <v>97</v>
      </c>
    </row>
    <row r="5" spans="1:33" ht="20.100000000000001" customHeight="1" x14ac:dyDescent="0.25">
      <c r="A5" s="1" t="s">
        <v>98</v>
      </c>
    </row>
    <row r="6" spans="1:33" ht="20.100000000000001" customHeight="1" x14ac:dyDescent="0.25">
      <c r="A6" s="2" t="s">
        <v>99</v>
      </c>
    </row>
    <row r="7" spans="1:33" ht="20.25" customHeight="1" x14ac:dyDescent="0.25">
      <c r="A7" s="1" t="s">
        <v>100</v>
      </c>
    </row>
    <row r="8" spans="1:33" ht="80.099999999999994" customHeight="1" x14ac:dyDescent="0.25">
      <c r="A8" s="31" t="s">
        <v>101</v>
      </c>
      <c r="B8" s="99" t="s">
        <v>102</v>
      </c>
      <c r="C8" s="99" t="s">
        <v>103</v>
      </c>
      <c r="D8" s="99" t="s">
        <v>104</v>
      </c>
      <c r="E8" s="99" t="s">
        <v>105</v>
      </c>
      <c r="F8" s="99" t="s">
        <v>106</v>
      </c>
      <c r="G8" s="99" t="s">
        <v>107</v>
      </c>
      <c r="H8" s="99" t="s">
        <v>108</v>
      </c>
      <c r="I8" s="99" t="s">
        <v>109</v>
      </c>
      <c r="J8" s="99" t="s">
        <v>110</v>
      </c>
      <c r="K8" s="99" t="s">
        <v>111</v>
      </c>
      <c r="L8" s="99" t="s">
        <v>112</v>
      </c>
      <c r="M8" s="99" t="s">
        <v>113</v>
      </c>
      <c r="N8" s="99" t="s">
        <v>114</v>
      </c>
      <c r="O8" s="99" t="s">
        <v>115</v>
      </c>
      <c r="P8" s="99" t="s">
        <v>116</v>
      </c>
      <c r="Q8" s="99" t="s">
        <v>117</v>
      </c>
      <c r="R8" s="99" t="s">
        <v>118</v>
      </c>
      <c r="S8" s="99" t="s">
        <v>119</v>
      </c>
      <c r="T8" s="99" t="s">
        <v>120</v>
      </c>
      <c r="U8" s="99" t="s">
        <v>121</v>
      </c>
      <c r="V8" s="99" t="s">
        <v>122</v>
      </c>
      <c r="W8" s="99" t="s">
        <v>123</v>
      </c>
      <c r="X8" s="99" t="s">
        <v>124</v>
      </c>
      <c r="Y8" s="99" t="s">
        <v>125</v>
      </c>
      <c r="Z8" s="99" t="s">
        <v>126</v>
      </c>
      <c r="AA8" s="99" t="s">
        <v>127</v>
      </c>
      <c r="AB8" s="99" t="s">
        <v>128</v>
      </c>
      <c r="AC8" s="99" t="s">
        <v>129</v>
      </c>
      <c r="AD8" s="99" t="s">
        <v>130</v>
      </c>
      <c r="AE8" s="99" t="s">
        <v>131</v>
      </c>
      <c r="AF8" s="99" t="s">
        <v>132</v>
      </c>
      <c r="AG8" s="99" t="s">
        <v>133</v>
      </c>
    </row>
    <row r="9" spans="1:33" ht="15.75" x14ac:dyDescent="0.25">
      <c r="A9" s="4" t="s">
        <v>134</v>
      </c>
      <c r="B9" s="5">
        <v>2063</v>
      </c>
      <c r="C9" s="5">
        <v>2014</v>
      </c>
      <c r="D9" s="5">
        <v>2265</v>
      </c>
      <c r="E9" s="5">
        <v>2900</v>
      </c>
      <c r="F9" s="5">
        <v>3768</v>
      </c>
      <c r="G9" s="5">
        <v>4464</v>
      </c>
      <c r="H9" s="5">
        <v>3746</v>
      </c>
      <c r="I9" s="5">
        <v>3375</v>
      </c>
      <c r="J9" s="5">
        <v>2551</v>
      </c>
      <c r="K9" s="5">
        <v>2579</v>
      </c>
      <c r="L9" s="5">
        <v>2355</v>
      </c>
      <c r="M9" s="5">
        <v>2191</v>
      </c>
      <c r="N9" s="5">
        <v>2221</v>
      </c>
      <c r="O9" s="5">
        <v>2287</v>
      </c>
      <c r="P9" s="5">
        <v>1975</v>
      </c>
      <c r="Q9" s="5">
        <v>1889</v>
      </c>
      <c r="R9" s="5">
        <v>1841</v>
      </c>
      <c r="S9" s="5">
        <v>2126</v>
      </c>
      <c r="T9" s="5">
        <v>1956</v>
      </c>
      <c r="U9" s="5">
        <v>1936</v>
      </c>
      <c r="V9" s="5">
        <v>1562</v>
      </c>
      <c r="W9" s="5">
        <v>1726</v>
      </c>
      <c r="X9" s="5">
        <v>1468</v>
      </c>
      <c r="Y9" s="5">
        <v>1432</v>
      </c>
      <c r="Z9" s="5">
        <v>1426</v>
      </c>
      <c r="AA9" s="5">
        <v>1344</v>
      </c>
      <c r="AB9" s="5">
        <v>1239</v>
      </c>
      <c r="AC9" s="5">
        <v>998</v>
      </c>
      <c r="AD9" s="5">
        <v>1125</v>
      </c>
      <c r="AE9" s="5">
        <v>1103</v>
      </c>
      <c r="AF9" s="815">
        <v>1125</v>
      </c>
      <c r="AG9" s="811">
        <v>1134</v>
      </c>
    </row>
    <row r="10" spans="1:33" ht="15.75" x14ac:dyDescent="0.25">
      <c r="A10" s="7" t="s">
        <v>135</v>
      </c>
      <c r="B10" s="8">
        <v>1226</v>
      </c>
      <c r="C10" s="8">
        <v>1208</v>
      </c>
      <c r="D10" s="8">
        <v>1592</v>
      </c>
      <c r="E10" s="8">
        <v>1778</v>
      </c>
      <c r="F10" s="8">
        <v>2407</v>
      </c>
      <c r="G10" s="8">
        <v>2622</v>
      </c>
      <c r="H10" s="8">
        <v>2365</v>
      </c>
      <c r="I10" s="8">
        <v>1974</v>
      </c>
      <c r="J10" s="8">
        <v>1507</v>
      </c>
      <c r="K10" s="8">
        <v>1419</v>
      </c>
      <c r="L10" s="8">
        <v>1268</v>
      </c>
      <c r="M10" s="8">
        <v>1255</v>
      </c>
      <c r="N10" s="8">
        <v>1203</v>
      </c>
      <c r="O10" s="8">
        <v>1182</v>
      </c>
      <c r="P10" s="8">
        <v>1022</v>
      </c>
      <c r="Q10" s="8">
        <v>1012</v>
      </c>
      <c r="R10" s="8">
        <v>972</v>
      </c>
      <c r="S10" s="8">
        <v>1232</v>
      </c>
      <c r="T10" s="8">
        <v>1023</v>
      </c>
      <c r="U10" s="8">
        <v>1144</v>
      </c>
      <c r="V10" s="8">
        <v>664</v>
      </c>
      <c r="W10" s="8">
        <v>838</v>
      </c>
      <c r="X10" s="8">
        <v>631</v>
      </c>
      <c r="Y10" s="8">
        <v>702</v>
      </c>
      <c r="Z10" s="8">
        <v>666</v>
      </c>
      <c r="AA10" s="8">
        <v>714</v>
      </c>
      <c r="AB10" s="8">
        <v>591</v>
      </c>
      <c r="AC10" s="8">
        <v>423</v>
      </c>
      <c r="AD10" s="8">
        <v>533</v>
      </c>
      <c r="AE10" s="8">
        <v>391</v>
      </c>
      <c r="AF10" s="9">
        <v>562</v>
      </c>
      <c r="AG10" s="8">
        <v>392</v>
      </c>
    </row>
    <row r="11" spans="1:33" ht="15.75" x14ac:dyDescent="0.25">
      <c r="A11" s="7" t="s">
        <v>136</v>
      </c>
      <c r="B11" s="8">
        <v>544</v>
      </c>
      <c r="C11" s="8">
        <v>454</v>
      </c>
      <c r="D11" s="8">
        <v>613</v>
      </c>
      <c r="E11" s="8">
        <v>791</v>
      </c>
      <c r="F11" s="8">
        <v>874</v>
      </c>
      <c r="G11" s="8">
        <v>1077</v>
      </c>
      <c r="H11" s="8">
        <v>940</v>
      </c>
      <c r="I11" s="8">
        <v>728</v>
      </c>
      <c r="J11" s="8">
        <v>709</v>
      </c>
      <c r="K11" s="8">
        <v>728</v>
      </c>
      <c r="L11" s="8">
        <v>649</v>
      </c>
      <c r="M11" s="8">
        <v>614</v>
      </c>
      <c r="N11" s="8">
        <v>591</v>
      </c>
      <c r="O11" s="8">
        <v>612</v>
      </c>
      <c r="P11" s="8">
        <v>517</v>
      </c>
      <c r="Q11" s="8">
        <v>462</v>
      </c>
      <c r="R11" s="8">
        <v>522</v>
      </c>
      <c r="S11" s="8">
        <v>568</v>
      </c>
      <c r="T11" s="8">
        <v>538</v>
      </c>
      <c r="U11" s="8">
        <v>525</v>
      </c>
      <c r="V11" s="8">
        <v>321</v>
      </c>
      <c r="W11" s="8">
        <v>429</v>
      </c>
      <c r="X11" s="8">
        <v>331</v>
      </c>
      <c r="Y11" s="8">
        <v>379</v>
      </c>
      <c r="Z11" s="8">
        <v>242</v>
      </c>
      <c r="AA11" s="8">
        <v>332</v>
      </c>
      <c r="AB11" s="8">
        <v>341</v>
      </c>
      <c r="AC11" s="8">
        <v>158</v>
      </c>
      <c r="AD11" s="8">
        <v>253</v>
      </c>
      <c r="AE11" s="8">
        <v>136</v>
      </c>
      <c r="AF11" s="9">
        <v>248</v>
      </c>
      <c r="AG11" s="8">
        <v>155</v>
      </c>
    </row>
    <row r="12" spans="1:33" ht="15.75" x14ac:dyDescent="0.25">
      <c r="A12" s="7" t="s">
        <v>137</v>
      </c>
      <c r="B12" s="8">
        <v>682</v>
      </c>
      <c r="C12" s="8">
        <v>806</v>
      </c>
      <c r="D12" s="8">
        <v>978</v>
      </c>
      <c r="E12" s="8">
        <v>987</v>
      </c>
      <c r="F12" s="8">
        <v>1533</v>
      </c>
      <c r="G12" s="8">
        <v>1545</v>
      </c>
      <c r="H12" s="8">
        <v>1425</v>
      </c>
      <c r="I12" s="8">
        <v>1245</v>
      </c>
      <c r="J12" s="8">
        <v>798</v>
      </c>
      <c r="K12" s="8">
        <v>691</v>
      </c>
      <c r="L12" s="8">
        <v>618</v>
      </c>
      <c r="M12" s="8">
        <v>641</v>
      </c>
      <c r="N12" s="8">
        <v>612</v>
      </c>
      <c r="O12" s="8">
        <v>578</v>
      </c>
      <c r="P12" s="8">
        <v>506</v>
      </c>
      <c r="Q12" s="8">
        <v>551</v>
      </c>
      <c r="R12" s="8">
        <v>449</v>
      </c>
      <c r="S12" s="8">
        <v>664</v>
      </c>
      <c r="T12" s="8">
        <v>485</v>
      </c>
      <c r="U12" s="8">
        <v>619</v>
      </c>
      <c r="V12" s="8">
        <v>342</v>
      </c>
      <c r="W12" s="8">
        <v>409</v>
      </c>
      <c r="X12" s="8">
        <v>300</v>
      </c>
      <c r="Y12" s="8">
        <v>323</v>
      </c>
      <c r="Z12" s="8">
        <v>423</v>
      </c>
      <c r="AA12" s="8">
        <v>382</v>
      </c>
      <c r="AB12" s="8">
        <v>250</v>
      </c>
      <c r="AC12" s="8">
        <v>265</v>
      </c>
      <c r="AD12" s="8">
        <v>279</v>
      </c>
      <c r="AE12" s="8">
        <v>255</v>
      </c>
      <c r="AF12" s="9">
        <v>315</v>
      </c>
      <c r="AG12" s="8">
        <v>237</v>
      </c>
    </row>
    <row r="13" spans="1:33" ht="15.75" x14ac:dyDescent="0.25">
      <c r="A13" s="7" t="s">
        <v>138</v>
      </c>
      <c r="B13" s="8">
        <v>838</v>
      </c>
      <c r="C13" s="8">
        <v>806</v>
      </c>
      <c r="D13" s="8">
        <v>674</v>
      </c>
      <c r="E13" s="8">
        <v>1122</v>
      </c>
      <c r="F13" s="8">
        <v>1360</v>
      </c>
      <c r="G13" s="8">
        <v>1843</v>
      </c>
      <c r="H13" s="8">
        <v>1381</v>
      </c>
      <c r="I13" s="8">
        <v>1401</v>
      </c>
      <c r="J13" s="8">
        <v>1043</v>
      </c>
      <c r="K13" s="8">
        <v>1160</v>
      </c>
      <c r="L13" s="8">
        <v>1087</v>
      </c>
      <c r="M13" s="8">
        <v>936</v>
      </c>
      <c r="N13" s="8">
        <v>1018</v>
      </c>
      <c r="O13" s="8">
        <v>1105</v>
      </c>
      <c r="P13" s="8">
        <v>952</v>
      </c>
      <c r="Q13" s="8">
        <v>877</v>
      </c>
      <c r="R13" s="8">
        <v>869</v>
      </c>
      <c r="S13" s="8">
        <v>894</v>
      </c>
      <c r="T13" s="8">
        <v>934</v>
      </c>
      <c r="U13" s="8">
        <v>792</v>
      </c>
      <c r="V13" s="8">
        <v>898</v>
      </c>
      <c r="W13" s="8">
        <v>888</v>
      </c>
      <c r="X13" s="8">
        <v>837</v>
      </c>
      <c r="Y13" s="8">
        <v>730</v>
      </c>
      <c r="Z13" s="8">
        <v>760</v>
      </c>
      <c r="AA13" s="8">
        <v>630</v>
      </c>
      <c r="AB13" s="8">
        <v>648</v>
      </c>
      <c r="AC13" s="8">
        <v>575</v>
      </c>
      <c r="AD13" s="8">
        <v>592</v>
      </c>
      <c r="AE13" s="8">
        <v>711</v>
      </c>
      <c r="AF13" s="9">
        <v>563</v>
      </c>
      <c r="AG13" s="8">
        <v>742</v>
      </c>
    </row>
    <row r="14" spans="1:33" ht="30" customHeight="1" x14ac:dyDescent="0.25">
      <c r="A14" s="4" t="s">
        <v>139</v>
      </c>
      <c r="B14" s="5">
        <v>164</v>
      </c>
      <c r="C14" s="5">
        <v>145</v>
      </c>
      <c r="D14" s="5">
        <v>178</v>
      </c>
      <c r="E14" s="5">
        <v>195</v>
      </c>
      <c r="F14" s="5">
        <v>254</v>
      </c>
      <c r="G14" s="5">
        <v>322</v>
      </c>
      <c r="H14" s="5">
        <v>338</v>
      </c>
      <c r="I14" s="5">
        <v>394</v>
      </c>
      <c r="J14" s="5">
        <v>340</v>
      </c>
      <c r="K14" s="5">
        <v>290</v>
      </c>
      <c r="L14" s="5">
        <v>269</v>
      </c>
      <c r="M14" s="5">
        <v>245</v>
      </c>
      <c r="N14" s="5">
        <v>301</v>
      </c>
      <c r="O14" s="5">
        <v>318</v>
      </c>
      <c r="P14" s="5">
        <v>304</v>
      </c>
      <c r="Q14" s="5">
        <v>264</v>
      </c>
      <c r="R14" s="5">
        <v>319</v>
      </c>
      <c r="S14" s="5">
        <v>239</v>
      </c>
      <c r="T14" s="5">
        <v>244</v>
      </c>
      <c r="U14" s="5">
        <v>199</v>
      </c>
      <c r="V14" s="5">
        <v>166</v>
      </c>
      <c r="W14" s="5">
        <v>88</v>
      </c>
      <c r="X14" s="5">
        <v>153</v>
      </c>
      <c r="Y14" s="5">
        <v>129</v>
      </c>
      <c r="Z14" s="5">
        <v>160</v>
      </c>
      <c r="AA14" s="5">
        <v>192</v>
      </c>
      <c r="AB14" s="5">
        <v>127</v>
      </c>
      <c r="AC14" s="5">
        <v>72</v>
      </c>
      <c r="AD14" s="5">
        <v>113</v>
      </c>
      <c r="AE14" s="5">
        <v>83</v>
      </c>
      <c r="AF14" s="6">
        <v>139</v>
      </c>
      <c r="AG14" s="5">
        <v>65</v>
      </c>
    </row>
    <row r="15" spans="1:33" ht="30" customHeight="1" x14ac:dyDescent="0.25">
      <c r="A15" s="4" t="s">
        <v>140</v>
      </c>
      <c r="B15" s="5">
        <v>6292</v>
      </c>
      <c r="C15" s="5">
        <v>7136</v>
      </c>
      <c r="D15" s="5">
        <v>8227</v>
      </c>
      <c r="E15" s="5">
        <v>9792</v>
      </c>
      <c r="F15" s="5">
        <v>11512</v>
      </c>
      <c r="G15" s="5">
        <v>11615</v>
      </c>
      <c r="H15" s="5">
        <v>10023</v>
      </c>
      <c r="I15" s="5">
        <v>8584</v>
      </c>
      <c r="J15" s="5">
        <v>7209</v>
      </c>
      <c r="K15" s="5">
        <v>6928</v>
      </c>
      <c r="L15" s="5">
        <v>6518</v>
      </c>
      <c r="M15" s="5">
        <v>5815</v>
      </c>
      <c r="N15" s="5">
        <v>5660</v>
      </c>
      <c r="O15" s="5">
        <v>5641</v>
      </c>
      <c r="P15" s="5">
        <v>5126</v>
      </c>
      <c r="Q15" s="5">
        <v>5583</v>
      </c>
      <c r="R15" s="5">
        <v>4989</v>
      </c>
      <c r="S15" s="5">
        <v>5172</v>
      </c>
      <c r="T15" s="5">
        <v>5360</v>
      </c>
      <c r="U15" s="5">
        <v>4883</v>
      </c>
      <c r="V15" s="5">
        <v>4379</v>
      </c>
      <c r="W15" s="5">
        <v>4026</v>
      </c>
      <c r="X15" s="5">
        <v>3698</v>
      </c>
      <c r="Y15" s="5">
        <v>3327</v>
      </c>
      <c r="Z15" s="5">
        <v>3578</v>
      </c>
      <c r="AA15" s="5">
        <v>3750</v>
      </c>
      <c r="AB15" s="5">
        <v>3299</v>
      </c>
      <c r="AC15" s="5">
        <v>2650</v>
      </c>
      <c r="AD15" s="5">
        <v>2686</v>
      </c>
      <c r="AE15" s="5">
        <v>2801</v>
      </c>
      <c r="AF15" s="6">
        <v>2791</v>
      </c>
      <c r="AG15" s="5">
        <v>2752</v>
      </c>
    </row>
    <row r="16" spans="1:33" ht="30" customHeight="1" x14ac:dyDescent="0.25">
      <c r="A16" s="4" t="s">
        <v>141</v>
      </c>
      <c r="B16" s="5">
        <v>434</v>
      </c>
      <c r="C16" s="5">
        <v>505</v>
      </c>
      <c r="D16" s="5">
        <v>329</v>
      </c>
      <c r="E16" s="5">
        <v>451</v>
      </c>
      <c r="F16" s="5">
        <v>611</v>
      </c>
      <c r="G16" s="5">
        <v>680</v>
      </c>
      <c r="H16" s="5">
        <v>613</v>
      </c>
      <c r="I16" s="5">
        <v>593</v>
      </c>
      <c r="J16" s="5">
        <v>588</v>
      </c>
      <c r="K16" s="5">
        <v>670</v>
      </c>
      <c r="L16" s="5">
        <v>608</v>
      </c>
      <c r="M16" s="5">
        <v>569</v>
      </c>
      <c r="N16" s="5">
        <v>562</v>
      </c>
      <c r="O16" s="5">
        <v>558</v>
      </c>
      <c r="P16" s="5">
        <v>562</v>
      </c>
      <c r="Q16" s="5">
        <v>708</v>
      </c>
      <c r="R16" s="5">
        <v>518</v>
      </c>
      <c r="S16" s="5">
        <v>542</v>
      </c>
      <c r="T16" s="5">
        <v>605</v>
      </c>
      <c r="U16" s="5">
        <v>543</v>
      </c>
      <c r="V16" s="5">
        <v>567</v>
      </c>
      <c r="W16" s="5">
        <v>448</v>
      </c>
      <c r="X16" s="5">
        <v>363</v>
      </c>
      <c r="Y16" s="5">
        <v>370</v>
      </c>
      <c r="Z16" s="5">
        <v>425</v>
      </c>
      <c r="AA16" s="5">
        <v>447</v>
      </c>
      <c r="AB16" s="5">
        <v>367</v>
      </c>
      <c r="AC16" s="5">
        <v>247</v>
      </c>
      <c r="AD16" s="5">
        <v>347</v>
      </c>
      <c r="AE16" s="5">
        <v>467</v>
      </c>
      <c r="AF16" s="6">
        <v>363</v>
      </c>
      <c r="AG16" s="5">
        <v>462</v>
      </c>
    </row>
    <row r="17" spans="1:33" ht="15.75" x14ac:dyDescent="0.25">
      <c r="A17" s="7" t="s">
        <v>142</v>
      </c>
      <c r="B17" s="8">
        <v>86</v>
      </c>
      <c r="C17" s="8">
        <v>63</v>
      </c>
      <c r="D17" s="8">
        <v>50</v>
      </c>
      <c r="E17" s="8">
        <v>85</v>
      </c>
      <c r="F17" s="8">
        <v>84</v>
      </c>
      <c r="G17" s="8">
        <v>72</v>
      </c>
      <c r="H17" s="8">
        <v>81</v>
      </c>
      <c r="I17" s="8">
        <v>56</v>
      </c>
      <c r="J17" s="8">
        <v>67</v>
      </c>
      <c r="K17" s="8">
        <v>87</v>
      </c>
      <c r="L17" s="8">
        <v>112</v>
      </c>
      <c r="M17" s="8">
        <v>90</v>
      </c>
      <c r="N17" s="8">
        <v>68</v>
      </c>
      <c r="O17" s="8">
        <v>70</v>
      </c>
      <c r="P17" s="8">
        <v>76</v>
      </c>
      <c r="Q17" s="8">
        <v>97</v>
      </c>
      <c r="R17" s="8">
        <v>63</v>
      </c>
      <c r="S17" s="8">
        <v>68</v>
      </c>
      <c r="T17" s="8">
        <v>80</v>
      </c>
      <c r="U17" s="8">
        <v>66</v>
      </c>
      <c r="V17" s="8">
        <v>55</v>
      </c>
      <c r="W17" s="8">
        <v>55</v>
      </c>
      <c r="X17" s="8">
        <v>43</v>
      </c>
      <c r="Y17" s="8">
        <v>41</v>
      </c>
      <c r="Z17" s="8">
        <v>60</v>
      </c>
      <c r="AA17" s="8">
        <v>58</v>
      </c>
      <c r="AB17" s="8">
        <v>33</v>
      </c>
      <c r="AC17" s="8">
        <v>31</v>
      </c>
      <c r="AD17" s="8">
        <v>78</v>
      </c>
      <c r="AE17" s="8">
        <v>92</v>
      </c>
      <c r="AF17" s="9">
        <v>78</v>
      </c>
      <c r="AG17" s="8">
        <v>93</v>
      </c>
    </row>
    <row r="18" spans="1:33" ht="15.75" x14ac:dyDescent="0.25">
      <c r="A18" s="7" t="s">
        <v>143</v>
      </c>
      <c r="B18" s="8">
        <v>258</v>
      </c>
      <c r="C18" s="8">
        <v>315</v>
      </c>
      <c r="D18" s="8">
        <v>168</v>
      </c>
      <c r="E18" s="8">
        <v>264</v>
      </c>
      <c r="F18" s="8">
        <v>345</v>
      </c>
      <c r="G18" s="8">
        <v>365</v>
      </c>
      <c r="H18" s="8">
        <v>358</v>
      </c>
      <c r="I18" s="8">
        <v>322</v>
      </c>
      <c r="J18" s="8">
        <v>334</v>
      </c>
      <c r="K18" s="8">
        <v>373</v>
      </c>
      <c r="L18" s="8">
        <v>345</v>
      </c>
      <c r="M18" s="8">
        <v>285</v>
      </c>
      <c r="N18" s="8">
        <v>322</v>
      </c>
      <c r="O18" s="8">
        <v>318</v>
      </c>
      <c r="P18" s="8">
        <v>325</v>
      </c>
      <c r="Q18" s="8">
        <v>423</v>
      </c>
      <c r="R18" s="8">
        <v>302</v>
      </c>
      <c r="S18" s="8">
        <v>297</v>
      </c>
      <c r="T18" s="8">
        <v>319</v>
      </c>
      <c r="U18" s="8">
        <v>321</v>
      </c>
      <c r="V18" s="8">
        <v>313</v>
      </c>
      <c r="W18" s="8">
        <v>203</v>
      </c>
      <c r="X18" s="8">
        <v>197</v>
      </c>
      <c r="Y18" s="8">
        <v>194</v>
      </c>
      <c r="Z18" s="8">
        <v>175</v>
      </c>
      <c r="AA18" s="8">
        <v>209</v>
      </c>
      <c r="AB18" s="8">
        <v>191</v>
      </c>
      <c r="AC18" s="8">
        <v>112</v>
      </c>
      <c r="AD18" s="8">
        <v>126</v>
      </c>
      <c r="AE18" s="8">
        <v>153</v>
      </c>
      <c r="AF18" s="9">
        <v>133</v>
      </c>
      <c r="AG18" s="8">
        <v>151</v>
      </c>
    </row>
    <row r="19" spans="1:33" ht="15.75" x14ac:dyDescent="0.25">
      <c r="A19" s="7" t="s">
        <v>144</v>
      </c>
      <c r="B19" s="8">
        <v>90</v>
      </c>
      <c r="C19" s="8">
        <v>127</v>
      </c>
      <c r="D19" s="8">
        <v>111</v>
      </c>
      <c r="E19" s="8">
        <v>102</v>
      </c>
      <c r="F19" s="8">
        <v>182</v>
      </c>
      <c r="G19" s="8">
        <v>242</v>
      </c>
      <c r="H19" s="8">
        <v>174</v>
      </c>
      <c r="I19" s="8">
        <v>215</v>
      </c>
      <c r="J19" s="8">
        <v>188</v>
      </c>
      <c r="K19" s="8">
        <v>210</v>
      </c>
      <c r="L19" s="8">
        <v>151</v>
      </c>
      <c r="M19" s="8">
        <v>194</v>
      </c>
      <c r="N19" s="8">
        <v>172</v>
      </c>
      <c r="O19" s="8">
        <v>171</v>
      </c>
      <c r="P19" s="8">
        <v>162</v>
      </c>
      <c r="Q19" s="8">
        <v>188</v>
      </c>
      <c r="R19" s="8">
        <v>153</v>
      </c>
      <c r="S19" s="8">
        <v>176</v>
      </c>
      <c r="T19" s="8">
        <v>206</v>
      </c>
      <c r="U19" s="8">
        <v>157</v>
      </c>
      <c r="V19" s="8">
        <v>199</v>
      </c>
      <c r="W19" s="8">
        <v>189</v>
      </c>
      <c r="X19" s="8">
        <v>123</v>
      </c>
      <c r="Y19" s="8">
        <v>136</v>
      </c>
      <c r="Z19" s="8">
        <v>190</v>
      </c>
      <c r="AA19" s="8">
        <v>180</v>
      </c>
      <c r="AB19" s="8">
        <v>143</v>
      </c>
      <c r="AC19" s="8">
        <v>105</v>
      </c>
      <c r="AD19" s="8">
        <v>143</v>
      </c>
      <c r="AE19" s="8">
        <v>222</v>
      </c>
      <c r="AF19" s="9">
        <v>152</v>
      </c>
      <c r="AG19" s="8">
        <v>218</v>
      </c>
    </row>
    <row r="20" spans="1:33" ht="30" customHeight="1" x14ac:dyDescent="0.25">
      <c r="A20" s="4" t="s">
        <v>145</v>
      </c>
      <c r="B20" s="5">
        <v>1586</v>
      </c>
      <c r="C20" s="5">
        <v>1729</v>
      </c>
      <c r="D20" s="5">
        <v>1798</v>
      </c>
      <c r="E20" s="5">
        <v>1737</v>
      </c>
      <c r="F20" s="5">
        <v>1933</v>
      </c>
      <c r="G20" s="5">
        <v>2073</v>
      </c>
      <c r="H20" s="5">
        <v>1942</v>
      </c>
      <c r="I20" s="5">
        <v>1565</v>
      </c>
      <c r="J20" s="5">
        <v>1370</v>
      </c>
      <c r="K20" s="5">
        <v>1303</v>
      </c>
      <c r="L20" s="5">
        <v>1276</v>
      </c>
      <c r="M20" s="5">
        <v>1125</v>
      </c>
      <c r="N20" s="5">
        <v>1162</v>
      </c>
      <c r="O20" s="5">
        <v>1120</v>
      </c>
      <c r="P20" s="5">
        <v>959</v>
      </c>
      <c r="Q20" s="5">
        <v>1060</v>
      </c>
      <c r="R20" s="5">
        <v>1014</v>
      </c>
      <c r="S20" s="5">
        <v>973</v>
      </c>
      <c r="T20" s="5">
        <v>1071</v>
      </c>
      <c r="U20" s="5">
        <v>962</v>
      </c>
      <c r="V20" s="5">
        <v>950</v>
      </c>
      <c r="W20" s="5">
        <v>735</v>
      </c>
      <c r="X20" s="5">
        <v>764</v>
      </c>
      <c r="Y20" s="5">
        <v>640</v>
      </c>
      <c r="Z20" s="5">
        <v>655</v>
      </c>
      <c r="AA20" s="5">
        <v>739</v>
      </c>
      <c r="AB20" s="5">
        <v>612</v>
      </c>
      <c r="AC20" s="5">
        <v>425</v>
      </c>
      <c r="AD20" s="5">
        <v>446</v>
      </c>
      <c r="AE20" s="5">
        <v>432</v>
      </c>
      <c r="AF20" s="6">
        <v>459</v>
      </c>
      <c r="AG20" s="5">
        <v>423</v>
      </c>
    </row>
    <row r="21" spans="1:33" ht="30" customHeight="1" x14ac:dyDescent="0.25">
      <c r="A21" s="10" t="s">
        <v>146</v>
      </c>
      <c r="B21" s="11">
        <v>9898</v>
      </c>
      <c r="C21" s="11">
        <v>11017</v>
      </c>
      <c r="D21" s="11">
        <v>10391</v>
      </c>
      <c r="E21" s="11">
        <v>10059</v>
      </c>
      <c r="F21" s="11">
        <v>14510</v>
      </c>
      <c r="G21" s="11">
        <v>16337</v>
      </c>
      <c r="H21" s="11">
        <v>14937</v>
      </c>
      <c r="I21" s="11">
        <v>19398</v>
      </c>
      <c r="J21" s="11">
        <v>32787</v>
      </c>
      <c r="K21" s="11">
        <v>36450</v>
      </c>
      <c r="L21" s="11">
        <v>37891</v>
      </c>
      <c r="M21" s="11">
        <v>45118</v>
      </c>
      <c r="N21" s="11">
        <v>47796</v>
      </c>
      <c r="O21" s="11">
        <v>47138</v>
      </c>
      <c r="P21" s="11">
        <v>46911</v>
      </c>
      <c r="Q21" s="11">
        <v>46220</v>
      </c>
      <c r="R21" s="11">
        <v>44559</v>
      </c>
      <c r="S21" s="11">
        <v>46754</v>
      </c>
      <c r="T21" s="11">
        <v>46031</v>
      </c>
      <c r="U21" s="11">
        <v>34880</v>
      </c>
      <c r="V21" s="11">
        <v>35371</v>
      </c>
      <c r="W21" s="11">
        <v>33350</v>
      </c>
      <c r="X21" s="11">
        <v>35324</v>
      </c>
      <c r="Y21" s="11">
        <v>35420</v>
      </c>
      <c r="Z21" s="11">
        <v>34715</v>
      </c>
      <c r="AA21" s="11">
        <v>34163</v>
      </c>
      <c r="AB21" s="11">
        <v>33734</v>
      </c>
      <c r="AC21" s="11">
        <v>31183</v>
      </c>
      <c r="AD21" s="11">
        <v>30847</v>
      </c>
      <c r="AE21" s="11">
        <v>31532</v>
      </c>
      <c r="AF21" s="12">
        <v>31799</v>
      </c>
      <c r="AG21" s="11">
        <v>31791</v>
      </c>
    </row>
    <row r="22" spans="1:33" ht="30" customHeight="1" x14ac:dyDescent="0.25">
      <c r="A22" s="4" t="s">
        <v>147</v>
      </c>
      <c r="B22" s="5">
        <v>975</v>
      </c>
      <c r="C22" s="5">
        <v>1129</v>
      </c>
      <c r="D22" s="5">
        <v>1461</v>
      </c>
      <c r="E22" s="5">
        <v>1723</v>
      </c>
      <c r="F22" s="5">
        <v>2430</v>
      </c>
      <c r="G22" s="5">
        <v>2342</v>
      </c>
      <c r="H22" s="5">
        <v>2110</v>
      </c>
      <c r="I22" s="5">
        <v>1851</v>
      </c>
      <c r="J22" s="5">
        <v>1423</v>
      </c>
      <c r="K22" s="5">
        <v>1357</v>
      </c>
      <c r="L22" s="5">
        <v>1310</v>
      </c>
      <c r="M22" s="5">
        <v>1059</v>
      </c>
      <c r="N22" s="5">
        <v>1025</v>
      </c>
      <c r="O22" s="5">
        <v>1006</v>
      </c>
      <c r="P22" s="5">
        <v>960</v>
      </c>
      <c r="Q22" s="5">
        <v>992</v>
      </c>
      <c r="R22" s="5">
        <v>917</v>
      </c>
      <c r="S22" s="5">
        <v>1033</v>
      </c>
      <c r="T22" s="5">
        <v>922</v>
      </c>
      <c r="U22" s="5">
        <v>887</v>
      </c>
      <c r="V22" s="5">
        <v>781</v>
      </c>
      <c r="W22" s="5">
        <v>784</v>
      </c>
      <c r="X22" s="5">
        <v>697</v>
      </c>
      <c r="Y22" s="5">
        <v>650</v>
      </c>
      <c r="Z22" s="5">
        <v>691</v>
      </c>
      <c r="AA22" s="5">
        <v>699</v>
      </c>
      <c r="AB22" s="5">
        <v>582</v>
      </c>
      <c r="AC22" s="5">
        <v>409</v>
      </c>
      <c r="AD22" s="5">
        <v>402</v>
      </c>
      <c r="AE22" s="5">
        <v>398</v>
      </c>
      <c r="AF22" s="6">
        <v>409</v>
      </c>
      <c r="AG22" s="5">
        <v>376</v>
      </c>
    </row>
    <row r="23" spans="1:33" ht="15.75" x14ac:dyDescent="0.25">
      <c r="A23" s="60" t="s">
        <v>148</v>
      </c>
      <c r="B23" s="8">
        <v>694</v>
      </c>
      <c r="C23" s="8">
        <v>723</v>
      </c>
      <c r="D23" s="8">
        <v>869</v>
      </c>
      <c r="E23" s="8">
        <v>1166</v>
      </c>
      <c r="F23" s="8">
        <v>1592</v>
      </c>
      <c r="G23" s="8">
        <v>1510</v>
      </c>
      <c r="H23" s="8">
        <v>1273</v>
      </c>
      <c r="I23" s="8">
        <v>1236</v>
      </c>
      <c r="J23" s="8">
        <v>924</v>
      </c>
      <c r="K23" s="8">
        <v>894</v>
      </c>
      <c r="L23" s="8">
        <v>829</v>
      </c>
      <c r="M23" s="8">
        <v>719</v>
      </c>
      <c r="N23" s="8">
        <v>683</v>
      </c>
      <c r="O23" s="8">
        <v>653</v>
      </c>
      <c r="P23" s="8">
        <v>621</v>
      </c>
      <c r="Q23" s="8">
        <v>656</v>
      </c>
      <c r="R23" s="8">
        <v>595</v>
      </c>
      <c r="S23" s="8">
        <v>673</v>
      </c>
      <c r="T23" s="8">
        <v>593</v>
      </c>
      <c r="U23" s="8">
        <v>553</v>
      </c>
      <c r="V23" s="8">
        <v>503</v>
      </c>
      <c r="W23" s="8">
        <v>485</v>
      </c>
      <c r="X23" s="8">
        <v>425</v>
      </c>
      <c r="Y23" s="8">
        <v>428</v>
      </c>
      <c r="Z23" s="8">
        <v>432</v>
      </c>
      <c r="AA23" s="8">
        <v>441</v>
      </c>
      <c r="AB23" s="8">
        <v>352</v>
      </c>
      <c r="AC23" s="8">
        <v>211</v>
      </c>
      <c r="AD23" s="8">
        <v>222</v>
      </c>
      <c r="AE23" s="8">
        <v>222</v>
      </c>
      <c r="AF23" s="9">
        <v>224</v>
      </c>
      <c r="AG23" s="8">
        <v>218</v>
      </c>
    </row>
    <row r="24" spans="1:33" ht="15.75" x14ac:dyDescent="0.25">
      <c r="A24" s="7" t="s">
        <v>149</v>
      </c>
      <c r="B24" s="8">
        <v>584</v>
      </c>
      <c r="C24" s="8">
        <v>623</v>
      </c>
      <c r="D24" s="8">
        <v>714</v>
      </c>
      <c r="E24" s="8">
        <v>982</v>
      </c>
      <c r="F24" s="8">
        <v>1342</v>
      </c>
      <c r="G24" s="8">
        <v>1178</v>
      </c>
      <c r="H24" s="8">
        <v>1030</v>
      </c>
      <c r="I24" s="8">
        <v>964</v>
      </c>
      <c r="J24" s="8">
        <v>673</v>
      </c>
      <c r="K24" s="8">
        <v>664</v>
      </c>
      <c r="L24" s="8">
        <v>650</v>
      </c>
      <c r="M24" s="8">
        <v>527</v>
      </c>
      <c r="N24" s="8">
        <v>500</v>
      </c>
      <c r="O24" s="8">
        <v>492</v>
      </c>
      <c r="P24" s="8">
        <v>468</v>
      </c>
      <c r="Q24" s="8">
        <v>483</v>
      </c>
      <c r="R24" s="8">
        <v>439</v>
      </c>
      <c r="S24" s="8">
        <v>472</v>
      </c>
      <c r="T24" s="8">
        <v>428</v>
      </c>
      <c r="U24" s="8">
        <v>411</v>
      </c>
      <c r="V24" s="8">
        <v>334</v>
      </c>
      <c r="W24" s="8">
        <v>346</v>
      </c>
      <c r="X24" s="8">
        <v>297</v>
      </c>
      <c r="Y24" s="8">
        <v>275</v>
      </c>
      <c r="Z24" s="8">
        <v>296</v>
      </c>
      <c r="AA24" s="8">
        <v>301</v>
      </c>
      <c r="AB24" s="8">
        <v>240</v>
      </c>
      <c r="AC24" s="8">
        <v>136</v>
      </c>
      <c r="AD24" s="8">
        <v>127</v>
      </c>
      <c r="AE24" s="8">
        <v>132</v>
      </c>
      <c r="AF24" s="9">
        <v>125</v>
      </c>
      <c r="AG24" s="8">
        <v>131</v>
      </c>
    </row>
    <row r="25" spans="1:33" ht="15.75" x14ac:dyDescent="0.25">
      <c r="A25" s="7" t="s">
        <v>150</v>
      </c>
      <c r="B25" s="8">
        <v>110</v>
      </c>
      <c r="C25" s="8">
        <v>100</v>
      </c>
      <c r="D25" s="8">
        <v>155</v>
      </c>
      <c r="E25" s="8">
        <v>184</v>
      </c>
      <c r="F25" s="8">
        <v>250</v>
      </c>
      <c r="G25" s="8">
        <v>332</v>
      </c>
      <c r="H25" s="8">
        <v>243</v>
      </c>
      <c r="I25" s="8">
        <v>272</v>
      </c>
      <c r="J25" s="8">
        <v>251</v>
      </c>
      <c r="K25" s="8">
        <v>230</v>
      </c>
      <c r="L25" s="8">
        <v>180</v>
      </c>
      <c r="M25" s="8">
        <v>192</v>
      </c>
      <c r="N25" s="8">
        <v>183</v>
      </c>
      <c r="O25" s="8">
        <v>162</v>
      </c>
      <c r="P25" s="8">
        <v>153</v>
      </c>
      <c r="Q25" s="8">
        <v>173</v>
      </c>
      <c r="R25" s="8">
        <v>156</v>
      </c>
      <c r="S25" s="8">
        <v>201</v>
      </c>
      <c r="T25" s="8">
        <v>165</v>
      </c>
      <c r="U25" s="8">
        <v>142</v>
      </c>
      <c r="V25" s="8">
        <v>170</v>
      </c>
      <c r="W25" s="8">
        <v>139</v>
      </c>
      <c r="X25" s="8">
        <v>128</v>
      </c>
      <c r="Y25" s="8">
        <v>153</v>
      </c>
      <c r="Z25" s="8">
        <v>136</v>
      </c>
      <c r="AA25" s="8">
        <v>140</v>
      </c>
      <c r="AB25" s="8">
        <v>113</v>
      </c>
      <c r="AC25" s="8">
        <v>75</v>
      </c>
      <c r="AD25" s="8">
        <v>95</v>
      </c>
      <c r="AE25" s="8">
        <v>90</v>
      </c>
      <c r="AF25" s="9">
        <v>99</v>
      </c>
      <c r="AG25" s="8">
        <v>88</v>
      </c>
    </row>
    <row r="26" spans="1:33" ht="15.75" x14ac:dyDescent="0.25">
      <c r="A26" s="60" t="s">
        <v>151</v>
      </c>
      <c r="B26" s="8">
        <v>281</v>
      </c>
      <c r="C26" s="8">
        <v>405</v>
      </c>
      <c r="D26" s="8">
        <v>591</v>
      </c>
      <c r="E26" s="8">
        <v>556</v>
      </c>
      <c r="F26" s="8">
        <v>838</v>
      </c>
      <c r="G26" s="8">
        <v>831</v>
      </c>
      <c r="H26" s="8">
        <v>837</v>
      </c>
      <c r="I26" s="8">
        <v>615</v>
      </c>
      <c r="J26" s="8">
        <v>499</v>
      </c>
      <c r="K26" s="8">
        <v>463</v>
      </c>
      <c r="L26" s="8">
        <v>481</v>
      </c>
      <c r="M26" s="8">
        <v>340</v>
      </c>
      <c r="N26" s="8">
        <v>342</v>
      </c>
      <c r="O26" s="8">
        <v>352</v>
      </c>
      <c r="P26" s="8">
        <v>340</v>
      </c>
      <c r="Q26" s="8">
        <v>336</v>
      </c>
      <c r="R26" s="8">
        <v>322</v>
      </c>
      <c r="S26" s="8">
        <v>360</v>
      </c>
      <c r="T26" s="8">
        <v>329</v>
      </c>
      <c r="U26" s="8">
        <v>334</v>
      </c>
      <c r="V26" s="8">
        <v>277</v>
      </c>
      <c r="W26" s="8">
        <v>299</v>
      </c>
      <c r="X26" s="8">
        <v>272</v>
      </c>
      <c r="Y26" s="8">
        <v>222</v>
      </c>
      <c r="Z26" s="8">
        <v>259</v>
      </c>
      <c r="AA26" s="8">
        <v>258</v>
      </c>
      <c r="AB26" s="8">
        <v>229</v>
      </c>
      <c r="AC26" s="8">
        <v>198</v>
      </c>
      <c r="AD26" s="8">
        <v>180</v>
      </c>
      <c r="AE26" s="8">
        <v>177</v>
      </c>
      <c r="AF26" s="9">
        <v>185</v>
      </c>
      <c r="AG26" s="8">
        <v>158</v>
      </c>
    </row>
    <row r="27" spans="1:33" ht="29.25" customHeight="1" x14ac:dyDescent="0.25">
      <c r="A27" s="59" t="s">
        <v>152</v>
      </c>
      <c r="B27" s="8">
        <v>752</v>
      </c>
      <c r="C27" s="8">
        <v>916</v>
      </c>
      <c r="D27" s="8">
        <v>1225</v>
      </c>
      <c r="E27" s="8">
        <v>1372</v>
      </c>
      <c r="F27" s="8">
        <v>1751</v>
      </c>
      <c r="G27" s="8">
        <v>1708</v>
      </c>
      <c r="H27" s="8">
        <v>1547</v>
      </c>
      <c r="I27" s="8">
        <v>1230</v>
      </c>
      <c r="J27" s="8">
        <v>958</v>
      </c>
      <c r="K27" s="8">
        <v>957</v>
      </c>
      <c r="L27" s="8">
        <v>938</v>
      </c>
      <c r="M27" s="8">
        <v>749</v>
      </c>
      <c r="N27" s="8">
        <v>720</v>
      </c>
      <c r="O27" s="8">
        <v>709</v>
      </c>
      <c r="P27" s="8">
        <v>712</v>
      </c>
      <c r="Q27" s="8">
        <v>717</v>
      </c>
      <c r="R27" s="8">
        <v>650</v>
      </c>
      <c r="S27" s="8">
        <v>736</v>
      </c>
      <c r="T27" s="8">
        <v>691</v>
      </c>
      <c r="U27" s="8">
        <v>640</v>
      </c>
      <c r="V27" s="8">
        <v>570</v>
      </c>
      <c r="W27" s="8">
        <v>559</v>
      </c>
      <c r="X27" s="8">
        <v>492</v>
      </c>
      <c r="Y27" s="8">
        <v>464</v>
      </c>
      <c r="Z27" s="8">
        <v>506</v>
      </c>
      <c r="AA27" s="8">
        <v>517</v>
      </c>
      <c r="AB27" s="8">
        <v>450</v>
      </c>
      <c r="AC27" s="8">
        <v>303</v>
      </c>
      <c r="AD27" s="8">
        <v>294</v>
      </c>
      <c r="AE27" s="8">
        <v>285</v>
      </c>
      <c r="AF27" s="9">
        <v>291</v>
      </c>
      <c r="AG27" s="8">
        <v>270</v>
      </c>
    </row>
    <row r="28" spans="1:33" ht="15.75" x14ac:dyDescent="0.25">
      <c r="A28" s="7" t="s">
        <v>153</v>
      </c>
      <c r="B28" s="8">
        <v>475</v>
      </c>
      <c r="C28" s="8">
        <v>532</v>
      </c>
      <c r="D28" s="8">
        <v>666</v>
      </c>
      <c r="E28" s="8">
        <v>866</v>
      </c>
      <c r="F28" s="8">
        <v>1015</v>
      </c>
      <c r="G28" s="8">
        <v>973</v>
      </c>
      <c r="H28" s="8">
        <v>818</v>
      </c>
      <c r="I28" s="8">
        <v>730</v>
      </c>
      <c r="J28" s="8">
        <v>539</v>
      </c>
      <c r="K28" s="8">
        <v>550</v>
      </c>
      <c r="L28" s="8">
        <v>530</v>
      </c>
      <c r="M28" s="8">
        <v>463</v>
      </c>
      <c r="N28" s="8">
        <v>432</v>
      </c>
      <c r="O28" s="8">
        <v>415</v>
      </c>
      <c r="P28" s="8">
        <v>425</v>
      </c>
      <c r="Q28" s="8">
        <v>436</v>
      </c>
      <c r="R28" s="8">
        <v>386</v>
      </c>
      <c r="S28" s="8">
        <v>445</v>
      </c>
      <c r="T28" s="8">
        <v>412</v>
      </c>
      <c r="U28" s="8">
        <v>369</v>
      </c>
      <c r="V28" s="8">
        <v>340</v>
      </c>
      <c r="W28" s="8">
        <v>315</v>
      </c>
      <c r="X28" s="8">
        <v>263</v>
      </c>
      <c r="Y28" s="8">
        <v>276</v>
      </c>
      <c r="Z28" s="8">
        <v>295</v>
      </c>
      <c r="AA28" s="8">
        <v>298</v>
      </c>
      <c r="AB28" s="8">
        <v>241</v>
      </c>
      <c r="AC28" s="8">
        <v>141</v>
      </c>
      <c r="AD28" s="8">
        <v>150</v>
      </c>
      <c r="AE28" s="8">
        <v>132</v>
      </c>
      <c r="AF28" s="9">
        <v>143</v>
      </c>
      <c r="AG28" s="8">
        <v>136</v>
      </c>
    </row>
    <row r="29" spans="1:33" ht="15.75" x14ac:dyDescent="0.25">
      <c r="A29" s="7" t="s">
        <v>149</v>
      </c>
      <c r="B29" s="8">
        <v>374</v>
      </c>
      <c r="C29" s="8">
        <v>454</v>
      </c>
      <c r="D29" s="8">
        <v>519</v>
      </c>
      <c r="E29" s="8">
        <v>714</v>
      </c>
      <c r="F29" s="8">
        <v>818</v>
      </c>
      <c r="G29" s="8">
        <v>763</v>
      </c>
      <c r="H29" s="8">
        <v>627</v>
      </c>
      <c r="I29" s="8">
        <v>521</v>
      </c>
      <c r="J29" s="8">
        <v>385</v>
      </c>
      <c r="K29" s="8">
        <v>401</v>
      </c>
      <c r="L29" s="8">
        <v>412</v>
      </c>
      <c r="M29" s="8">
        <v>324</v>
      </c>
      <c r="N29" s="8">
        <v>308</v>
      </c>
      <c r="O29" s="8">
        <v>303</v>
      </c>
      <c r="P29" s="8">
        <v>312</v>
      </c>
      <c r="Q29" s="8">
        <v>305</v>
      </c>
      <c r="R29" s="8">
        <v>270</v>
      </c>
      <c r="S29" s="8">
        <v>294</v>
      </c>
      <c r="T29" s="8">
        <v>284</v>
      </c>
      <c r="U29" s="8">
        <v>259</v>
      </c>
      <c r="V29" s="8">
        <v>215</v>
      </c>
      <c r="W29" s="8">
        <v>208</v>
      </c>
      <c r="X29" s="8">
        <v>167</v>
      </c>
      <c r="Y29" s="8">
        <v>164</v>
      </c>
      <c r="Z29" s="8">
        <v>188</v>
      </c>
      <c r="AA29" s="8">
        <v>192</v>
      </c>
      <c r="AB29" s="8">
        <v>156</v>
      </c>
      <c r="AC29" s="8">
        <v>88</v>
      </c>
      <c r="AD29" s="8">
        <v>74</v>
      </c>
      <c r="AE29" s="8">
        <v>86</v>
      </c>
      <c r="AF29" s="9">
        <v>76</v>
      </c>
      <c r="AG29" s="8">
        <v>78</v>
      </c>
    </row>
    <row r="30" spans="1:33" ht="15.75" x14ac:dyDescent="0.25">
      <c r="A30" s="7" t="s">
        <v>150</v>
      </c>
      <c r="B30" s="8">
        <v>101</v>
      </c>
      <c r="C30" s="8">
        <v>79</v>
      </c>
      <c r="D30" s="8">
        <v>147</v>
      </c>
      <c r="E30" s="8">
        <v>151</v>
      </c>
      <c r="F30" s="8">
        <v>197</v>
      </c>
      <c r="G30" s="8">
        <v>210</v>
      </c>
      <c r="H30" s="8">
        <v>191</v>
      </c>
      <c r="I30" s="8">
        <v>209</v>
      </c>
      <c r="J30" s="8">
        <v>154</v>
      </c>
      <c r="K30" s="8">
        <v>149</v>
      </c>
      <c r="L30" s="8">
        <v>118</v>
      </c>
      <c r="M30" s="8">
        <v>139</v>
      </c>
      <c r="N30" s="8">
        <v>124</v>
      </c>
      <c r="O30" s="8">
        <v>112</v>
      </c>
      <c r="P30" s="8">
        <v>113</v>
      </c>
      <c r="Q30" s="8">
        <v>131</v>
      </c>
      <c r="R30" s="8">
        <v>116</v>
      </c>
      <c r="S30" s="8">
        <v>151</v>
      </c>
      <c r="T30" s="8">
        <v>128</v>
      </c>
      <c r="U30" s="8">
        <v>110</v>
      </c>
      <c r="V30" s="8">
        <v>125</v>
      </c>
      <c r="W30" s="8">
        <v>107</v>
      </c>
      <c r="X30" s="8">
        <v>96</v>
      </c>
      <c r="Y30" s="8">
        <v>112</v>
      </c>
      <c r="Z30" s="8">
        <v>107</v>
      </c>
      <c r="AA30" s="8">
        <v>106</v>
      </c>
      <c r="AB30" s="8">
        <v>85</v>
      </c>
      <c r="AC30" s="8">
        <v>53</v>
      </c>
      <c r="AD30" s="8">
        <v>76</v>
      </c>
      <c r="AE30" s="8">
        <v>46</v>
      </c>
      <c r="AF30" s="9">
        <v>67</v>
      </c>
      <c r="AG30" s="8">
        <v>59</v>
      </c>
    </row>
    <row r="31" spans="1:33" ht="15.75" x14ac:dyDescent="0.25">
      <c r="A31" s="7" t="s">
        <v>154</v>
      </c>
      <c r="B31" s="8">
        <v>277</v>
      </c>
      <c r="C31" s="8">
        <v>384</v>
      </c>
      <c r="D31" s="8">
        <v>559</v>
      </c>
      <c r="E31" s="8">
        <v>506</v>
      </c>
      <c r="F31" s="8">
        <v>736</v>
      </c>
      <c r="G31" s="8">
        <v>735</v>
      </c>
      <c r="H31" s="8">
        <v>730</v>
      </c>
      <c r="I31" s="8">
        <v>500</v>
      </c>
      <c r="J31" s="8">
        <v>419</v>
      </c>
      <c r="K31" s="8">
        <v>407</v>
      </c>
      <c r="L31" s="8">
        <v>409</v>
      </c>
      <c r="M31" s="8">
        <v>286</v>
      </c>
      <c r="N31" s="8">
        <v>288</v>
      </c>
      <c r="O31" s="8">
        <v>294</v>
      </c>
      <c r="P31" s="8">
        <v>286</v>
      </c>
      <c r="Q31" s="8">
        <v>281</v>
      </c>
      <c r="R31" s="8">
        <v>264</v>
      </c>
      <c r="S31" s="8">
        <v>291</v>
      </c>
      <c r="T31" s="8">
        <v>279</v>
      </c>
      <c r="U31" s="8">
        <v>271</v>
      </c>
      <c r="V31" s="8">
        <v>230</v>
      </c>
      <c r="W31" s="8">
        <v>245</v>
      </c>
      <c r="X31" s="8">
        <v>229</v>
      </c>
      <c r="Y31" s="8">
        <v>187</v>
      </c>
      <c r="Z31" s="8">
        <v>212</v>
      </c>
      <c r="AA31" s="8">
        <v>219</v>
      </c>
      <c r="AB31" s="8">
        <v>209</v>
      </c>
      <c r="AC31" s="8">
        <v>162</v>
      </c>
      <c r="AD31" s="8">
        <v>144</v>
      </c>
      <c r="AE31" s="8">
        <v>153</v>
      </c>
      <c r="AF31" s="9">
        <v>148</v>
      </c>
      <c r="AG31" s="8">
        <v>133</v>
      </c>
    </row>
    <row r="32" spans="1:33" ht="24" customHeight="1" x14ac:dyDescent="0.25">
      <c r="A32" s="57" t="s">
        <v>155</v>
      </c>
      <c r="B32" s="8">
        <v>223</v>
      </c>
      <c r="C32" s="8">
        <v>213</v>
      </c>
      <c r="D32" s="8">
        <v>236</v>
      </c>
      <c r="E32" s="8">
        <v>351</v>
      </c>
      <c r="F32" s="8">
        <v>679</v>
      </c>
      <c r="G32" s="8">
        <v>633</v>
      </c>
      <c r="H32" s="8">
        <v>562</v>
      </c>
      <c r="I32" s="8">
        <v>621</v>
      </c>
      <c r="J32" s="8">
        <v>465</v>
      </c>
      <c r="K32" s="8">
        <v>400</v>
      </c>
      <c r="L32" s="8">
        <v>372</v>
      </c>
      <c r="M32" s="8">
        <v>310</v>
      </c>
      <c r="N32" s="8">
        <v>305</v>
      </c>
      <c r="O32" s="8">
        <v>297</v>
      </c>
      <c r="P32" s="8">
        <v>248</v>
      </c>
      <c r="Q32" s="8">
        <v>275</v>
      </c>
      <c r="R32" s="8">
        <v>268</v>
      </c>
      <c r="S32" s="8">
        <v>297</v>
      </c>
      <c r="T32" s="8">
        <v>231</v>
      </c>
      <c r="U32" s="8">
        <v>247</v>
      </c>
      <c r="V32" s="8">
        <v>211</v>
      </c>
      <c r="W32" s="8">
        <v>225</v>
      </c>
      <c r="X32" s="8">
        <v>206</v>
      </c>
      <c r="Y32" s="8">
        <v>186</v>
      </c>
      <c r="Z32" s="8">
        <v>185</v>
      </c>
      <c r="AA32" s="8">
        <v>182</v>
      </c>
      <c r="AB32" s="8">
        <v>132</v>
      </c>
      <c r="AC32" s="8">
        <v>106</v>
      </c>
      <c r="AD32" s="8">
        <v>108</v>
      </c>
      <c r="AE32" s="8">
        <v>113</v>
      </c>
      <c r="AF32" s="9">
        <v>118</v>
      </c>
      <c r="AG32" s="8">
        <v>106</v>
      </c>
    </row>
    <row r="33" spans="1:33" ht="15.75" x14ac:dyDescent="0.25">
      <c r="A33" s="7" t="s">
        <v>153</v>
      </c>
      <c r="B33" s="8">
        <v>219</v>
      </c>
      <c r="C33" s="8">
        <v>191</v>
      </c>
      <c r="D33" s="8">
        <v>203</v>
      </c>
      <c r="E33" s="8">
        <v>301</v>
      </c>
      <c r="F33" s="8">
        <v>577</v>
      </c>
      <c r="G33" s="8">
        <v>537</v>
      </c>
      <c r="H33" s="8">
        <v>455</v>
      </c>
      <c r="I33" s="8">
        <v>506</v>
      </c>
      <c r="J33" s="8">
        <v>385</v>
      </c>
      <c r="K33" s="8">
        <v>344</v>
      </c>
      <c r="L33" s="8">
        <v>300</v>
      </c>
      <c r="M33" s="8">
        <v>256</v>
      </c>
      <c r="N33" s="8">
        <v>251</v>
      </c>
      <c r="O33" s="8">
        <v>238</v>
      </c>
      <c r="P33" s="8">
        <v>195</v>
      </c>
      <c r="Q33" s="8">
        <v>221</v>
      </c>
      <c r="R33" s="8">
        <v>209</v>
      </c>
      <c r="S33" s="8">
        <v>228</v>
      </c>
      <c r="T33" s="8">
        <v>181</v>
      </c>
      <c r="U33" s="8">
        <v>184</v>
      </c>
      <c r="V33" s="8">
        <v>163</v>
      </c>
      <c r="W33" s="8">
        <v>171</v>
      </c>
      <c r="X33" s="8">
        <v>162</v>
      </c>
      <c r="Y33" s="8">
        <v>152</v>
      </c>
      <c r="Z33" s="8">
        <v>137</v>
      </c>
      <c r="AA33" s="8">
        <v>143</v>
      </c>
      <c r="AB33" s="8">
        <v>111</v>
      </c>
      <c r="AC33" s="8">
        <v>70</v>
      </c>
      <c r="AD33" s="8">
        <v>72</v>
      </c>
      <c r="AE33" s="8">
        <v>90</v>
      </c>
      <c r="AF33" s="9">
        <v>81</v>
      </c>
      <c r="AG33" s="8">
        <v>82</v>
      </c>
    </row>
    <row r="34" spans="1:33" ht="15.75" x14ac:dyDescent="0.25">
      <c r="A34" s="7" t="s">
        <v>149</v>
      </c>
      <c r="B34" s="8">
        <v>210</v>
      </c>
      <c r="C34" s="8">
        <v>170</v>
      </c>
      <c r="D34" s="8">
        <v>196</v>
      </c>
      <c r="E34" s="8">
        <v>268</v>
      </c>
      <c r="F34" s="8">
        <v>524</v>
      </c>
      <c r="G34" s="8">
        <v>415</v>
      </c>
      <c r="H34" s="8">
        <v>404</v>
      </c>
      <c r="I34" s="8">
        <v>442</v>
      </c>
      <c r="J34" s="8">
        <v>288</v>
      </c>
      <c r="K34" s="8">
        <v>263</v>
      </c>
      <c r="L34" s="8">
        <v>238</v>
      </c>
      <c r="M34" s="8">
        <v>203</v>
      </c>
      <c r="N34" s="8">
        <v>192</v>
      </c>
      <c r="O34" s="8">
        <v>189</v>
      </c>
      <c r="P34" s="8">
        <v>155</v>
      </c>
      <c r="Q34" s="8">
        <v>179</v>
      </c>
      <c r="R34" s="8">
        <v>170</v>
      </c>
      <c r="S34" s="8">
        <v>178</v>
      </c>
      <c r="T34" s="8">
        <v>144</v>
      </c>
      <c r="U34" s="8">
        <v>153</v>
      </c>
      <c r="V34" s="8">
        <v>119</v>
      </c>
      <c r="W34" s="8">
        <v>139</v>
      </c>
      <c r="X34" s="8">
        <v>130</v>
      </c>
      <c r="Y34" s="8">
        <v>111</v>
      </c>
      <c r="Z34" s="8">
        <v>108</v>
      </c>
      <c r="AA34" s="8">
        <v>109</v>
      </c>
      <c r="AB34" s="8">
        <v>84</v>
      </c>
      <c r="AC34" s="8">
        <v>47</v>
      </c>
      <c r="AD34" s="8">
        <v>53</v>
      </c>
      <c r="AE34" s="8">
        <v>46</v>
      </c>
      <c r="AF34" s="9">
        <v>50</v>
      </c>
      <c r="AG34" s="8">
        <v>53</v>
      </c>
    </row>
    <row r="35" spans="1:33" ht="15.75" x14ac:dyDescent="0.25">
      <c r="A35" s="7" t="s">
        <v>150</v>
      </c>
      <c r="B35" s="8">
        <v>9</v>
      </c>
      <c r="C35" s="8">
        <v>21</v>
      </c>
      <c r="D35" s="8">
        <v>8</v>
      </c>
      <c r="E35" s="8">
        <v>33</v>
      </c>
      <c r="F35" s="8">
        <v>53</v>
      </c>
      <c r="G35" s="8">
        <v>122</v>
      </c>
      <c r="H35" s="8">
        <v>52</v>
      </c>
      <c r="I35" s="8">
        <v>63</v>
      </c>
      <c r="J35" s="8">
        <v>97</v>
      </c>
      <c r="K35" s="8">
        <v>82</v>
      </c>
      <c r="L35" s="8">
        <v>62</v>
      </c>
      <c r="M35" s="8">
        <v>53</v>
      </c>
      <c r="N35" s="8">
        <v>59</v>
      </c>
      <c r="O35" s="8">
        <v>49</v>
      </c>
      <c r="P35" s="8">
        <v>40</v>
      </c>
      <c r="Q35" s="8">
        <v>42</v>
      </c>
      <c r="R35" s="8">
        <v>39</v>
      </c>
      <c r="S35" s="8">
        <v>50</v>
      </c>
      <c r="T35" s="8">
        <v>37</v>
      </c>
      <c r="U35" s="8">
        <v>32</v>
      </c>
      <c r="V35" s="8">
        <v>44</v>
      </c>
      <c r="W35" s="8">
        <v>32</v>
      </c>
      <c r="X35" s="8">
        <v>32</v>
      </c>
      <c r="Y35" s="8">
        <v>41</v>
      </c>
      <c r="Z35" s="8">
        <v>29</v>
      </c>
      <c r="AA35" s="8">
        <v>34</v>
      </c>
      <c r="AB35" s="8">
        <v>27</v>
      </c>
      <c r="AC35" s="8">
        <v>22</v>
      </c>
      <c r="AD35" s="8">
        <v>19</v>
      </c>
      <c r="AE35" s="8">
        <v>44</v>
      </c>
      <c r="AF35" s="9">
        <v>31</v>
      </c>
      <c r="AG35" s="8">
        <v>29</v>
      </c>
    </row>
    <row r="36" spans="1:33" ht="15.75" x14ac:dyDescent="0.25">
      <c r="A36" s="7" t="s">
        <v>154</v>
      </c>
      <c r="B36" s="8">
        <v>4</v>
      </c>
      <c r="C36" s="8">
        <v>21</v>
      </c>
      <c r="D36" s="8">
        <v>32</v>
      </c>
      <c r="E36" s="8">
        <v>50</v>
      </c>
      <c r="F36" s="8">
        <v>102</v>
      </c>
      <c r="G36" s="8">
        <v>96</v>
      </c>
      <c r="H36" s="8">
        <v>107</v>
      </c>
      <c r="I36" s="8">
        <v>115</v>
      </c>
      <c r="J36" s="8">
        <v>80</v>
      </c>
      <c r="K36" s="8">
        <v>56</v>
      </c>
      <c r="L36" s="8">
        <v>72</v>
      </c>
      <c r="M36" s="8">
        <v>54</v>
      </c>
      <c r="N36" s="8">
        <v>54</v>
      </c>
      <c r="O36" s="8">
        <v>58</v>
      </c>
      <c r="P36" s="8">
        <v>53</v>
      </c>
      <c r="Q36" s="8">
        <v>54</v>
      </c>
      <c r="R36" s="8">
        <v>59</v>
      </c>
      <c r="S36" s="8">
        <v>69</v>
      </c>
      <c r="T36" s="8">
        <v>50</v>
      </c>
      <c r="U36" s="8">
        <v>63</v>
      </c>
      <c r="V36" s="8">
        <v>48</v>
      </c>
      <c r="W36" s="8">
        <v>54</v>
      </c>
      <c r="X36" s="8">
        <v>43</v>
      </c>
      <c r="Y36" s="8">
        <v>35</v>
      </c>
      <c r="Z36" s="8">
        <v>47</v>
      </c>
      <c r="AA36" s="8">
        <v>39</v>
      </c>
      <c r="AB36" s="8">
        <v>21</v>
      </c>
      <c r="AC36" s="8">
        <v>37</v>
      </c>
      <c r="AD36" s="8">
        <v>36</v>
      </c>
      <c r="AE36" s="8">
        <v>23</v>
      </c>
      <c r="AF36" s="9">
        <v>36</v>
      </c>
      <c r="AG36" s="8">
        <v>24</v>
      </c>
    </row>
    <row r="37" spans="1:33" ht="30" customHeight="1" x14ac:dyDescent="0.25">
      <c r="A37" s="4" t="s">
        <v>156</v>
      </c>
      <c r="B37" s="5">
        <v>1323</v>
      </c>
      <c r="C37" s="5">
        <v>1366</v>
      </c>
      <c r="D37" s="5">
        <v>1297</v>
      </c>
      <c r="E37" s="5">
        <v>1457</v>
      </c>
      <c r="F37" s="5">
        <v>1622</v>
      </c>
      <c r="G37" s="5">
        <v>1559</v>
      </c>
      <c r="H37" s="5">
        <v>1380</v>
      </c>
      <c r="I37" s="5">
        <v>1240</v>
      </c>
      <c r="J37" s="5">
        <v>981</v>
      </c>
      <c r="K37" s="5">
        <v>944</v>
      </c>
      <c r="L37" s="5">
        <v>899</v>
      </c>
      <c r="M37" s="5">
        <v>840</v>
      </c>
      <c r="N37" s="5">
        <v>812</v>
      </c>
      <c r="O37" s="5">
        <v>869</v>
      </c>
      <c r="P37" s="5">
        <v>777</v>
      </c>
      <c r="Q37" s="5">
        <v>854</v>
      </c>
      <c r="R37" s="5">
        <v>875</v>
      </c>
      <c r="S37" s="5">
        <v>939</v>
      </c>
      <c r="T37" s="5">
        <v>1121</v>
      </c>
      <c r="U37" s="5">
        <v>1017</v>
      </c>
      <c r="V37" s="5">
        <v>774</v>
      </c>
      <c r="W37" s="5">
        <v>760</v>
      </c>
      <c r="X37" s="5">
        <v>671</v>
      </c>
      <c r="Y37" s="5">
        <v>588</v>
      </c>
      <c r="Z37" s="5">
        <v>593</v>
      </c>
      <c r="AA37" s="5">
        <v>651</v>
      </c>
      <c r="AB37" s="5">
        <v>581</v>
      </c>
      <c r="AC37" s="5">
        <v>613</v>
      </c>
      <c r="AD37" s="5">
        <v>556</v>
      </c>
      <c r="AE37" s="5">
        <v>656</v>
      </c>
      <c r="AF37" s="6">
        <v>606</v>
      </c>
      <c r="AG37" s="5">
        <v>657</v>
      </c>
    </row>
    <row r="38" spans="1:33" ht="15.75" x14ac:dyDescent="0.25">
      <c r="A38" s="7" t="s">
        <v>157</v>
      </c>
      <c r="B38" s="8">
        <v>154</v>
      </c>
      <c r="C38" s="8">
        <v>152</v>
      </c>
      <c r="D38" s="8">
        <v>129</v>
      </c>
      <c r="E38" s="8">
        <v>96</v>
      </c>
      <c r="F38" s="8">
        <v>195</v>
      </c>
      <c r="G38" s="8">
        <v>220</v>
      </c>
      <c r="H38" s="8">
        <v>174</v>
      </c>
      <c r="I38" s="8">
        <v>160</v>
      </c>
      <c r="J38" s="8">
        <v>125</v>
      </c>
      <c r="K38" s="8">
        <v>112</v>
      </c>
      <c r="L38" s="8">
        <v>122</v>
      </c>
      <c r="M38" s="8">
        <v>114</v>
      </c>
      <c r="N38" s="8">
        <v>93</v>
      </c>
      <c r="O38" s="8">
        <v>87</v>
      </c>
      <c r="P38" s="8">
        <v>85</v>
      </c>
      <c r="Q38" s="8">
        <v>87</v>
      </c>
      <c r="R38" s="8">
        <v>91</v>
      </c>
      <c r="S38" s="8">
        <v>97</v>
      </c>
      <c r="T38" s="8">
        <v>80</v>
      </c>
      <c r="U38" s="8">
        <v>101</v>
      </c>
      <c r="V38" s="8">
        <v>73</v>
      </c>
      <c r="W38" s="8">
        <v>76</v>
      </c>
      <c r="X38" s="8">
        <v>68</v>
      </c>
      <c r="Y38" s="8">
        <v>70</v>
      </c>
      <c r="Z38" s="8">
        <v>68</v>
      </c>
      <c r="AA38" s="8">
        <v>66</v>
      </c>
      <c r="AB38" s="8">
        <v>72</v>
      </c>
      <c r="AC38" s="8">
        <v>53</v>
      </c>
      <c r="AD38" s="8">
        <v>39</v>
      </c>
      <c r="AE38" s="8">
        <v>34</v>
      </c>
      <c r="AF38" s="9">
        <v>44</v>
      </c>
      <c r="AG38" s="8">
        <v>28</v>
      </c>
    </row>
    <row r="39" spans="1:33" ht="15.75" x14ac:dyDescent="0.25">
      <c r="A39" s="7" t="s">
        <v>158</v>
      </c>
      <c r="B39" s="8">
        <v>1169</v>
      </c>
      <c r="C39" s="8">
        <v>1214</v>
      </c>
      <c r="D39" s="8">
        <v>1168</v>
      </c>
      <c r="E39" s="8">
        <v>1361</v>
      </c>
      <c r="F39" s="8">
        <v>1428</v>
      </c>
      <c r="G39" s="8">
        <v>1339</v>
      </c>
      <c r="H39" s="8">
        <v>1206</v>
      </c>
      <c r="I39" s="8">
        <v>1080</v>
      </c>
      <c r="J39" s="8">
        <v>857</v>
      </c>
      <c r="K39" s="8">
        <v>832</v>
      </c>
      <c r="L39" s="8">
        <v>777</v>
      </c>
      <c r="M39" s="8">
        <v>726</v>
      </c>
      <c r="N39" s="8">
        <v>718</v>
      </c>
      <c r="O39" s="8">
        <v>782</v>
      </c>
      <c r="P39" s="8">
        <v>692</v>
      </c>
      <c r="Q39" s="8">
        <v>767</v>
      </c>
      <c r="R39" s="8">
        <v>784</v>
      </c>
      <c r="S39" s="8">
        <v>842</v>
      </c>
      <c r="T39" s="8">
        <v>1041</v>
      </c>
      <c r="U39" s="8">
        <v>916</v>
      </c>
      <c r="V39" s="8">
        <v>701</v>
      </c>
      <c r="W39" s="8">
        <v>683</v>
      </c>
      <c r="X39" s="8">
        <v>603</v>
      </c>
      <c r="Y39" s="8">
        <v>518</v>
      </c>
      <c r="Z39" s="8">
        <v>525</v>
      </c>
      <c r="AA39" s="8">
        <v>584</v>
      </c>
      <c r="AB39" s="8">
        <v>509</v>
      </c>
      <c r="AC39" s="8">
        <v>560</v>
      </c>
      <c r="AD39" s="8">
        <v>517</v>
      </c>
      <c r="AE39" s="8">
        <v>622</v>
      </c>
      <c r="AF39" s="9">
        <v>562</v>
      </c>
      <c r="AG39" s="8">
        <v>629</v>
      </c>
    </row>
    <row r="40" spans="1:33" ht="30" customHeight="1" x14ac:dyDescent="0.25">
      <c r="A40" s="4" t="s">
        <v>159</v>
      </c>
      <c r="B40" s="5">
        <v>1757</v>
      </c>
      <c r="C40" s="5">
        <v>2118</v>
      </c>
      <c r="D40" s="5">
        <v>2953</v>
      </c>
      <c r="E40" s="5">
        <v>3823</v>
      </c>
      <c r="F40" s="5">
        <v>4337</v>
      </c>
      <c r="G40" s="5">
        <v>4304</v>
      </c>
      <c r="H40" s="5">
        <v>3452</v>
      </c>
      <c r="I40" s="5">
        <v>2939</v>
      </c>
      <c r="J40" s="5">
        <v>2487</v>
      </c>
      <c r="K40" s="5">
        <v>2306</v>
      </c>
      <c r="L40" s="5">
        <v>2062</v>
      </c>
      <c r="M40" s="5">
        <v>1831</v>
      </c>
      <c r="N40" s="5">
        <v>1676</v>
      </c>
      <c r="O40" s="5">
        <v>1631</v>
      </c>
      <c r="P40" s="5">
        <v>1440</v>
      </c>
      <c r="Q40" s="5">
        <v>1449</v>
      </c>
      <c r="R40" s="5">
        <v>1198</v>
      </c>
      <c r="S40" s="5">
        <v>1171</v>
      </c>
      <c r="T40" s="5">
        <v>1201</v>
      </c>
      <c r="U40" s="5">
        <v>1021</v>
      </c>
      <c r="V40" s="5">
        <v>932</v>
      </c>
      <c r="W40" s="5">
        <v>919</v>
      </c>
      <c r="X40" s="5">
        <v>877</v>
      </c>
      <c r="Y40" s="5">
        <v>787</v>
      </c>
      <c r="Z40" s="5">
        <v>918</v>
      </c>
      <c r="AA40" s="5">
        <v>900</v>
      </c>
      <c r="AB40" s="5">
        <v>886</v>
      </c>
      <c r="AC40" s="5">
        <v>726</v>
      </c>
      <c r="AD40" s="5">
        <v>732</v>
      </c>
      <c r="AE40" s="5">
        <v>666</v>
      </c>
      <c r="AF40" s="6">
        <v>747</v>
      </c>
      <c r="AG40" s="5">
        <v>649</v>
      </c>
    </row>
    <row r="41" spans="1:33" ht="15.75" x14ac:dyDescent="0.25">
      <c r="A41" s="7" t="s">
        <v>160</v>
      </c>
      <c r="B41" s="8">
        <v>1290</v>
      </c>
      <c r="C41" s="8">
        <v>1540</v>
      </c>
      <c r="D41" s="8">
        <v>2125</v>
      </c>
      <c r="E41" s="8">
        <v>2424</v>
      </c>
      <c r="F41" s="8">
        <v>2561</v>
      </c>
      <c r="G41" s="8">
        <v>2524</v>
      </c>
      <c r="H41" s="8">
        <v>2135</v>
      </c>
      <c r="I41" s="8">
        <v>1801</v>
      </c>
      <c r="J41" s="8">
        <v>1495</v>
      </c>
      <c r="K41" s="8">
        <v>1391</v>
      </c>
      <c r="L41" s="8">
        <v>1297</v>
      </c>
      <c r="M41" s="8">
        <v>1175</v>
      </c>
      <c r="N41" s="8">
        <v>1087</v>
      </c>
      <c r="O41" s="8">
        <v>1089</v>
      </c>
      <c r="P41" s="8">
        <v>954</v>
      </c>
      <c r="Q41" s="8">
        <v>1016</v>
      </c>
      <c r="R41" s="8">
        <v>827</v>
      </c>
      <c r="S41" s="8">
        <v>847</v>
      </c>
      <c r="T41" s="8">
        <v>882</v>
      </c>
      <c r="U41" s="8">
        <v>756</v>
      </c>
      <c r="V41" s="8">
        <v>718</v>
      </c>
      <c r="W41" s="8">
        <v>664</v>
      </c>
      <c r="X41" s="8">
        <v>643</v>
      </c>
      <c r="Y41" s="8">
        <v>573</v>
      </c>
      <c r="Z41" s="8">
        <v>652</v>
      </c>
      <c r="AA41" s="8">
        <v>648</v>
      </c>
      <c r="AB41" s="8">
        <v>634</v>
      </c>
      <c r="AC41" s="8">
        <v>499</v>
      </c>
      <c r="AD41" s="8">
        <v>465</v>
      </c>
      <c r="AE41" s="8">
        <v>437</v>
      </c>
      <c r="AF41" s="9">
        <v>478</v>
      </c>
      <c r="AG41" s="8">
        <v>424</v>
      </c>
    </row>
    <row r="42" spans="1:33" ht="15.75" x14ac:dyDescent="0.25">
      <c r="A42" s="7" t="s">
        <v>161</v>
      </c>
      <c r="B42" s="8">
        <v>286</v>
      </c>
      <c r="C42" s="8">
        <v>284</v>
      </c>
      <c r="D42" s="8">
        <v>398</v>
      </c>
      <c r="E42" s="8">
        <v>516</v>
      </c>
      <c r="F42" s="8">
        <v>550</v>
      </c>
      <c r="G42" s="8">
        <v>497</v>
      </c>
      <c r="H42" s="8">
        <v>372</v>
      </c>
      <c r="I42" s="8">
        <v>327</v>
      </c>
      <c r="J42" s="8">
        <v>314</v>
      </c>
      <c r="K42" s="8">
        <v>272</v>
      </c>
      <c r="L42" s="8">
        <v>234</v>
      </c>
      <c r="M42" s="8">
        <v>208</v>
      </c>
      <c r="N42" s="8">
        <v>178</v>
      </c>
      <c r="O42" s="8">
        <v>172</v>
      </c>
      <c r="P42" s="8">
        <v>154</v>
      </c>
      <c r="Q42" s="8">
        <v>141</v>
      </c>
      <c r="R42" s="8">
        <v>111</v>
      </c>
      <c r="S42" s="8">
        <v>93</v>
      </c>
      <c r="T42" s="8">
        <v>93</v>
      </c>
      <c r="U42" s="8">
        <v>89</v>
      </c>
      <c r="V42" s="8">
        <v>62</v>
      </c>
      <c r="W42" s="8">
        <v>62</v>
      </c>
      <c r="X42" s="8">
        <v>79</v>
      </c>
      <c r="Y42" s="8">
        <v>58</v>
      </c>
      <c r="Z42" s="8">
        <v>82</v>
      </c>
      <c r="AA42" s="8">
        <v>81</v>
      </c>
      <c r="AB42" s="8">
        <v>80</v>
      </c>
      <c r="AC42" s="8">
        <v>98</v>
      </c>
      <c r="AD42" s="8">
        <v>93</v>
      </c>
      <c r="AE42" s="8">
        <v>102</v>
      </c>
      <c r="AF42" s="9">
        <v>100</v>
      </c>
      <c r="AG42" s="8">
        <v>96</v>
      </c>
    </row>
    <row r="43" spans="1:33" ht="15.75" x14ac:dyDescent="0.25">
      <c r="A43" s="7" t="s">
        <v>162</v>
      </c>
      <c r="B43" s="8">
        <v>180</v>
      </c>
      <c r="C43" s="8">
        <v>294</v>
      </c>
      <c r="D43" s="8">
        <v>431</v>
      </c>
      <c r="E43" s="8">
        <v>883</v>
      </c>
      <c r="F43" s="8">
        <v>1227</v>
      </c>
      <c r="G43" s="8">
        <v>1283</v>
      </c>
      <c r="H43" s="8">
        <v>945</v>
      </c>
      <c r="I43" s="8">
        <v>811</v>
      </c>
      <c r="J43" s="8">
        <v>679</v>
      </c>
      <c r="K43" s="8">
        <v>643</v>
      </c>
      <c r="L43" s="8">
        <v>530</v>
      </c>
      <c r="M43" s="8">
        <v>448</v>
      </c>
      <c r="N43" s="8">
        <v>411</v>
      </c>
      <c r="O43" s="8">
        <v>370</v>
      </c>
      <c r="P43" s="8">
        <v>332</v>
      </c>
      <c r="Q43" s="8">
        <v>292</v>
      </c>
      <c r="R43" s="8">
        <v>260</v>
      </c>
      <c r="S43" s="8">
        <v>230</v>
      </c>
      <c r="T43" s="8">
        <v>226</v>
      </c>
      <c r="U43" s="8">
        <v>176</v>
      </c>
      <c r="V43" s="8">
        <v>152</v>
      </c>
      <c r="W43" s="8">
        <v>194</v>
      </c>
      <c r="X43" s="8">
        <v>155</v>
      </c>
      <c r="Y43" s="8">
        <v>156</v>
      </c>
      <c r="Z43" s="8">
        <v>185</v>
      </c>
      <c r="AA43" s="8">
        <v>171</v>
      </c>
      <c r="AB43" s="8">
        <v>173</v>
      </c>
      <c r="AC43" s="8">
        <v>128</v>
      </c>
      <c r="AD43" s="8">
        <v>174</v>
      </c>
      <c r="AE43" s="8">
        <v>127</v>
      </c>
      <c r="AF43" s="9">
        <v>169</v>
      </c>
      <c r="AG43" s="8">
        <v>129</v>
      </c>
    </row>
    <row r="44" spans="1:33" ht="30" customHeight="1" x14ac:dyDescent="0.25">
      <c r="A44" s="4" t="s">
        <v>163</v>
      </c>
      <c r="B44" s="5">
        <v>217</v>
      </c>
      <c r="C44" s="5">
        <v>288</v>
      </c>
      <c r="D44" s="5">
        <v>389</v>
      </c>
      <c r="E44" s="5">
        <v>601</v>
      </c>
      <c r="F44" s="5">
        <v>578</v>
      </c>
      <c r="G44" s="5">
        <v>657</v>
      </c>
      <c r="H44" s="5">
        <v>526</v>
      </c>
      <c r="I44" s="5">
        <v>395</v>
      </c>
      <c r="J44" s="5">
        <v>359</v>
      </c>
      <c r="K44" s="5">
        <v>348</v>
      </c>
      <c r="L44" s="5">
        <v>363</v>
      </c>
      <c r="M44" s="5">
        <v>391</v>
      </c>
      <c r="N44" s="5">
        <v>424</v>
      </c>
      <c r="O44" s="5">
        <v>456</v>
      </c>
      <c r="P44" s="5">
        <v>427</v>
      </c>
      <c r="Q44" s="5">
        <v>520</v>
      </c>
      <c r="R44" s="5">
        <v>466</v>
      </c>
      <c r="S44" s="5">
        <v>515</v>
      </c>
      <c r="T44" s="5">
        <v>441</v>
      </c>
      <c r="U44" s="5">
        <v>452</v>
      </c>
      <c r="V44" s="5">
        <v>375</v>
      </c>
      <c r="W44" s="5">
        <v>380</v>
      </c>
      <c r="X44" s="5">
        <v>326</v>
      </c>
      <c r="Y44" s="5">
        <v>292</v>
      </c>
      <c r="Z44" s="5">
        <v>295</v>
      </c>
      <c r="AA44" s="5">
        <v>315</v>
      </c>
      <c r="AB44" s="5">
        <v>271</v>
      </c>
      <c r="AC44" s="5">
        <v>230</v>
      </c>
      <c r="AD44" s="5">
        <v>203</v>
      </c>
      <c r="AE44" s="5">
        <v>183</v>
      </c>
      <c r="AF44" s="6">
        <v>207</v>
      </c>
      <c r="AG44" s="5">
        <v>185</v>
      </c>
    </row>
    <row r="45" spans="1:33" ht="30" customHeight="1" x14ac:dyDescent="0.25">
      <c r="A45" s="4" t="s">
        <v>164</v>
      </c>
      <c r="B45" s="5">
        <v>2784</v>
      </c>
      <c r="C45" s="5">
        <v>2833</v>
      </c>
      <c r="D45" s="5">
        <v>2976</v>
      </c>
      <c r="E45" s="5">
        <v>2676</v>
      </c>
      <c r="F45" s="5">
        <v>3301</v>
      </c>
      <c r="G45" s="5">
        <v>3386</v>
      </c>
      <c r="H45" s="5">
        <v>3060</v>
      </c>
      <c r="I45" s="5">
        <v>2895</v>
      </c>
      <c r="J45" s="5">
        <v>2672</v>
      </c>
      <c r="K45" s="5">
        <v>2592</v>
      </c>
      <c r="L45" s="5">
        <v>2468</v>
      </c>
      <c r="M45" s="5">
        <v>2526</v>
      </c>
      <c r="N45" s="5">
        <v>2680</v>
      </c>
      <c r="O45" s="5">
        <v>2937</v>
      </c>
      <c r="P45" s="5">
        <v>2634</v>
      </c>
      <c r="Q45" s="5">
        <v>2696</v>
      </c>
      <c r="R45" s="5">
        <v>2395</v>
      </c>
      <c r="S45" s="5">
        <v>2174</v>
      </c>
      <c r="T45" s="5">
        <v>2032</v>
      </c>
      <c r="U45" s="5">
        <v>1738</v>
      </c>
      <c r="V45" s="5">
        <v>1446</v>
      </c>
      <c r="W45" s="5">
        <v>1337</v>
      </c>
      <c r="X45" s="5">
        <v>1210</v>
      </c>
      <c r="Y45" s="5">
        <v>1169</v>
      </c>
      <c r="Z45" s="5">
        <v>1083</v>
      </c>
      <c r="AA45" s="5">
        <v>1145</v>
      </c>
      <c r="AB45" s="5">
        <v>997</v>
      </c>
      <c r="AC45" s="5">
        <v>664</v>
      </c>
      <c r="AD45" s="5">
        <v>664</v>
      </c>
      <c r="AE45" s="5">
        <v>608</v>
      </c>
      <c r="AF45" s="6">
        <v>668</v>
      </c>
      <c r="AG45" s="5">
        <v>587</v>
      </c>
    </row>
    <row r="46" spans="1:33" ht="15.75" x14ac:dyDescent="0.25">
      <c r="A46" s="7" t="s">
        <v>165</v>
      </c>
      <c r="B46" s="8">
        <v>1592</v>
      </c>
      <c r="C46" s="8">
        <v>1720</v>
      </c>
      <c r="D46" s="8">
        <v>1638</v>
      </c>
      <c r="E46" s="8">
        <v>1669</v>
      </c>
      <c r="F46" s="8">
        <v>1781</v>
      </c>
      <c r="G46" s="8">
        <v>1847</v>
      </c>
      <c r="H46" s="8">
        <v>1667</v>
      </c>
      <c r="I46" s="8">
        <v>1601</v>
      </c>
      <c r="J46" s="8">
        <v>1511</v>
      </c>
      <c r="K46" s="8">
        <v>1521</v>
      </c>
      <c r="L46" s="8">
        <v>1417</v>
      </c>
      <c r="M46" s="8">
        <v>1534</v>
      </c>
      <c r="N46" s="8">
        <v>1651</v>
      </c>
      <c r="O46" s="8">
        <v>1846</v>
      </c>
      <c r="P46" s="8">
        <v>1686</v>
      </c>
      <c r="Q46" s="8">
        <v>1776</v>
      </c>
      <c r="R46" s="8">
        <v>1554</v>
      </c>
      <c r="S46" s="8">
        <v>1449</v>
      </c>
      <c r="T46" s="8">
        <v>1349</v>
      </c>
      <c r="U46" s="8">
        <v>1206</v>
      </c>
      <c r="V46" s="8">
        <v>999</v>
      </c>
      <c r="W46" s="8">
        <v>878</v>
      </c>
      <c r="X46" s="8">
        <v>832</v>
      </c>
      <c r="Y46" s="8">
        <v>797</v>
      </c>
      <c r="Z46" s="8">
        <v>693</v>
      </c>
      <c r="AA46" s="8">
        <v>814</v>
      </c>
      <c r="AB46" s="8">
        <v>675</v>
      </c>
      <c r="AC46" s="8">
        <v>439</v>
      </c>
      <c r="AD46" s="8">
        <v>402</v>
      </c>
      <c r="AE46" s="8">
        <v>373</v>
      </c>
      <c r="AF46" s="9">
        <v>422</v>
      </c>
      <c r="AG46" s="8">
        <v>367</v>
      </c>
    </row>
    <row r="47" spans="1:33" ht="15.75" x14ac:dyDescent="0.25">
      <c r="A47" s="7" t="s">
        <v>166</v>
      </c>
      <c r="B47" s="8">
        <v>1192</v>
      </c>
      <c r="C47" s="8">
        <v>1114</v>
      </c>
      <c r="D47" s="8">
        <v>1337</v>
      </c>
      <c r="E47" s="8">
        <v>1008</v>
      </c>
      <c r="F47" s="8">
        <v>1520</v>
      </c>
      <c r="G47" s="8">
        <v>1538</v>
      </c>
      <c r="H47" s="8">
        <v>1393</v>
      </c>
      <c r="I47" s="8">
        <v>1294</v>
      </c>
      <c r="J47" s="8">
        <v>1161</v>
      </c>
      <c r="K47" s="8">
        <v>1072</v>
      </c>
      <c r="L47" s="8">
        <v>1050</v>
      </c>
      <c r="M47" s="8">
        <v>992</v>
      </c>
      <c r="N47" s="8">
        <v>1029</v>
      </c>
      <c r="O47" s="8">
        <v>1090</v>
      </c>
      <c r="P47" s="8">
        <v>949</v>
      </c>
      <c r="Q47" s="8">
        <v>920</v>
      </c>
      <c r="R47" s="8">
        <v>841</v>
      </c>
      <c r="S47" s="8">
        <v>725</v>
      </c>
      <c r="T47" s="8">
        <v>683</v>
      </c>
      <c r="U47" s="8">
        <v>532</v>
      </c>
      <c r="V47" s="8">
        <v>448</v>
      </c>
      <c r="W47" s="8">
        <v>460</v>
      </c>
      <c r="X47" s="8">
        <v>378</v>
      </c>
      <c r="Y47" s="8">
        <v>372</v>
      </c>
      <c r="Z47" s="8">
        <v>390</v>
      </c>
      <c r="AA47" s="8">
        <v>331</v>
      </c>
      <c r="AB47" s="8">
        <v>323</v>
      </c>
      <c r="AC47" s="8">
        <v>225</v>
      </c>
      <c r="AD47" s="8">
        <v>263</v>
      </c>
      <c r="AE47" s="8">
        <v>235</v>
      </c>
      <c r="AF47" s="9">
        <v>245</v>
      </c>
      <c r="AG47" s="8">
        <v>220</v>
      </c>
    </row>
    <row r="48" spans="1:33" ht="30" customHeight="1" x14ac:dyDescent="0.25">
      <c r="A48" s="10" t="s">
        <v>167</v>
      </c>
      <c r="B48" s="11">
        <v>9916</v>
      </c>
      <c r="C48" s="11">
        <v>11030</v>
      </c>
      <c r="D48" s="11">
        <v>10392</v>
      </c>
      <c r="E48" s="11">
        <v>10043</v>
      </c>
      <c r="F48" s="11">
        <v>14491</v>
      </c>
      <c r="G48" s="11">
        <v>16310</v>
      </c>
      <c r="H48" s="11">
        <v>14900</v>
      </c>
      <c r="I48" s="11">
        <v>19357</v>
      </c>
      <c r="J48" s="11">
        <v>32782</v>
      </c>
      <c r="K48" s="11">
        <v>36447</v>
      </c>
      <c r="L48" s="11">
        <v>37890</v>
      </c>
      <c r="M48" s="11">
        <v>45081</v>
      </c>
      <c r="N48" s="11">
        <v>47768</v>
      </c>
      <c r="O48" s="11">
        <v>47173</v>
      </c>
      <c r="P48" s="11">
        <v>46942</v>
      </c>
      <c r="Q48" s="11">
        <v>46254</v>
      </c>
      <c r="R48" s="11">
        <v>44611</v>
      </c>
      <c r="S48" s="11">
        <v>46728</v>
      </c>
      <c r="T48" s="11">
        <v>45998</v>
      </c>
      <c r="U48" s="11">
        <v>34851</v>
      </c>
      <c r="V48" s="11">
        <v>35339</v>
      </c>
      <c r="W48" s="11">
        <v>33299</v>
      </c>
      <c r="X48" s="11">
        <v>35248</v>
      </c>
      <c r="Y48" s="11">
        <v>35334</v>
      </c>
      <c r="Z48" s="11">
        <v>34636</v>
      </c>
      <c r="AA48" s="11">
        <v>34103</v>
      </c>
      <c r="AB48" s="11">
        <v>33655</v>
      </c>
      <c r="AC48" s="11">
        <v>30822</v>
      </c>
      <c r="AD48" s="11">
        <v>30704</v>
      </c>
      <c r="AE48" s="11">
        <v>31375</v>
      </c>
      <c r="AF48" s="12">
        <v>31647</v>
      </c>
      <c r="AG48" s="11">
        <v>31631</v>
      </c>
    </row>
    <row r="49" spans="1:33" ht="30" customHeight="1" x14ac:dyDescent="0.25">
      <c r="A49" s="4" t="s">
        <v>168</v>
      </c>
      <c r="B49" s="5">
        <v>11303</v>
      </c>
      <c r="C49" s="5">
        <v>12128</v>
      </c>
      <c r="D49" s="5">
        <v>13647</v>
      </c>
      <c r="E49" s="5">
        <v>15564</v>
      </c>
      <c r="F49" s="5">
        <v>18835</v>
      </c>
      <c r="G49" s="5">
        <v>19786</v>
      </c>
      <c r="H49" s="5">
        <v>17168</v>
      </c>
      <c r="I49" s="5">
        <v>15247</v>
      </c>
      <c r="J49" s="5">
        <v>12771</v>
      </c>
      <c r="K49" s="5">
        <v>12390</v>
      </c>
      <c r="L49" s="5">
        <v>11609</v>
      </c>
      <c r="M49" s="5">
        <v>10778</v>
      </c>
      <c r="N49" s="5">
        <v>10863</v>
      </c>
      <c r="O49" s="5">
        <v>11182</v>
      </c>
      <c r="P49" s="5">
        <v>10040</v>
      </c>
      <c r="Q49" s="5">
        <v>10432</v>
      </c>
      <c r="R49" s="5">
        <v>9544</v>
      </c>
      <c r="S49" s="5">
        <v>9711</v>
      </c>
      <c r="T49" s="5">
        <v>9593</v>
      </c>
      <c r="U49" s="5">
        <v>8757</v>
      </c>
      <c r="V49" s="5">
        <v>7554</v>
      </c>
      <c r="W49" s="5">
        <v>7177</v>
      </c>
      <c r="X49" s="5">
        <v>6529</v>
      </c>
      <c r="Y49" s="5">
        <v>6057</v>
      </c>
      <c r="Z49" s="5">
        <v>6247</v>
      </c>
      <c r="AA49" s="5">
        <v>6431</v>
      </c>
      <c r="AB49" s="5">
        <v>5661</v>
      </c>
      <c r="AC49" s="5">
        <v>4385</v>
      </c>
      <c r="AD49" s="5">
        <v>4589</v>
      </c>
      <c r="AE49" s="5">
        <v>4595</v>
      </c>
      <c r="AF49" s="6">
        <v>4722</v>
      </c>
      <c r="AG49" s="5">
        <v>4538</v>
      </c>
    </row>
    <row r="50" spans="1:33" ht="30" customHeight="1" x14ac:dyDescent="0.25">
      <c r="A50" s="10" t="s">
        <v>146</v>
      </c>
      <c r="B50" s="11">
        <v>9898</v>
      </c>
      <c r="C50" s="11">
        <v>11017</v>
      </c>
      <c r="D50" s="11">
        <v>10391</v>
      </c>
      <c r="E50" s="11">
        <v>10059</v>
      </c>
      <c r="F50" s="11">
        <v>14510</v>
      </c>
      <c r="G50" s="11">
        <v>16337</v>
      </c>
      <c r="H50" s="11">
        <v>14937</v>
      </c>
      <c r="I50" s="11">
        <v>19398</v>
      </c>
      <c r="J50" s="11">
        <v>32787</v>
      </c>
      <c r="K50" s="11">
        <v>36450</v>
      </c>
      <c r="L50" s="11">
        <v>37891</v>
      </c>
      <c r="M50" s="11">
        <v>45118</v>
      </c>
      <c r="N50" s="11">
        <v>47796</v>
      </c>
      <c r="O50" s="11">
        <v>47138</v>
      </c>
      <c r="P50" s="11">
        <v>46911</v>
      </c>
      <c r="Q50" s="11">
        <v>46220</v>
      </c>
      <c r="R50" s="11">
        <v>44559</v>
      </c>
      <c r="S50" s="11">
        <v>46754</v>
      </c>
      <c r="T50" s="11">
        <v>46031</v>
      </c>
      <c r="U50" s="11">
        <v>34880</v>
      </c>
      <c r="V50" s="11">
        <v>35371</v>
      </c>
      <c r="W50" s="11">
        <v>33350</v>
      </c>
      <c r="X50" s="11">
        <v>35324</v>
      </c>
      <c r="Y50" s="11">
        <v>35420</v>
      </c>
      <c r="Z50" s="11">
        <v>34715</v>
      </c>
      <c r="AA50" s="11">
        <v>34163</v>
      </c>
      <c r="AB50" s="11">
        <v>33734</v>
      </c>
      <c r="AC50" s="11">
        <v>31183</v>
      </c>
      <c r="AD50" s="11">
        <v>30847</v>
      </c>
      <c r="AE50" s="11">
        <v>31532</v>
      </c>
      <c r="AF50" s="12">
        <v>31799</v>
      </c>
      <c r="AG50" s="11">
        <v>31791</v>
      </c>
    </row>
    <row r="51" spans="1:33" ht="30" customHeight="1" x14ac:dyDescent="0.25">
      <c r="A51" s="810" t="s">
        <v>1427</v>
      </c>
      <c r="B51" s="5" t="s">
        <v>169</v>
      </c>
      <c r="C51" s="5" t="s">
        <v>169</v>
      </c>
      <c r="D51" s="5" t="s">
        <v>169</v>
      </c>
      <c r="E51" s="5" t="s">
        <v>169</v>
      </c>
      <c r="F51" s="5" t="s">
        <v>169</v>
      </c>
      <c r="G51" s="5" t="s">
        <v>169</v>
      </c>
      <c r="H51" s="5" t="s">
        <v>169</v>
      </c>
      <c r="I51" s="5" t="s">
        <v>169</v>
      </c>
      <c r="J51" s="5" t="s">
        <v>169</v>
      </c>
      <c r="K51" s="5" t="s">
        <v>169</v>
      </c>
      <c r="L51" s="5" t="s">
        <v>169</v>
      </c>
      <c r="M51" s="5" t="s">
        <v>169</v>
      </c>
      <c r="N51" s="5" t="s">
        <v>169</v>
      </c>
      <c r="O51" s="5" t="s">
        <v>169</v>
      </c>
      <c r="P51" s="5" t="s">
        <v>169</v>
      </c>
      <c r="Q51" s="5" t="s">
        <v>169</v>
      </c>
      <c r="R51" s="5" t="s">
        <v>169</v>
      </c>
      <c r="S51" s="5" t="s">
        <v>169</v>
      </c>
      <c r="T51" s="5" t="s">
        <v>169</v>
      </c>
      <c r="U51" s="5" t="s">
        <v>169</v>
      </c>
      <c r="V51" s="5" t="s">
        <v>169</v>
      </c>
      <c r="W51" s="5" t="s">
        <v>169</v>
      </c>
      <c r="X51" s="5" t="s">
        <v>169</v>
      </c>
      <c r="Y51" s="5">
        <v>3395</v>
      </c>
      <c r="Z51" s="5">
        <v>3255</v>
      </c>
      <c r="AA51" s="5">
        <v>3809</v>
      </c>
      <c r="AB51" s="5">
        <v>3676</v>
      </c>
      <c r="AC51" s="5">
        <v>3526</v>
      </c>
      <c r="AD51" s="5">
        <v>3177</v>
      </c>
      <c r="AE51" s="5">
        <v>4159</v>
      </c>
      <c r="AF51" s="6">
        <v>3560</v>
      </c>
      <c r="AG51" s="5">
        <v>4072</v>
      </c>
    </row>
    <row r="52" spans="1:33" ht="15.75" x14ac:dyDescent="0.25">
      <c r="A52" s="7" t="s">
        <v>170</v>
      </c>
      <c r="B52" s="8" t="s">
        <v>169</v>
      </c>
      <c r="C52" s="8" t="s">
        <v>169</v>
      </c>
      <c r="D52" s="8" t="s">
        <v>169</v>
      </c>
      <c r="E52" s="8" t="s">
        <v>169</v>
      </c>
      <c r="F52" s="8" t="s">
        <v>169</v>
      </c>
      <c r="G52" s="8" t="s">
        <v>169</v>
      </c>
      <c r="H52" s="8" t="s">
        <v>169</v>
      </c>
      <c r="I52" s="8" t="s">
        <v>169</v>
      </c>
      <c r="J52" s="8" t="s">
        <v>169</v>
      </c>
      <c r="K52" s="8" t="s">
        <v>169</v>
      </c>
      <c r="L52" s="8" t="s">
        <v>169</v>
      </c>
      <c r="M52" s="8" t="s">
        <v>169</v>
      </c>
      <c r="N52" s="8" t="s">
        <v>169</v>
      </c>
      <c r="O52" s="8" t="s">
        <v>169</v>
      </c>
      <c r="P52" s="8" t="s">
        <v>169</v>
      </c>
      <c r="Q52" s="8" t="s">
        <v>169</v>
      </c>
      <c r="R52" s="8" t="s">
        <v>169</v>
      </c>
      <c r="S52" s="8" t="s">
        <v>169</v>
      </c>
      <c r="T52" s="8" t="s">
        <v>169</v>
      </c>
      <c r="U52" s="8" t="s">
        <v>169</v>
      </c>
      <c r="V52" s="8" t="s">
        <v>169</v>
      </c>
      <c r="W52" s="8" t="s">
        <v>169</v>
      </c>
      <c r="X52" s="8" t="s">
        <v>169</v>
      </c>
      <c r="Y52" s="8">
        <v>2485</v>
      </c>
      <c r="Z52" s="8">
        <v>2241</v>
      </c>
      <c r="AA52" s="8">
        <v>2579</v>
      </c>
      <c r="AB52" s="8">
        <v>2474</v>
      </c>
      <c r="AC52" s="8">
        <v>2135</v>
      </c>
      <c r="AD52" s="8">
        <v>1885</v>
      </c>
      <c r="AE52" s="8">
        <v>2449</v>
      </c>
      <c r="AF52" s="9">
        <v>2092</v>
      </c>
      <c r="AG52" s="8">
        <v>2495</v>
      </c>
    </row>
    <row r="53" spans="1:33" ht="15.75" x14ac:dyDescent="0.25">
      <c r="A53" s="7" t="s">
        <v>171</v>
      </c>
      <c r="B53" s="8" t="s">
        <v>169</v>
      </c>
      <c r="C53" s="8" t="s">
        <v>169</v>
      </c>
      <c r="D53" s="8" t="s">
        <v>169</v>
      </c>
      <c r="E53" s="8" t="s">
        <v>169</v>
      </c>
      <c r="F53" s="8" t="s">
        <v>169</v>
      </c>
      <c r="G53" s="8" t="s">
        <v>169</v>
      </c>
      <c r="H53" s="8" t="s">
        <v>169</v>
      </c>
      <c r="I53" s="8" t="s">
        <v>169</v>
      </c>
      <c r="J53" s="8" t="s">
        <v>169</v>
      </c>
      <c r="K53" s="8" t="s">
        <v>169</v>
      </c>
      <c r="L53" s="8" t="s">
        <v>169</v>
      </c>
      <c r="M53" s="8" t="s">
        <v>169</v>
      </c>
      <c r="N53" s="8" t="s">
        <v>169</v>
      </c>
      <c r="O53" s="8" t="s">
        <v>169</v>
      </c>
      <c r="P53" s="8" t="s">
        <v>169</v>
      </c>
      <c r="Q53" s="8" t="s">
        <v>169</v>
      </c>
      <c r="R53" s="8" t="s">
        <v>169</v>
      </c>
      <c r="S53" s="8" t="s">
        <v>169</v>
      </c>
      <c r="T53" s="8" t="s">
        <v>169</v>
      </c>
      <c r="U53" s="8" t="s">
        <v>169</v>
      </c>
      <c r="V53" s="8" t="s">
        <v>169</v>
      </c>
      <c r="W53" s="8" t="s">
        <v>169</v>
      </c>
      <c r="X53" s="8" t="s">
        <v>169</v>
      </c>
      <c r="Y53" s="8">
        <v>736</v>
      </c>
      <c r="Z53" s="8">
        <v>873</v>
      </c>
      <c r="AA53" s="8">
        <v>1019</v>
      </c>
      <c r="AB53" s="8">
        <v>914</v>
      </c>
      <c r="AC53" s="8">
        <v>825</v>
      </c>
      <c r="AD53" s="8">
        <v>883</v>
      </c>
      <c r="AE53" s="8">
        <v>1091</v>
      </c>
      <c r="AF53" s="9">
        <v>963</v>
      </c>
      <c r="AG53" s="8">
        <v>1074</v>
      </c>
    </row>
    <row r="54" spans="1:33" ht="15.75" x14ac:dyDescent="0.25">
      <c r="A54" s="7" t="s">
        <v>172</v>
      </c>
      <c r="B54" s="8" t="s">
        <v>169</v>
      </c>
      <c r="C54" s="8" t="s">
        <v>169</v>
      </c>
      <c r="D54" s="8" t="s">
        <v>169</v>
      </c>
      <c r="E54" s="8" t="s">
        <v>169</v>
      </c>
      <c r="F54" s="8" t="s">
        <v>169</v>
      </c>
      <c r="G54" s="8" t="s">
        <v>169</v>
      </c>
      <c r="H54" s="8" t="s">
        <v>169</v>
      </c>
      <c r="I54" s="8" t="s">
        <v>169</v>
      </c>
      <c r="J54" s="8" t="s">
        <v>169</v>
      </c>
      <c r="K54" s="8" t="s">
        <v>169</v>
      </c>
      <c r="L54" s="8" t="s">
        <v>169</v>
      </c>
      <c r="M54" s="8" t="s">
        <v>169</v>
      </c>
      <c r="N54" s="8" t="s">
        <v>169</v>
      </c>
      <c r="O54" s="8" t="s">
        <v>169</v>
      </c>
      <c r="P54" s="8" t="s">
        <v>169</v>
      </c>
      <c r="Q54" s="8" t="s">
        <v>169</v>
      </c>
      <c r="R54" s="8" t="s">
        <v>169</v>
      </c>
      <c r="S54" s="8" t="s">
        <v>169</v>
      </c>
      <c r="T54" s="8" t="s">
        <v>169</v>
      </c>
      <c r="U54" s="8" t="s">
        <v>169</v>
      </c>
      <c r="V54" s="8" t="s">
        <v>169</v>
      </c>
      <c r="W54" s="8" t="s">
        <v>169</v>
      </c>
      <c r="X54" s="8" t="s">
        <v>169</v>
      </c>
      <c r="Y54" s="8">
        <v>77</v>
      </c>
      <c r="Z54" s="8">
        <v>69</v>
      </c>
      <c r="AA54" s="8">
        <v>57</v>
      </c>
      <c r="AB54" s="8">
        <v>60</v>
      </c>
      <c r="AC54" s="8">
        <v>391</v>
      </c>
      <c r="AD54" s="8">
        <v>302</v>
      </c>
      <c r="AE54" s="8">
        <v>381</v>
      </c>
      <c r="AF54" s="9">
        <v>333</v>
      </c>
      <c r="AG54" s="8">
        <v>298</v>
      </c>
    </row>
    <row r="55" spans="1:33" ht="15.75" x14ac:dyDescent="0.25">
      <c r="A55" s="7" t="s">
        <v>173</v>
      </c>
      <c r="B55" s="8" t="s">
        <v>169</v>
      </c>
      <c r="C55" s="8" t="s">
        <v>169</v>
      </c>
      <c r="D55" s="8" t="s">
        <v>169</v>
      </c>
      <c r="E55" s="8" t="s">
        <v>169</v>
      </c>
      <c r="F55" s="8" t="s">
        <v>169</v>
      </c>
      <c r="G55" s="8" t="s">
        <v>169</v>
      </c>
      <c r="H55" s="8" t="s">
        <v>169</v>
      </c>
      <c r="I55" s="8" t="s">
        <v>169</v>
      </c>
      <c r="J55" s="8" t="s">
        <v>169</v>
      </c>
      <c r="K55" s="8" t="s">
        <v>169</v>
      </c>
      <c r="L55" s="8" t="s">
        <v>169</v>
      </c>
      <c r="M55" s="8" t="s">
        <v>169</v>
      </c>
      <c r="N55" s="8" t="s">
        <v>169</v>
      </c>
      <c r="O55" s="8" t="s">
        <v>169</v>
      </c>
      <c r="P55" s="8" t="s">
        <v>169</v>
      </c>
      <c r="Q55" s="8" t="s">
        <v>169</v>
      </c>
      <c r="R55" s="8" t="s">
        <v>169</v>
      </c>
      <c r="S55" s="8" t="s">
        <v>169</v>
      </c>
      <c r="T55" s="8" t="s">
        <v>169</v>
      </c>
      <c r="U55" s="8" t="s">
        <v>169</v>
      </c>
      <c r="V55" s="8" t="s">
        <v>169</v>
      </c>
      <c r="W55" s="8" t="s">
        <v>169</v>
      </c>
      <c r="X55" s="8" t="s">
        <v>169</v>
      </c>
      <c r="Y55" s="8">
        <v>97</v>
      </c>
      <c r="Z55" s="8">
        <v>71</v>
      </c>
      <c r="AA55" s="8">
        <v>154</v>
      </c>
      <c r="AB55" s="8">
        <v>227</v>
      </c>
      <c r="AC55" s="8">
        <v>175</v>
      </c>
      <c r="AD55" s="8">
        <v>106</v>
      </c>
      <c r="AE55" s="8">
        <v>237</v>
      </c>
      <c r="AF55" s="9">
        <v>173</v>
      </c>
      <c r="AG55" s="8">
        <v>205</v>
      </c>
    </row>
    <row r="56" spans="1:33" ht="30" customHeight="1" x14ac:dyDescent="0.25">
      <c r="A56" s="4" t="s">
        <v>1428</v>
      </c>
      <c r="B56" s="5" t="s">
        <v>169</v>
      </c>
      <c r="C56" s="5" t="s">
        <v>169</v>
      </c>
      <c r="D56" s="5" t="s">
        <v>169</v>
      </c>
      <c r="E56" s="5" t="s">
        <v>169</v>
      </c>
      <c r="F56" s="5" t="s">
        <v>169</v>
      </c>
      <c r="G56" s="5" t="s">
        <v>169</v>
      </c>
      <c r="H56" s="5" t="s">
        <v>169</v>
      </c>
      <c r="I56" s="5" t="s">
        <v>169</v>
      </c>
      <c r="J56" s="5" t="s">
        <v>169</v>
      </c>
      <c r="K56" s="5" t="s">
        <v>169</v>
      </c>
      <c r="L56" s="5" t="s">
        <v>169</v>
      </c>
      <c r="M56" s="5" t="s">
        <v>169</v>
      </c>
      <c r="N56" s="5" t="s">
        <v>169</v>
      </c>
      <c r="O56" s="5" t="s">
        <v>169</v>
      </c>
      <c r="P56" s="5" t="s">
        <v>169</v>
      </c>
      <c r="Q56" s="5" t="s">
        <v>169</v>
      </c>
      <c r="R56" s="5" t="s">
        <v>169</v>
      </c>
      <c r="S56" s="5" t="s">
        <v>169</v>
      </c>
      <c r="T56" s="5" t="s">
        <v>169</v>
      </c>
      <c r="U56" s="5" t="s">
        <v>169</v>
      </c>
      <c r="V56" s="5" t="s">
        <v>169</v>
      </c>
      <c r="W56" s="5" t="s">
        <v>169</v>
      </c>
      <c r="X56" s="5" t="s">
        <v>169</v>
      </c>
      <c r="Y56" s="5">
        <v>1764</v>
      </c>
      <c r="Z56" s="5">
        <v>1227</v>
      </c>
      <c r="AA56" s="5">
        <v>966</v>
      </c>
      <c r="AB56" s="5">
        <v>876</v>
      </c>
      <c r="AC56" s="5">
        <v>745</v>
      </c>
      <c r="AD56" s="5">
        <v>1022</v>
      </c>
      <c r="AE56" s="5">
        <v>692</v>
      </c>
      <c r="AF56" s="6">
        <v>952</v>
      </c>
      <c r="AG56" s="5">
        <v>663</v>
      </c>
    </row>
    <row r="57" spans="1:33" ht="15.75" x14ac:dyDescent="0.25">
      <c r="A57" s="7" t="s">
        <v>174</v>
      </c>
      <c r="B57" s="8" t="s">
        <v>169</v>
      </c>
      <c r="C57" s="8" t="s">
        <v>169</v>
      </c>
      <c r="D57" s="8" t="s">
        <v>169</v>
      </c>
      <c r="E57" s="8" t="s">
        <v>169</v>
      </c>
      <c r="F57" s="8" t="s">
        <v>169</v>
      </c>
      <c r="G57" s="8" t="s">
        <v>169</v>
      </c>
      <c r="H57" s="8" t="s">
        <v>169</v>
      </c>
      <c r="I57" s="8" t="s">
        <v>169</v>
      </c>
      <c r="J57" s="8" t="s">
        <v>169</v>
      </c>
      <c r="K57" s="8" t="s">
        <v>169</v>
      </c>
      <c r="L57" s="8" t="s">
        <v>169</v>
      </c>
      <c r="M57" s="8" t="s">
        <v>169</v>
      </c>
      <c r="N57" s="8" t="s">
        <v>169</v>
      </c>
      <c r="O57" s="8" t="s">
        <v>169</v>
      </c>
      <c r="P57" s="8" t="s">
        <v>169</v>
      </c>
      <c r="Q57" s="8" t="s">
        <v>169</v>
      </c>
      <c r="R57" s="8" t="s">
        <v>169</v>
      </c>
      <c r="S57" s="8" t="s">
        <v>169</v>
      </c>
      <c r="T57" s="8" t="s">
        <v>169</v>
      </c>
      <c r="U57" s="8" t="s">
        <v>169</v>
      </c>
      <c r="V57" s="8" t="s">
        <v>169</v>
      </c>
      <c r="W57" s="8" t="s">
        <v>169</v>
      </c>
      <c r="X57" s="8" t="s">
        <v>169</v>
      </c>
      <c r="Y57" s="8">
        <v>1191</v>
      </c>
      <c r="Z57" s="8">
        <v>712</v>
      </c>
      <c r="AA57" s="8">
        <v>444</v>
      </c>
      <c r="AB57" s="8">
        <v>360</v>
      </c>
      <c r="AC57" s="8">
        <v>123</v>
      </c>
      <c r="AD57" s="8">
        <v>139</v>
      </c>
      <c r="AE57" s="8">
        <v>128</v>
      </c>
      <c r="AF57" s="9">
        <v>131</v>
      </c>
      <c r="AG57" s="8">
        <v>127</v>
      </c>
    </row>
    <row r="58" spans="1:33" ht="15.75" x14ac:dyDescent="0.25">
      <c r="A58" s="7" t="s">
        <v>175</v>
      </c>
      <c r="B58" s="8" t="s">
        <v>169</v>
      </c>
      <c r="C58" s="8" t="s">
        <v>169</v>
      </c>
      <c r="D58" s="8" t="s">
        <v>169</v>
      </c>
      <c r="E58" s="8" t="s">
        <v>169</v>
      </c>
      <c r="F58" s="8" t="s">
        <v>169</v>
      </c>
      <c r="G58" s="8" t="s">
        <v>169</v>
      </c>
      <c r="H58" s="8" t="s">
        <v>169</v>
      </c>
      <c r="I58" s="8" t="s">
        <v>169</v>
      </c>
      <c r="J58" s="8" t="s">
        <v>169</v>
      </c>
      <c r="K58" s="8" t="s">
        <v>169</v>
      </c>
      <c r="L58" s="8" t="s">
        <v>169</v>
      </c>
      <c r="M58" s="8" t="s">
        <v>169</v>
      </c>
      <c r="N58" s="8" t="s">
        <v>169</v>
      </c>
      <c r="O58" s="8" t="s">
        <v>169</v>
      </c>
      <c r="P58" s="8" t="s">
        <v>169</v>
      </c>
      <c r="Q58" s="8" t="s">
        <v>169</v>
      </c>
      <c r="R58" s="8" t="s">
        <v>169</v>
      </c>
      <c r="S58" s="8" t="s">
        <v>169</v>
      </c>
      <c r="T58" s="8" t="s">
        <v>169</v>
      </c>
      <c r="U58" s="8" t="s">
        <v>169</v>
      </c>
      <c r="V58" s="8" t="s">
        <v>169</v>
      </c>
      <c r="W58" s="8" t="s">
        <v>169</v>
      </c>
      <c r="X58" s="8" t="s">
        <v>169</v>
      </c>
      <c r="Y58" s="8">
        <v>573</v>
      </c>
      <c r="Z58" s="8">
        <v>516</v>
      </c>
      <c r="AA58" s="8">
        <v>522</v>
      </c>
      <c r="AB58" s="8">
        <v>516</v>
      </c>
      <c r="AC58" s="8">
        <v>622</v>
      </c>
      <c r="AD58" s="8">
        <v>883</v>
      </c>
      <c r="AE58" s="8">
        <v>564</v>
      </c>
      <c r="AF58" s="9">
        <v>821</v>
      </c>
      <c r="AG58" s="8">
        <v>536</v>
      </c>
    </row>
    <row r="59" spans="1:33" ht="30" customHeight="1" x14ac:dyDescent="0.25">
      <c r="A59" s="10" t="s">
        <v>146</v>
      </c>
      <c r="B59" s="11" t="s">
        <v>169</v>
      </c>
      <c r="C59" s="11" t="s">
        <v>169</v>
      </c>
      <c r="D59" s="11" t="s">
        <v>169</v>
      </c>
      <c r="E59" s="11" t="s">
        <v>169</v>
      </c>
      <c r="F59" s="11" t="s">
        <v>169</v>
      </c>
      <c r="G59" s="11" t="s">
        <v>169</v>
      </c>
      <c r="H59" s="11" t="s">
        <v>169</v>
      </c>
      <c r="I59" s="11" t="s">
        <v>169</v>
      </c>
      <c r="J59" s="11" t="s">
        <v>169</v>
      </c>
      <c r="K59" s="11" t="s">
        <v>169</v>
      </c>
      <c r="L59" s="11" t="s">
        <v>169</v>
      </c>
      <c r="M59" s="11" t="s">
        <v>169</v>
      </c>
      <c r="N59" s="11" t="s">
        <v>169</v>
      </c>
      <c r="O59" s="11" t="s">
        <v>169</v>
      </c>
      <c r="P59" s="11" t="s">
        <v>169</v>
      </c>
      <c r="Q59" s="11" t="s">
        <v>169</v>
      </c>
      <c r="R59" s="11" t="s">
        <v>169</v>
      </c>
      <c r="S59" s="11" t="s">
        <v>169</v>
      </c>
      <c r="T59" s="11" t="s">
        <v>169</v>
      </c>
      <c r="U59" s="11" t="s">
        <v>169</v>
      </c>
      <c r="V59" s="11" t="s">
        <v>169</v>
      </c>
      <c r="W59" s="11" t="s">
        <v>169</v>
      </c>
      <c r="X59" s="11" t="s">
        <v>169</v>
      </c>
      <c r="Y59" s="11">
        <v>17171</v>
      </c>
      <c r="Z59" s="11">
        <v>25725</v>
      </c>
      <c r="AA59" s="11">
        <v>34163</v>
      </c>
      <c r="AB59" s="11">
        <v>33734</v>
      </c>
      <c r="AC59" s="11">
        <v>31183</v>
      </c>
      <c r="AD59" s="11">
        <v>30847</v>
      </c>
      <c r="AE59" s="11">
        <v>31532</v>
      </c>
      <c r="AF59" s="12">
        <v>31799</v>
      </c>
      <c r="AG59" s="11">
        <v>31791</v>
      </c>
    </row>
    <row r="60" spans="1:33" ht="24" customHeight="1" x14ac:dyDescent="0.25">
      <c r="A60" s="4" t="s">
        <v>1473</v>
      </c>
      <c r="B60" s="5" t="s">
        <v>169</v>
      </c>
      <c r="C60" s="5" t="s">
        <v>169</v>
      </c>
      <c r="D60" s="5" t="s">
        <v>169</v>
      </c>
      <c r="E60" s="5" t="s">
        <v>169</v>
      </c>
      <c r="F60" s="5" t="s">
        <v>169</v>
      </c>
      <c r="G60" s="5" t="s">
        <v>169</v>
      </c>
      <c r="H60" s="5" t="s">
        <v>169</v>
      </c>
      <c r="I60" s="5" t="s">
        <v>169</v>
      </c>
      <c r="J60" s="5" t="s">
        <v>169</v>
      </c>
      <c r="K60" s="5" t="s">
        <v>169</v>
      </c>
      <c r="L60" s="5" t="s">
        <v>169</v>
      </c>
      <c r="M60" s="5" t="s">
        <v>169</v>
      </c>
      <c r="N60" s="5" t="s">
        <v>169</v>
      </c>
      <c r="O60" s="5" t="s">
        <v>169</v>
      </c>
      <c r="P60" s="5" t="s">
        <v>169</v>
      </c>
      <c r="Q60" s="5" t="s">
        <v>169</v>
      </c>
      <c r="R60" s="5" t="s">
        <v>169</v>
      </c>
      <c r="S60" s="5" t="s">
        <v>169</v>
      </c>
      <c r="T60" s="5" t="s">
        <v>169</v>
      </c>
      <c r="U60" s="5" t="s">
        <v>169</v>
      </c>
      <c r="V60" s="5" t="s">
        <v>169</v>
      </c>
      <c r="W60" s="5" t="s">
        <v>169</v>
      </c>
      <c r="X60" s="5" t="s">
        <v>169</v>
      </c>
      <c r="Y60" s="5">
        <v>11216</v>
      </c>
      <c r="Z60" s="5">
        <v>10729</v>
      </c>
      <c r="AA60" s="5">
        <v>11207</v>
      </c>
      <c r="AB60" s="5">
        <v>10213</v>
      </c>
      <c r="AC60" s="5">
        <v>8656</v>
      </c>
      <c r="AD60" s="5">
        <v>8787</v>
      </c>
      <c r="AE60" s="5">
        <v>9445</v>
      </c>
      <c r="AF60" s="6">
        <v>9235</v>
      </c>
      <c r="AG60" s="5">
        <v>9273</v>
      </c>
    </row>
    <row r="61" spans="1:33" ht="25.5" customHeight="1" x14ac:dyDescent="0.25">
      <c r="A61" s="10" t="s">
        <v>146</v>
      </c>
      <c r="B61" s="11" t="s">
        <v>169</v>
      </c>
      <c r="C61" s="11" t="s">
        <v>169</v>
      </c>
      <c r="D61" s="11" t="s">
        <v>169</v>
      </c>
      <c r="E61" s="11" t="s">
        <v>169</v>
      </c>
      <c r="F61" s="11" t="s">
        <v>169</v>
      </c>
      <c r="G61" s="11" t="s">
        <v>169</v>
      </c>
      <c r="H61" s="11" t="s">
        <v>169</v>
      </c>
      <c r="I61" s="11" t="s">
        <v>169</v>
      </c>
      <c r="J61" s="11" t="s">
        <v>169</v>
      </c>
      <c r="K61" s="11" t="s">
        <v>169</v>
      </c>
      <c r="L61" s="11" t="s">
        <v>169</v>
      </c>
      <c r="M61" s="11" t="s">
        <v>169</v>
      </c>
      <c r="N61" s="11" t="s">
        <v>169</v>
      </c>
      <c r="O61" s="11" t="s">
        <v>169</v>
      </c>
      <c r="P61" s="11" t="s">
        <v>169</v>
      </c>
      <c r="Q61" s="11" t="s">
        <v>169</v>
      </c>
      <c r="R61" s="11" t="s">
        <v>169</v>
      </c>
      <c r="S61" s="11" t="s">
        <v>169</v>
      </c>
      <c r="T61" s="11" t="s">
        <v>169</v>
      </c>
      <c r="U61" s="11" t="s">
        <v>169</v>
      </c>
      <c r="V61" s="11" t="s">
        <v>169</v>
      </c>
      <c r="W61" s="11" t="s">
        <v>169</v>
      </c>
      <c r="X61" s="11" t="s">
        <v>169</v>
      </c>
      <c r="Y61" s="11">
        <v>35420</v>
      </c>
      <c r="Z61" s="11">
        <v>34715</v>
      </c>
      <c r="AA61" s="11">
        <v>34163</v>
      </c>
      <c r="AB61" s="11">
        <v>33734</v>
      </c>
      <c r="AC61" s="11">
        <v>31183</v>
      </c>
      <c r="AD61" s="11">
        <v>30847</v>
      </c>
      <c r="AE61" s="11">
        <v>31532</v>
      </c>
      <c r="AF61" s="12">
        <v>31799</v>
      </c>
      <c r="AG61" s="11">
        <v>31791</v>
      </c>
    </row>
  </sheetData>
  <hyperlinks>
    <hyperlink ref="A6" location="'Notes_A1 to A4'!A1" display="Link to Notes page." xr:uid="{00000000-0004-0000-0300-000000000000}"/>
    <hyperlink ref="A4" location=" 'Table of contents'!A1" display="Link to Table of contents." xr:uid="{00000000-0004-0000-0300-000001000000}"/>
  </hyperlink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W56"/>
  <sheetViews>
    <sheetView showGridLines="0" zoomScaleNormal="100" workbookViewId="0"/>
  </sheetViews>
  <sheetFormatPr defaultRowHeight="15" customHeight="1" x14ac:dyDescent="0.25"/>
  <cols>
    <col min="1" max="1" width="106.28515625" customWidth="1"/>
    <col min="2" max="49" width="16.7109375" customWidth="1"/>
  </cols>
  <sheetData>
    <row r="1" spans="1:49" ht="20.100000000000001" customHeight="1" x14ac:dyDescent="0.25">
      <c r="A1" s="836" t="s">
        <v>1474</v>
      </c>
    </row>
    <row r="2" spans="1:49" ht="20.100000000000001" customHeight="1" x14ac:dyDescent="0.25">
      <c r="A2" s="185" t="s">
        <v>176</v>
      </c>
    </row>
    <row r="3" spans="1:49" ht="20.100000000000001" customHeight="1" x14ac:dyDescent="0.25">
      <c r="A3" s="1" t="s">
        <v>177</v>
      </c>
    </row>
    <row r="4" spans="1:49" ht="20.100000000000001" customHeight="1" x14ac:dyDescent="0.25">
      <c r="A4" s="2" t="s">
        <v>97</v>
      </c>
    </row>
    <row r="5" spans="1:49" ht="23.25" customHeight="1" x14ac:dyDescent="0.25">
      <c r="A5" s="1" t="s">
        <v>98</v>
      </c>
    </row>
    <row r="6" spans="1:49" ht="20.100000000000001" customHeight="1" x14ac:dyDescent="0.25">
      <c r="A6" s="2" t="s">
        <v>99</v>
      </c>
    </row>
    <row r="7" spans="1:49" ht="22.5" customHeight="1" x14ac:dyDescent="0.25">
      <c r="A7" s="1" t="s">
        <v>100</v>
      </c>
    </row>
    <row r="8" spans="1:49" ht="80.099999999999994" customHeight="1" x14ac:dyDescent="0.25">
      <c r="A8" s="31" t="s">
        <v>101</v>
      </c>
      <c r="B8" s="99" t="s">
        <v>178</v>
      </c>
      <c r="C8" s="99" t="s">
        <v>179</v>
      </c>
      <c r="D8" s="99" t="s">
        <v>180</v>
      </c>
      <c r="E8" s="99" t="s">
        <v>181</v>
      </c>
      <c r="F8" s="99" t="s">
        <v>182</v>
      </c>
      <c r="G8" s="99" t="s">
        <v>183</v>
      </c>
      <c r="H8" s="99" t="s">
        <v>184</v>
      </c>
      <c r="I8" s="99" t="s">
        <v>185</v>
      </c>
      <c r="J8" s="99" t="s">
        <v>186</v>
      </c>
      <c r="K8" s="99" t="s">
        <v>187</v>
      </c>
      <c r="L8" s="99" t="s">
        <v>188</v>
      </c>
      <c r="M8" s="99" t="s">
        <v>189</v>
      </c>
      <c r="N8" s="99" t="s">
        <v>190</v>
      </c>
      <c r="O8" s="99" t="s">
        <v>191</v>
      </c>
      <c r="P8" s="99" t="s">
        <v>192</v>
      </c>
      <c r="Q8" s="99" t="s">
        <v>193</v>
      </c>
      <c r="R8" s="99" t="s">
        <v>194</v>
      </c>
      <c r="S8" s="99" t="s">
        <v>195</v>
      </c>
      <c r="T8" s="99" t="s">
        <v>196</v>
      </c>
      <c r="U8" s="99" t="s">
        <v>197</v>
      </c>
      <c r="V8" s="99" t="s">
        <v>198</v>
      </c>
      <c r="W8" s="99" t="s">
        <v>199</v>
      </c>
      <c r="X8" s="99" t="s">
        <v>200</v>
      </c>
      <c r="Y8" s="99" t="s">
        <v>201</v>
      </c>
      <c r="Z8" s="99" t="s">
        <v>202</v>
      </c>
      <c r="AA8" s="99" t="s">
        <v>203</v>
      </c>
      <c r="AB8" s="99" t="s">
        <v>204</v>
      </c>
      <c r="AC8" s="99" t="s">
        <v>205</v>
      </c>
      <c r="AD8" s="99" t="s">
        <v>206</v>
      </c>
      <c r="AE8" s="99" t="s">
        <v>207</v>
      </c>
      <c r="AF8" s="99" t="s">
        <v>208</v>
      </c>
      <c r="AG8" s="99" t="s">
        <v>209</v>
      </c>
      <c r="AH8" s="99" t="s">
        <v>210</v>
      </c>
      <c r="AI8" s="99" t="s">
        <v>211</v>
      </c>
      <c r="AJ8" s="99" t="s">
        <v>212</v>
      </c>
      <c r="AK8" s="99" t="s">
        <v>213</v>
      </c>
      <c r="AL8" s="99" t="s">
        <v>214</v>
      </c>
      <c r="AM8" s="99" t="s">
        <v>215</v>
      </c>
      <c r="AN8" s="99" t="s">
        <v>216</v>
      </c>
      <c r="AO8" s="99" t="s">
        <v>217</v>
      </c>
      <c r="AP8" s="99" t="s">
        <v>218</v>
      </c>
      <c r="AQ8" s="99" t="s">
        <v>219</v>
      </c>
      <c r="AR8" s="99" t="s">
        <v>220</v>
      </c>
      <c r="AS8" s="99" t="s">
        <v>221</v>
      </c>
      <c r="AT8" s="99" t="s">
        <v>222</v>
      </c>
      <c r="AU8" s="99" t="s">
        <v>223</v>
      </c>
      <c r="AV8" s="99" t="s">
        <v>224</v>
      </c>
      <c r="AW8" s="99" t="s">
        <v>225</v>
      </c>
    </row>
    <row r="9" spans="1:49" ht="15.75" x14ac:dyDescent="0.25">
      <c r="A9" s="4" t="s">
        <v>134</v>
      </c>
      <c r="B9" s="5">
        <v>-74.59266884229821</v>
      </c>
      <c r="C9" s="5" t="s">
        <v>226</v>
      </c>
      <c r="D9" s="5">
        <v>-69.723071661652497</v>
      </c>
      <c r="E9" s="5" t="s">
        <v>226</v>
      </c>
      <c r="F9" s="5">
        <v>-66.388127034801983</v>
      </c>
      <c r="G9" s="5" t="s">
        <v>226</v>
      </c>
      <c r="H9" s="5">
        <v>-55.528813892157288</v>
      </c>
      <c r="I9" s="5" t="s">
        <v>226</v>
      </c>
      <c r="J9" s="5">
        <v>-56.015561963176722</v>
      </c>
      <c r="K9" s="5" t="s">
        <v>226</v>
      </c>
      <c r="L9" s="5">
        <v>-51.831687971729899</v>
      </c>
      <c r="M9" s="5" t="s">
        <v>226</v>
      </c>
      <c r="N9" s="5">
        <v>-48.234560056982701</v>
      </c>
      <c r="O9" s="5" t="s">
        <v>226</v>
      </c>
      <c r="P9" s="5">
        <v>-48.941463751271321</v>
      </c>
      <c r="Q9" s="5" t="s">
        <v>226</v>
      </c>
      <c r="R9" s="5">
        <v>-50.396230094924199</v>
      </c>
      <c r="S9" s="5" t="s">
        <v>226</v>
      </c>
      <c r="T9" s="5">
        <v>-42.561090685422542</v>
      </c>
      <c r="U9" s="5" t="s">
        <v>226</v>
      </c>
      <c r="V9" s="5">
        <v>-39.946210425976837</v>
      </c>
      <c r="W9" s="5" t="s">
        <v>226</v>
      </c>
      <c r="X9" s="5">
        <v>-38.375348657286047</v>
      </c>
      <c r="Y9" s="5" t="s">
        <v>226</v>
      </c>
      <c r="Z9" s="5">
        <v>-46.660337628145641</v>
      </c>
      <c r="AA9" s="5" t="s">
        <v>226</v>
      </c>
      <c r="AB9" s="5">
        <v>-42.025378181477443</v>
      </c>
      <c r="AC9" s="5" t="s">
        <v>226</v>
      </c>
      <c r="AD9" s="5">
        <v>-41.423121464197429</v>
      </c>
      <c r="AE9" s="5" t="s">
        <v>226</v>
      </c>
      <c r="AF9" s="5">
        <v>-27.394420582584011</v>
      </c>
      <c r="AG9" s="5" t="s">
        <v>226</v>
      </c>
      <c r="AH9" s="5">
        <v>-34.26574344075847</v>
      </c>
      <c r="AI9" s="5" t="s">
        <v>226</v>
      </c>
      <c r="AJ9" s="5">
        <v>-22.73319785399341</v>
      </c>
      <c r="AK9" s="5" t="s">
        <v>226</v>
      </c>
      <c r="AL9" s="5">
        <v>-20.79206714960474</v>
      </c>
      <c r="AM9" s="5" t="s">
        <v>226</v>
      </c>
      <c r="AN9" s="5">
        <v>-20.466688763763852</v>
      </c>
      <c r="AO9" s="5"/>
      <c r="AP9" s="5">
        <v>-15.62940513203773</v>
      </c>
      <c r="AQ9" s="5"/>
      <c r="AR9" s="5">
        <v>-8.4216044135644434</v>
      </c>
      <c r="AS9" s="5"/>
      <c r="AT9" s="5">
        <v>13.6494706834198</v>
      </c>
      <c r="AU9" s="5"/>
      <c r="AV9" s="6">
        <v>0.83721630191468943</v>
      </c>
      <c r="AW9" s="5"/>
    </row>
    <row r="10" spans="1:49" ht="15.75" x14ac:dyDescent="0.25">
      <c r="A10" s="7" t="s">
        <v>135</v>
      </c>
      <c r="B10" s="8">
        <v>-85.040495428306102</v>
      </c>
      <c r="C10" s="8" t="s">
        <v>226</v>
      </c>
      <c r="D10" s="8">
        <v>-83.416336549961471</v>
      </c>
      <c r="E10" s="8" t="s">
        <v>226</v>
      </c>
      <c r="F10" s="8">
        <v>-80.130704591302418</v>
      </c>
      <c r="G10" s="8" t="s">
        <v>226</v>
      </c>
      <c r="H10" s="8">
        <v>-73.977410774936885</v>
      </c>
      <c r="I10" s="8" t="s">
        <v>226</v>
      </c>
      <c r="J10" s="8">
        <v>-72.360728446108766</v>
      </c>
      <c r="K10" s="8" t="s">
        <v>226</v>
      </c>
      <c r="L10" s="8">
        <v>-69.057787678406797</v>
      </c>
      <c r="M10" s="8" t="s">
        <v>226</v>
      </c>
      <c r="N10" s="8">
        <v>-68.740192171754316</v>
      </c>
      <c r="O10" s="8" t="s">
        <v>226</v>
      </c>
      <c r="P10" s="8">
        <v>-67.400245520565306</v>
      </c>
      <c r="Q10" s="8" t="s">
        <v>226</v>
      </c>
      <c r="R10" s="8">
        <v>-66.822130606447857</v>
      </c>
      <c r="S10" s="8" t="s">
        <v>226</v>
      </c>
      <c r="T10" s="8">
        <v>-61.636513649980159</v>
      </c>
      <c r="U10" s="8" t="s">
        <v>226</v>
      </c>
      <c r="V10" s="8">
        <v>-61.251563845821231</v>
      </c>
      <c r="W10" s="8" t="s">
        <v>226</v>
      </c>
      <c r="X10" s="8">
        <v>-59.635022117035597</v>
      </c>
      <c r="Y10" s="8" t="s">
        <v>226</v>
      </c>
      <c r="Z10" s="8">
        <v>-68.168842637226092</v>
      </c>
      <c r="AA10" s="8" t="s">
        <v>226</v>
      </c>
      <c r="AB10" s="8">
        <v>-61.649314879082119</v>
      </c>
      <c r="AC10" s="8" t="s">
        <v>226</v>
      </c>
      <c r="AD10" s="8">
        <v>-65.725525743318926</v>
      </c>
      <c r="AE10" s="8" t="s">
        <v>226</v>
      </c>
      <c r="AF10" s="8">
        <v>-40.930969513514682</v>
      </c>
      <c r="AG10" s="8" t="s">
        <v>226</v>
      </c>
      <c r="AH10" s="8">
        <v>-53.182198067550182</v>
      </c>
      <c r="AI10" s="8" t="s">
        <v>226</v>
      </c>
      <c r="AJ10" s="8">
        <v>-37.797118159983093</v>
      </c>
      <c r="AK10" s="8" t="s">
        <v>226</v>
      </c>
      <c r="AL10" s="8">
        <v>-44.116169894948541</v>
      </c>
      <c r="AM10" s="8" t="s">
        <v>226</v>
      </c>
      <c r="AN10" s="8">
        <v>-41.096821000840357</v>
      </c>
      <c r="AO10" s="8" t="s">
        <v>226</v>
      </c>
      <c r="AP10" s="8">
        <v>-45.09311875315619</v>
      </c>
      <c r="AQ10" s="8" t="s">
        <v>226</v>
      </c>
      <c r="AR10" s="8">
        <v>-33.600921903401442</v>
      </c>
      <c r="AS10" s="8" t="s">
        <v>226</v>
      </c>
      <c r="AT10" s="8">
        <v>-7.3265566709783236</v>
      </c>
      <c r="AU10" s="8"/>
      <c r="AV10" s="9">
        <v>-30.243628096306349</v>
      </c>
      <c r="AW10" s="8"/>
    </row>
    <row r="11" spans="1:49" ht="15.75" x14ac:dyDescent="0.25">
      <c r="A11" s="7" t="s">
        <v>136</v>
      </c>
      <c r="B11" s="8">
        <v>-85.581579904624562</v>
      </c>
      <c r="C11" s="8" t="s">
        <v>226</v>
      </c>
      <c r="D11" s="8">
        <v>-83.48461733609517</v>
      </c>
      <c r="E11" s="8" t="s">
        <v>226</v>
      </c>
      <c r="F11" s="8">
        <v>-78.690654195973906</v>
      </c>
      <c r="G11" s="8" t="s">
        <v>226</v>
      </c>
      <c r="H11" s="8">
        <v>-78.097522018513928</v>
      </c>
      <c r="I11" s="8" t="s">
        <v>226</v>
      </c>
      <c r="J11" s="8">
        <v>-78.690787259724289</v>
      </c>
      <c r="K11" s="8" t="s">
        <v>226</v>
      </c>
      <c r="L11" s="8">
        <v>-76.094659615064899</v>
      </c>
      <c r="M11" s="8" t="s">
        <v>226</v>
      </c>
      <c r="N11" s="8">
        <v>-74.72340333478391</v>
      </c>
      <c r="O11" s="8" t="s">
        <v>226</v>
      </c>
      <c r="P11" s="8">
        <v>-73.73115659252673</v>
      </c>
      <c r="Q11" s="8" t="s">
        <v>226</v>
      </c>
      <c r="R11" s="8">
        <v>-74.628835421271347</v>
      </c>
      <c r="S11" s="8" t="s">
        <v>226</v>
      </c>
      <c r="T11" s="8">
        <v>-69.958978549434264</v>
      </c>
      <c r="U11" s="8" t="s">
        <v>226</v>
      </c>
      <c r="V11" s="8">
        <v>-66.368935510099973</v>
      </c>
      <c r="W11" s="8" t="s">
        <v>226</v>
      </c>
      <c r="X11" s="8">
        <v>-70.271451632332784</v>
      </c>
      <c r="Y11" s="8" t="s">
        <v>226</v>
      </c>
      <c r="Z11" s="8">
        <v>-72.690347781055365</v>
      </c>
      <c r="AA11" s="8" t="s">
        <v>226</v>
      </c>
      <c r="AB11" s="8">
        <v>-71.149064673714719</v>
      </c>
      <c r="AC11" s="8" t="s">
        <v>226</v>
      </c>
      <c r="AD11" s="8">
        <v>-70.4327045073194</v>
      </c>
      <c r="AE11" s="8" t="s">
        <v>226</v>
      </c>
      <c r="AF11" s="8">
        <v>-51.712716635575177</v>
      </c>
      <c r="AG11" s="8" t="s">
        <v>226</v>
      </c>
      <c r="AH11" s="8">
        <v>-63.821951869799342</v>
      </c>
      <c r="AI11" s="8" t="s">
        <v>226</v>
      </c>
      <c r="AJ11" s="8">
        <v>-53.056655436491567</v>
      </c>
      <c r="AK11" s="8" t="s">
        <v>226</v>
      </c>
      <c r="AL11" s="8">
        <v>-59.037835440880841</v>
      </c>
      <c r="AM11" s="8" t="s">
        <v>226</v>
      </c>
      <c r="AN11" s="8">
        <v>-35.960497943375017</v>
      </c>
      <c r="AO11" s="8" t="s">
        <v>226</v>
      </c>
      <c r="AP11" s="8">
        <v>-53.245361494658553</v>
      </c>
      <c r="AQ11" s="8" t="s">
        <v>226</v>
      </c>
      <c r="AR11" s="8">
        <v>-54.422017428951911</v>
      </c>
      <c r="AS11" s="8" t="s">
        <v>226</v>
      </c>
      <c r="AT11" s="8">
        <v>-1.775859886320053</v>
      </c>
      <c r="AU11" s="8"/>
      <c r="AV11" s="9">
        <v>-37.305434504251863</v>
      </c>
      <c r="AW11" s="8"/>
    </row>
    <row r="12" spans="1:49" ht="15.75" x14ac:dyDescent="0.25">
      <c r="A12" s="7" t="s">
        <v>137</v>
      </c>
      <c r="B12" s="8">
        <v>-84.663478452777042</v>
      </c>
      <c r="C12" s="8" t="s">
        <v>226</v>
      </c>
      <c r="D12" s="8">
        <v>-83.3714177569897</v>
      </c>
      <c r="E12" s="8" t="s">
        <v>226</v>
      </c>
      <c r="F12" s="8">
        <v>-80.973000175293265</v>
      </c>
      <c r="G12" s="8" t="s">
        <v>226</v>
      </c>
      <c r="H12" s="8">
        <v>-70.320072214146151</v>
      </c>
      <c r="I12" s="8" t="s">
        <v>226</v>
      </c>
      <c r="J12" s="8">
        <v>-65.68285609569952</v>
      </c>
      <c r="K12" s="8" t="s">
        <v>226</v>
      </c>
      <c r="L12" s="8">
        <v>-61.665873351469727</v>
      </c>
      <c r="M12" s="8" t="s">
        <v>226</v>
      </c>
      <c r="N12" s="8">
        <v>-63.003477142083653</v>
      </c>
      <c r="O12" s="8" t="s">
        <v>226</v>
      </c>
      <c r="P12" s="8">
        <v>-61.28872332376919</v>
      </c>
      <c r="Q12" s="8" t="s">
        <v>226</v>
      </c>
      <c r="R12" s="8">
        <v>-59.013828979642312</v>
      </c>
      <c r="S12" s="8" t="s">
        <v>226</v>
      </c>
      <c r="T12" s="8">
        <v>-53.130783336525027</v>
      </c>
      <c r="U12" s="8" t="s">
        <v>226</v>
      </c>
      <c r="V12" s="8">
        <v>-56.961649718086818</v>
      </c>
      <c r="W12" s="8" t="s">
        <v>226</v>
      </c>
      <c r="X12" s="8">
        <v>-47.278488585778057</v>
      </c>
      <c r="Y12" s="8" t="s">
        <v>226</v>
      </c>
      <c r="Z12" s="8">
        <v>-64.296594906212761</v>
      </c>
      <c r="AA12" s="8" t="s">
        <v>226</v>
      </c>
      <c r="AB12" s="8">
        <v>-51.102368785598962</v>
      </c>
      <c r="AC12" s="8" t="s">
        <v>226</v>
      </c>
      <c r="AD12" s="8">
        <v>-61.734924834758317</v>
      </c>
      <c r="AE12" s="8" t="s">
        <v>226</v>
      </c>
      <c r="AF12" s="8">
        <v>-30.810976659986132</v>
      </c>
      <c r="AG12" s="8"/>
      <c r="AH12" s="8">
        <v>-42.010396199446767</v>
      </c>
      <c r="AI12" s="8" t="s">
        <v>226</v>
      </c>
      <c r="AJ12" s="8">
        <v>-20.96821731674169</v>
      </c>
      <c r="AK12" s="8"/>
      <c r="AL12" s="8">
        <v>-26.60116796292726</v>
      </c>
      <c r="AM12" s="8"/>
      <c r="AN12" s="8">
        <v>-44.037117312950379</v>
      </c>
      <c r="AO12" s="8" t="s">
        <v>226</v>
      </c>
      <c r="AP12" s="8">
        <v>-38.013016340034667</v>
      </c>
      <c r="AQ12" s="8" t="s">
        <v>226</v>
      </c>
      <c r="AR12" s="8">
        <v>-5.2456075071202646</v>
      </c>
      <c r="AS12" s="8"/>
      <c r="AT12" s="8">
        <v>-10.63470367764727</v>
      </c>
      <c r="AU12" s="8"/>
      <c r="AV12" s="9">
        <v>-24.68656948091078</v>
      </c>
      <c r="AW12" s="8"/>
    </row>
    <row r="13" spans="1:49" ht="15.75" x14ac:dyDescent="0.25">
      <c r="A13" s="7" t="s">
        <v>138</v>
      </c>
      <c r="B13" s="8">
        <v>-59.726287224171173</v>
      </c>
      <c r="C13" s="8" t="s">
        <v>226</v>
      </c>
      <c r="D13" s="8">
        <v>-46.277807891191813</v>
      </c>
      <c r="E13" s="8" t="s">
        <v>226</v>
      </c>
      <c r="F13" s="8">
        <v>-47.021059859175807</v>
      </c>
      <c r="G13" s="8" t="s">
        <v>226</v>
      </c>
      <c r="H13" s="8">
        <v>-28.879846637655959</v>
      </c>
      <c r="I13" s="8" t="s">
        <v>226</v>
      </c>
      <c r="J13" s="8">
        <v>-36.016768860368572</v>
      </c>
      <c r="K13" s="8" t="s">
        <v>226</v>
      </c>
      <c r="L13" s="8">
        <v>-31.749154836461901</v>
      </c>
      <c r="M13" s="8" t="s">
        <v>226</v>
      </c>
      <c r="N13" s="8">
        <v>-20.762378058639509</v>
      </c>
      <c r="O13" s="8"/>
      <c r="P13" s="8">
        <v>-27.135193883217021</v>
      </c>
      <c r="Q13" s="8" t="s">
        <v>226</v>
      </c>
      <c r="R13" s="8">
        <v>-32.816172101507171</v>
      </c>
      <c r="S13" s="8" t="s">
        <v>226</v>
      </c>
      <c r="T13" s="8">
        <v>-22.084680031080751</v>
      </c>
      <c r="U13" s="8"/>
      <c r="V13" s="8">
        <v>-15.34455556437919</v>
      </c>
      <c r="W13" s="8"/>
      <c r="X13" s="8">
        <v>-14.60320804762636</v>
      </c>
      <c r="Y13" s="8"/>
      <c r="Z13" s="8">
        <v>-17.028179999124092</v>
      </c>
      <c r="AA13" s="8"/>
      <c r="AB13" s="8">
        <v>-20.53366367036741</v>
      </c>
      <c r="AC13" s="8"/>
      <c r="AD13" s="8">
        <v>-6.3129606982333719</v>
      </c>
      <c r="AE13" s="8"/>
      <c r="AF13" s="8">
        <v>-17.388331350705151</v>
      </c>
      <c r="AG13" s="8"/>
      <c r="AH13" s="8">
        <v>-16.4162739110639</v>
      </c>
      <c r="AI13" s="8"/>
      <c r="AJ13" s="8">
        <v>-11.39150965666361</v>
      </c>
      <c r="AK13" s="8"/>
      <c r="AL13" s="8">
        <v>1.6260207001811851</v>
      </c>
      <c r="AM13" s="8"/>
      <c r="AN13" s="8">
        <v>-2.39952031846703</v>
      </c>
      <c r="AO13" s="8"/>
      <c r="AP13" s="8">
        <v>17.77338319257327</v>
      </c>
      <c r="AQ13" s="8"/>
      <c r="AR13" s="8">
        <v>14.53416291463963</v>
      </c>
      <c r="AS13" s="8"/>
      <c r="AT13" s="8">
        <v>29.09295723899141</v>
      </c>
      <c r="AU13" s="8"/>
      <c r="AV13" s="9">
        <v>31.898897112277449</v>
      </c>
      <c r="AW13" s="8"/>
    </row>
    <row r="14" spans="1:49" ht="30" customHeight="1" x14ac:dyDescent="0.25">
      <c r="A14" s="4" t="s">
        <v>139</v>
      </c>
      <c r="B14" s="5">
        <v>-79.862831174007852</v>
      </c>
      <c r="C14" s="5" t="s">
        <v>226</v>
      </c>
      <c r="D14" s="5">
        <v>-80.816122850378207</v>
      </c>
      <c r="E14" s="5" t="s">
        <v>226</v>
      </c>
      <c r="F14" s="5">
        <v>-83.55295737627489</v>
      </c>
      <c r="G14" s="5" t="s">
        <v>226</v>
      </c>
      <c r="H14" s="5">
        <v>-80.914939060239291</v>
      </c>
      <c r="I14" s="5" t="s">
        <v>226</v>
      </c>
      <c r="J14" s="5">
        <v>-77.68331463229373</v>
      </c>
      <c r="K14" s="5" t="s">
        <v>226</v>
      </c>
      <c r="L14" s="5">
        <v>-75.893790370789091</v>
      </c>
      <c r="M14" s="5" t="s">
        <v>226</v>
      </c>
      <c r="N14" s="5">
        <v>-73.588943977734871</v>
      </c>
      <c r="O14" s="5" t="s">
        <v>226</v>
      </c>
      <c r="P14" s="5">
        <v>-78.504696708771121</v>
      </c>
      <c r="Q14" s="5" t="s">
        <v>226</v>
      </c>
      <c r="R14" s="5">
        <v>-79.606527927181432</v>
      </c>
      <c r="S14" s="5" t="s">
        <v>226</v>
      </c>
      <c r="T14" s="5">
        <v>-78.702401070232625</v>
      </c>
      <c r="U14" s="5" t="s">
        <v>226</v>
      </c>
      <c r="V14" s="5">
        <v>-75.456307655388471</v>
      </c>
      <c r="W14" s="5" t="s">
        <v>226</v>
      </c>
      <c r="X14" s="5">
        <v>-79.708276008701944</v>
      </c>
      <c r="Y14" s="5" t="s">
        <v>226</v>
      </c>
      <c r="Z14" s="5">
        <v>-72.910234928536937</v>
      </c>
      <c r="AA14" s="5" t="s">
        <v>226</v>
      </c>
      <c r="AB14" s="5">
        <v>-73.391396579314687</v>
      </c>
      <c r="AC14" s="5" t="s">
        <v>226</v>
      </c>
      <c r="AD14" s="5">
        <v>-67.519017336969085</v>
      </c>
      <c r="AE14" s="5" t="s">
        <v>226</v>
      </c>
      <c r="AF14" s="5">
        <v>-60.9289546225694</v>
      </c>
      <c r="AG14" s="5" t="s">
        <v>226</v>
      </c>
      <c r="AH14" s="5">
        <v>-26.582430174708751</v>
      </c>
      <c r="AI14" s="5"/>
      <c r="AJ14" s="5">
        <v>-57.649557475236243</v>
      </c>
      <c r="AK14" s="5" t="s">
        <v>226</v>
      </c>
      <c r="AL14" s="5">
        <v>-49.799313058677377</v>
      </c>
      <c r="AM14" s="5" t="s">
        <v>226</v>
      </c>
      <c r="AN14" s="5">
        <v>-59.552778872959138</v>
      </c>
      <c r="AO14" s="5" t="s">
        <v>226</v>
      </c>
      <c r="AP14" s="5">
        <v>-66.272923829792461</v>
      </c>
      <c r="AQ14" s="5" t="s">
        <v>226</v>
      </c>
      <c r="AR14" s="5">
        <v>-48.839796950626443</v>
      </c>
      <c r="AS14" s="5" t="s">
        <v>226</v>
      </c>
      <c r="AT14" s="5">
        <v>-10.618915781066571</v>
      </c>
      <c r="AU14" s="5"/>
      <c r="AV14" s="6">
        <v>-53.388852972170483</v>
      </c>
      <c r="AW14" s="5" t="s">
        <v>226</v>
      </c>
    </row>
    <row r="15" spans="1:49" ht="30" customHeight="1" x14ac:dyDescent="0.25">
      <c r="A15" s="4" t="s">
        <v>140</v>
      </c>
      <c r="B15" s="5">
        <v>-76.305606086045557</v>
      </c>
      <c r="C15" s="5" t="s">
        <v>226</v>
      </c>
      <c r="D15" s="5">
        <v>-72.54211460534961</v>
      </c>
      <c r="E15" s="5" t="s">
        <v>226</v>
      </c>
      <c r="F15" s="5">
        <v>-67.938102734935455</v>
      </c>
      <c r="G15" s="5" t="s">
        <v>226</v>
      </c>
      <c r="H15" s="5">
        <v>-61.824348651633457</v>
      </c>
      <c r="I15" s="5" t="s">
        <v>226</v>
      </c>
      <c r="J15" s="5">
        <v>-60.275820638924451</v>
      </c>
      <c r="K15" s="5" t="s">
        <v>226</v>
      </c>
      <c r="L15" s="5">
        <v>-57.777463695500472</v>
      </c>
      <c r="M15" s="5" t="s">
        <v>226</v>
      </c>
      <c r="N15" s="5">
        <v>-52.673664403853387</v>
      </c>
      <c r="O15" s="5" t="s">
        <v>226</v>
      </c>
      <c r="P15" s="5">
        <v>-51.379757480742981</v>
      </c>
      <c r="Q15" s="5" t="s">
        <v>226</v>
      </c>
      <c r="R15" s="5">
        <v>-51.210481356406618</v>
      </c>
      <c r="S15" s="5" t="s">
        <v>226</v>
      </c>
      <c r="T15" s="5">
        <v>-46.315380983512441</v>
      </c>
      <c r="U15" s="5" t="s">
        <v>226</v>
      </c>
      <c r="V15" s="5">
        <v>-50.706439389194728</v>
      </c>
      <c r="W15" s="5" t="s">
        <v>226</v>
      </c>
      <c r="X15" s="5">
        <v>-44.833972243696742</v>
      </c>
      <c r="Y15" s="5" t="s">
        <v>226</v>
      </c>
      <c r="Z15" s="5">
        <v>-46.790234305409378</v>
      </c>
      <c r="AA15" s="5" t="s">
        <v>226</v>
      </c>
      <c r="AB15" s="5">
        <v>-48.658984340490022</v>
      </c>
      <c r="AC15" s="5" t="s">
        <v>226</v>
      </c>
      <c r="AD15" s="5">
        <v>-43.634878694584494</v>
      </c>
      <c r="AE15" s="5" t="s">
        <v>226</v>
      </c>
      <c r="AF15" s="5">
        <v>-37.155286448164297</v>
      </c>
      <c r="AG15" s="5" t="s">
        <v>226</v>
      </c>
      <c r="AH15" s="5">
        <v>-31.63399611739651</v>
      </c>
      <c r="AI15" s="5" t="s">
        <v>226</v>
      </c>
      <c r="AJ15" s="5">
        <v>-25.5810403203877</v>
      </c>
      <c r="AK15" s="5" t="s">
        <v>226</v>
      </c>
      <c r="AL15" s="5">
        <v>-17.279710894307598</v>
      </c>
      <c r="AM15" s="5" t="s">
        <v>226</v>
      </c>
      <c r="AN15" s="5">
        <v>-23.072610780925221</v>
      </c>
      <c r="AO15" s="5" t="s">
        <v>226</v>
      </c>
      <c r="AP15" s="5">
        <v>-26.60798159454685</v>
      </c>
      <c r="AQ15" s="5" t="s">
        <v>226</v>
      </c>
      <c r="AR15" s="5">
        <v>-16.575960195627911</v>
      </c>
      <c r="AS15" s="5" t="s">
        <v>226</v>
      </c>
      <c r="AT15" s="5">
        <v>3.851984409883435</v>
      </c>
      <c r="AU15" s="5"/>
      <c r="AV15" s="6">
        <v>-1.3911139544819711</v>
      </c>
      <c r="AW15" s="5"/>
    </row>
    <row r="16" spans="1:49" ht="30" customHeight="1" x14ac:dyDescent="0.25">
      <c r="A16" s="4" t="s">
        <v>141</v>
      </c>
      <c r="B16" s="5">
        <v>-32.012641550601231</v>
      </c>
      <c r="C16" s="5" t="s">
        <v>226</v>
      </c>
      <c r="D16" s="5">
        <v>-24.655047801422761</v>
      </c>
      <c r="E16" s="5"/>
      <c r="F16" s="5">
        <v>-22.017851987463381</v>
      </c>
      <c r="G16" s="5"/>
      <c r="H16" s="5">
        <v>-21.445620303182931</v>
      </c>
      <c r="I16" s="5"/>
      <c r="J16" s="5">
        <v>-30.9780824091442</v>
      </c>
      <c r="K16" s="5" t="s">
        <v>226</v>
      </c>
      <c r="L16" s="5">
        <v>-23.961470057545721</v>
      </c>
      <c r="M16" s="5" t="s">
        <v>226</v>
      </c>
      <c r="N16" s="5">
        <v>-18.769232039953849</v>
      </c>
      <c r="O16" s="5"/>
      <c r="P16" s="5">
        <v>-17.799742930578429</v>
      </c>
      <c r="Q16" s="5"/>
      <c r="R16" s="5">
        <v>-17.245593644997061</v>
      </c>
      <c r="S16" s="5"/>
      <c r="T16" s="5">
        <v>-17.801476915952229</v>
      </c>
      <c r="U16" s="5"/>
      <c r="V16" s="5">
        <v>-34.681209598964763</v>
      </c>
      <c r="W16" s="5" t="s">
        <v>226</v>
      </c>
      <c r="X16" s="5">
        <v>-10.77162539230622</v>
      </c>
      <c r="Y16" s="5"/>
      <c r="Z16" s="5">
        <v>-14.69387475427104</v>
      </c>
      <c r="AA16" s="5"/>
      <c r="AB16" s="5">
        <v>-23.56636012159699</v>
      </c>
      <c r="AC16" s="5" t="s">
        <v>226</v>
      </c>
      <c r="AD16" s="5">
        <v>-14.942913701741039</v>
      </c>
      <c r="AE16" s="5"/>
      <c r="AF16" s="5">
        <v>-18.49979991978584</v>
      </c>
      <c r="AG16" s="5"/>
      <c r="AH16" s="5">
        <v>3.1526659841130789</v>
      </c>
      <c r="AI16" s="5"/>
      <c r="AJ16" s="5">
        <v>27.38795282069275</v>
      </c>
      <c r="AK16" s="5"/>
      <c r="AL16" s="5">
        <v>24.742193855566128</v>
      </c>
      <c r="AM16" s="5"/>
      <c r="AN16" s="5">
        <v>8.6854039155431995</v>
      </c>
      <c r="AO16" s="5"/>
      <c r="AP16" s="5">
        <v>3.4243621833648819</v>
      </c>
      <c r="AQ16" s="5"/>
      <c r="AR16" s="5">
        <v>25.82604727849596</v>
      </c>
      <c r="AS16" s="5"/>
      <c r="AT16" s="5">
        <v>87.215728492603645</v>
      </c>
      <c r="AU16" s="5" t="s">
        <v>226</v>
      </c>
      <c r="AV16" s="6">
        <v>27.220661824144869</v>
      </c>
      <c r="AW16" s="5"/>
    </row>
    <row r="17" spans="1:49" ht="15.75" x14ac:dyDescent="0.25">
      <c r="A17" s="7" t="s">
        <v>142</v>
      </c>
      <c r="B17" s="8">
        <v>28.863566999911789</v>
      </c>
      <c r="C17" s="8"/>
      <c r="D17" s="8">
        <v>14.55419648823935</v>
      </c>
      <c r="E17" s="8"/>
      <c r="F17" s="8">
        <v>67.198313806400293</v>
      </c>
      <c r="G17" s="8"/>
      <c r="H17" s="8">
        <v>38.744836695274053</v>
      </c>
      <c r="I17" s="8"/>
      <c r="J17" s="8">
        <v>7.4810418448266303</v>
      </c>
      <c r="K17" s="8"/>
      <c r="L17" s="8">
        <v>-16.839654275146842</v>
      </c>
      <c r="M17" s="8"/>
      <c r="N17" s="8">
        <v>3.5631293079848141</v>
      </c>
      <c r="O17" s="8"/>
      <c r="P17" s="8">
        <v>36.148941833505702</v>
      </c>
      <c r="Q17" s="8"/>
      <c r="R17" s="8">
        <v>32.759477387161184</v>
      </c>
      <c r="S17" s="8"/>
      <c r="T17" s="8">
        <v>22.988435061874601</v>
      </c>
      <c r="U17" s="8"/>
      <c r="V17" s="8">
        <v>-4.0063079566060136</v>
      </c>
      <c r="W17" s="8"/>
      <c r="X17" s="8">
        <v>48.138808478828388</v>
      </c>
      <c r="Y17" s="8"/>
      <c r="Z17" s="8">
        <v>36.351146602702507</v>
      </c>
      <c r="AA17" s="8"/>
      <c r="AB17" s="8">
        <v>16.174626058936141</v>
      </c>
      <c r="AC17" s="8"/>
      <c r="AD17" s="8">
        <v>41.400286431244247</v>
      </c>
      <c r="AE17" s="8"/>
      <c r="AF17" s="8">
        <v>68.746216066648103</v>
      </c>
      <c r="AG17" s="8"/>
      <c r="AH17" s="8">
        <v>68.396016229072004</v>
      </c>
      <c r="AI17" s="8"/>
      <c r="AJ17" s="8">
        <v>115.3113668324289</v>
      </c>
      <c r="AK17" s="8" t="s">
        <v>226</v>
      </c>
      <c r="AL17" s="8">
        <v>129.98782518508119</v>
      </c>
      <c r="AM17" s="8" t="s">
        <v>226</v>
      </c>
      <c r="AN17" s="8">
        <v>55.218199273540279</v>
      </c>
      <c r="AO17" s="8"/>
      <c r="AP17" s="8">
        <v>61.650608206544817</v>
      </c>
      <c r="AQ17" s="8"/>
      <c r="AR17" s="8">
        <v>178.2994497171602</v>
      </c>
      <c r="AS17" s="8" t="s">
        <v>226</v>
      </c>
      <c r="AT17" s="8">
        <v>202.5687157049779</v>
      </c>
      <c r="AU17" s="8" t="s">
        <v>226</v>
      </c>
      <c r="AV17" s="9">
        <v>19.126118762582589</v>
      </c>
      <c r="AW17" s="8"/>
    </row>
    <row r="18" spans="1:49" ht="15.75" x14ac:dyDescent="0.25">
      <c r="A18" s="7" t="s">
        <v>143</v>
      </c>
      <c r="B18" s="8">
        <v>-58.754561353866578</v>
      </c>
      <c r="C18" s="8" t="s">
        <v>226</v>
      </c>
      <c r="D18" s="8">
        <v>-57.87120828103378</v>
      </c>
      <c r="E18" s="8" t="s">
        <v>226</v>
      </c>
      <c r="F18" s="8">
        <v>-53.223823534530922</v>
      </c>
      <c r="G18" s="8" t="s">
        <v>226</v>
      </c>
      <c r="H18" s="8">
        <v>-54.835416406895753</v>
      </c>
      <c r="I18" s="8" t="s">
        <v>226</v>
      </c>
      <c r="J18" s="8">
        <v>-59.605252445721909</v>
      </c>
      <c r="K18" s="8" t="s">
        <v>226</v>
      </c>
      <c r="L18" s="8">
        <v>-56.324184735004643</v>
      </c>
      <c r="M18" s="8" t="s">
        <v>226</v>
      </c>
      <c r="N18" s="8">
        <v>-47.06425881716779</v>
      </c>
      <c r="O18" s="8" t="s">
        <v>226</v>
      </c>
      <c r="P18" s="8">
        <v>-53.154894420309283</v>
      </c>
      <c r="Q18" s="8" t="s">
        <v>226</v>
      </c>
      <c r="R18" s="8">
        <v>-52.545253434665923</v>
      </c>
      <c r="S18" s="8" t="s">
        <v>226</v>
      </c>
      <c r="T18" s="8">
        <v>-53.573629613165657</v>
      </c>
      <c r="U18" s="8" t="s">
        <v>226</v>
      </c>
      <c r="V18" s="8">
        <v>-64.375794923140745</v>
      </c>
      <c r="W18" s="8" t="s">
        <v>226</v>
      </c>
      <c r="X18" s="8">
        <v>-50.096101189287893</v>
      </c>
      <c r="Y18" s="8" t="s">
        <v>226</v>
      </c>
      <c r="Z18" s="8">
        <v>-49.326682562200773</v>
      </c>
      <c r="AA18" s="8" t="s">
        <v>226</v>
      </c>
      <c r="AB18" s="8">
        <v>-52.701282581444552</v>
      </c>
      <c r="AC18" s="8" t="s">
        <v>226</v>
      </c>
      <c r="AD18" s="8">
        <v>-53.032503737408611</v>
      </c>
      <c r="AE18" s="8" t="s">
        <v>226</v>
      </c>
      <c r="AF18" s="8">
        <v>-51.873843325272027</v>
      </c>
      <c r="AG18" s="8" t="s">
        <v>226</v>
      </c>
      <c r="AH18" s="8">
        <v>-25.954524862944162</v>
      </c>
      <c r="AI18" s="8"/>
      <c r="AJ18" s="8">
        <v>-23.323687936591948</v>
      </c>
      <c r="AK18" s="8"/>
      <c r="AL18" s="8">
        <v>-22.268279830031592</v>
      </c>
      <c r="AM18" s="8"/>
      <c r="AN18" s="8">
        <v>-13.96608348140118</v>
      </c>
      <c r="AO18" s="8"/>
      <c r="AP18" s="8">
        <v>-28.044434612175181</v>
      </c>
      <c r="AQ18" s="8"/>
      <c r="AR18" s="8">
        <v>-21.024592805353141</v>
      </c>
      <c r="AS18" s="8"/>
      <c r="AT18" s="8">
        <v>35.096476508366507</v>
      </c>
      <c r="AU18" s="8"/>
      <c r="AV18" s="9">
        <v>13.39075835647596</v>
      </c>
      <c r="AW18" s="8"/>
    </row>
    <row r="19" spans="1:49" ht="15.75" x14ac:dyDescent="0.25">
      <c r="A19" s="7" t="s">
        <v>144</v>
      </c>
      <c r="B19" s="8">
        <v>-9.8420157962658905</v>
      </c>
      <c r="C19" s="8"/>
      <c r="D19" s="8">
        <v>25.189264722370641</v>
      </c>
      <c r="E19" s="8"/>
      <c r="F19" s="8">
        <v>1.6394775607732499</v>
      </c>
      <c r="G19" s="8"/>
      <c r="H19" s="8">
        <v>16.399627613285571</v>
      </c>
      <c r="I19" s="8"/>
      <c r="J19" s="8">
        <v>4.0171078940603788</v>
      </c>
      <c r="K19" s="8"/>
      <c r="L19" s="8">
        <v>44.797357833953953</v>
      </c>
      <c r="M19" s="8"/>
      <c r="N19" s="8">
        <v>12.336556329465219</v>
      </c>
      <c r="O19" s="8"/>
      <c r="P19" s="8">
        <v>26.81626150863088</v>
      </c>
      <c r="Q19" s="8"/>
      <c r="R19" s="8">
        <v>27.840693984234651</v>
      </c>
      <c r="S19" s="8"/>
      <c r="T19" s="8">
        <v>34.812280987625833</v>
      </c>
      <c r="U19" s="8"/>
      <c r="V19" s="8">
        <v>16.42164143182687</v>
      </c>
      <c r="W19" s="8"/>
      <c r="X19" s="8">
        <v>42.577817139593009</v>
      </c>
      <c r="Y19" s="8"/>
      <c r="Z19" s="8">
        <v>23.984837519172579</v>
      </c>
      <c r="AA19" s="8"/>
      <c r="AB19" s="8">
        <v>6.0354426902649694</v>
      </c>
      <c r="AC19" s="8"/>
      <c r="AD19" s="8">
        <v>39.367967021732113</v>
      </c>
      <c r="AE19" s="8"/>
      <c r="AF19" s="8">
        <v>9.8391623589030743</v>
      </c>
      <c r="AG19" s="8"/>
      <c r="AH19" s="8">
        <v>15.381798059250309</v>
      </c>
      <c r="AI19" s="8"/>
      <c r="AJ19" s="8">
        <v>77.475142166309553</v>
      </c>
      <c r="AK19" s="8"/>
      <c r="AL19" s="8">
        <v>60.366257731840427</v>
      </c>
      <c r="AM19" s="8"/>
      <c r="AN19" s="8">
        <v>14.86446781403861</v>
      </c>
      <c r="AO19" s="8"/>
      <c r="AP19" s="8">
        <v>21.410654508757101</v>
      </c>
      <c r="AQ19" s="8"/>
      <c r="AR19" s="8">
        <v>52.638089462471349</v>
      </c>
      <c r="AS19" s="8"/>
      <c r="AT19" s="8">
        <v>108.85034484062091</v>
      </c>
      <c r="AU19" s="8" t="s">
        <v>226</v>
      </c>
      <c r="AV19" s="9">
        <v>43.455926371502713</v>
      </c>
      <c r="AW19" s="8"/>
    </row>
    <row r="20" spans="1:49" ht="30" customHeight="1" x14ac:dyDescent="0.25">
      <c r="A20" s="4" t="s">
        <v>145</v>
      </c>
      <c r="B20" s="5">
        <v>-79.61488536077583</v>
      </c>
      <c r="C20" s="5" t="s">
        <v>226</v>
      </c>
      <c r="D20" s="5">
        <v>-78.238040419205007</v>
      </c>
      <c r="E20" s="5" t="s">
        <v>226</v>
      </c>
      <c r="F20" s="5">
        <v>-72.997729916314896</v>
      </c>
      <c r="G20" s="5" t="s">
        <v>226</v>
      </c>
      <c r="H20" s="5">
        <v>-69.153283831715697</v>
      </c>
      <c r="I20" s="5" t="s">
        <v>226</v>
      </c>
      <c r="J20" s="5">
        <v>-67.575890618458558</v>
      </c>
      <c r="K20" s="5" t="s">
        <v>226</v>
      </c>
      <c r="L20" s="5">
        <v>-66.884186650654399</v>
      </c>
      <c r="M20" s="5" t="s">
        <v>226</v>
      </c>
      <c r="N20" s="5">
        <v>-62.429273714758871</v>
      </c>
      <c r="O20" s="5" t="s">
        <v>226</v>
      </c>
      <c r="P20" s="5">
        <v>-63.61983149215709</v>
      </c>
      <c r="Q20" s="5" t="s">
        <v>226</v>
      </c>
      <c r="R20" s="5">
        <v>-62.274102913965763</v>
      </c>
      <c r="S20" s="5" t="s">
        <v>226</v>
      </c>
      <c r="T20" s="5">
        <v>-55.952394316909391</v>
      </c>
      <c r="U20" s="5" t="s">
        <v>226</v>
      </c>
      <c r="V20" s="5">
        <v>-60.125858311325352</v>
      </c>
      <c r="W20" s="5" t="s">
        <v>226</v>
      </c>
      <c r="X20" s="5">
        <v>-58.333534438830839</v>
      </c>
      <c r="Y20" s="5" t="s">
        <v>226</v>
      </c>
      <c r="Z20" s="5">
        <v>-56.574615077416368</v>
      </c>
      <c r="AA20" s="5" t="s">
        <v>226</v>
      </c>
      <c r="AB20" s="5">
        <v>-60.531907324348609</v>
      </c>
      <c r="AC20" s="5" t="s">
        <v>226</v>
      </c>
      <c r="AD20" s="5">
        <v>-56.072417971978219</v>
      </c>
      <c r="AE20" s="5" t="s">
        <v>226</v>
      </c>
      <c r="AF20" s="5">
        <v>-55.511666798621683</v>
      </c>
      <c r="AG20" s="5" t="s">
        <v>226</v>
      </c>
      <c r="AH20" s="5">
        <v>-42.461628520547507</v>
      </c>
      <c r="AI20" s="5" t="s">
        <v>226</v>
      </c>
      <c r="AJ20" s="5">
        <v>-44.700611738110027</v>
      </c>
      <c r="AK20" s="5" t="s">
        <v>226</v>
      </c>
      <c r="AL20" s="5">
        <v>-33.915171707442788</v>
      </c>
      <c r="AM20" s="5" t="s">
        <v>226</v>
      </c>
      <c r="AN20" s="5">
        <v>-35.44265701624969</v>
      </c>
      <c r="AO20" s="5" t="s">
        <v>226</v>
      </c>
      <c r="AP20" s="5">
        <v>-42.823554043642339</v>
      </c>
      <c r="AQ20" s="5" t="s">
        <v>226</v>
      </c>
      <c r="AR20" s="5">
        <v>-30.91276078866095</v>
      </c>
      <c r="AS20" s="5" t="s">
        <v>226</v>
      </c>
      <c r="AT20" s="5">
        <v>-0.56603949279729893</v>
      </c>
      <c r="AU20" s="5"/>
      <c r="AV20" s="6">
        <v>-7.8555745978563518</v>
      </c>
      <c r="AW20" s="5"/>
    </row>
    <row r="21" spans="1:49" ht="38.25" customHeight="1" x14ac:dyDescent="0.25">
      <c r="A21" s="810" t="s">
        <v>147</v>
      </c>
      <c r="B21" s="812">
        <v>-83.933024488003412</v>
      </c>
      <c r="C21" s="812" t="s">
        <v>226</v>
      </c>
      <c r="D21" s="812">
        <v>-82.164941997114596</v>
      </c>
      <c r="E21" s="812" t="s">
        <v>226</v>
      </c>
      <c r="F21" s="812">
        <v>-79.673080386237331</v>
      </c>
      <c r="G21" s="812" t="s">
        <v>226</v>
      </c>
      <c r="H21" s="812">
        <v>-73.555927048481976</v>
      </c>
      <c r="I21" s="812" t="s">
        <v>226</v>
      </c>
      <c r="J21" s="812">
        <v>-72.27150339787886</v>
      </c>
      <c r="K21" s="812" t="s">
        <v>226</v>
      </c>
      <c r="L21" s="812">
        <v>-71.280753446448685</v>
      </c>
      <c r="M21" s="812" t="s">
        <v>226</v>
      </c>
      <c r="N21" s="812">
        <v>-64.472050762818881</v>
      </c>
      <c r="O21" s="812" t="s">
        <v>226</v>
      </c>
      <c r="P21" s="812">
        <v>-63.291698843308339</v>
      </c>
      <c r="Q21" s="812" t="s">
        <v>226</v>
      </c>
      <c r="R21" s="812">
        <v>-62.585036587529324</v>
      </c>
      <c r="S21" s="812" t="s">
        <v>226</v>
      </c>
      <c r="T21" s="812">
        <v>-60.822476384718577</v>
      </c>
      <c r="U21" s="812" t="s">
        <v>226</v>
      </c>
      <c r="V21" s="812">
        <v>-62.079517232627687</v>
      </c>
      <c r="W21" s="812" t="s">
        <v>226</v>
      </c>
      <c r="X21" s="812">
        <v>-58.978903222456601</v>
      </c>
      <c r="Y21" s="812" t="s">
        <v>226</v>
      </c>
      <c r="Z21" s="812">
        <v>-63.56617590452597</v>
      </c>
      <c r="AA21" s="812" t="s">
        <v>226</v>
      </c>
      <c r="AB21" s="812">
        <v>-59.176033725609379</v>
      </c>
      <c r="AC21" s="812" t="s">
        <v>226</v>
      </c>
      <c r="AD21" s="812">
        <v>-57.596430184313519</v>
      </c>
      <c r="AE21" s="812" t="s">
        <v>226</v>
      </c>
      <c r="AF21" s="812">
        <v>-51.8256072505079</v>
      </c>
      <c r="AG21" s="812" t="s">
        <v>226</v>
      </c>
      <c r="AH21" s="812">
        <v>-52.018330734706517</v>
      </c>
      <c r="AI21" s="812" t="s">
        <v>226</v>
      </c>
      <c r="AJ21" s="812">
        <v>-46.04202158198656</v>
      </c>
      <c r="AK21" s="812" t="s">
        <v>226</v>
      </c>
      <c r="AL21" s="812">
        <v>-42.116622608234721</v>
      </c>
      <c r="AM21" s="812" t="s">
        <v>226</v>
      </c>
      <c r="AN21" s="812">
        <v>-45.570921232080728</v>
      </c>
      <c r="AO21" s="812" t="s">
        <v>226</v>
      </c>
      <c r="AP21" s="812">
        <v>-46.169977033028189</v>
      </c>
      <c r="AQ21" s="812" t="s">
        <v>226</v>
      </c>
      <c r="AR21" s="812">
        <v>-35.322079182993129</v>
      </c>
      <c r="AS21" s="812" t="s">
        <v>226</v>
      </c>
      <c r="AT21" s="812">
        <v>-8.056815667525342</v>
      </c>
      <c r="AU21" s="812"/>
      <c r="AV21" s="815">
        <v>-7.9165190913304322</v>
      </c>
      <c r="AW21" s="812"/>
    </row>
    <row r="22" spans="1:49" ht="15.75" x14ac:dyDescent="0.25">
      <c r="A22" s="7" t="s">
        <v>153</v>
      </c>
      <c r="B22" s="8">
        <v>-85.536947100888213</v>
      </c>
      <c r="C22" s="8" t="s">
        <v>226</v>
      </c>
      <c r="D22" s="8">
        <v>-82.839937330749521</v>
      </c>
      <c r="E22" s="8" t="s">
        <v>226</v>
      </c>
      <c r="F22" s="8">
        <v>-82.326906150345522</v>
      </c>
      <c r="G22" s="8" t="s">
        <v>226</v>
      </c>
      <c r="H22" s="8">
        <v>-76.34865872843757</v>
      </c>
      <c r="I22" s="8" t="s">
        <v>226</v>
      </c>
      <c r="J22" s="8">
        <v>-75.564113767252778</v>
      </c>
      <c r="K22" s="8" t="s">
        <v>226</v>
      </c>
      <c r="L22" s="8">
        <v>-73.662415520423849</v>
      </c>
      <c r="M22" s="8" t="s">
        <v>226</v>
      </c>
      <c r="N22" s="8">
        <v>-69.630041363842167</v>
      </c>
      <c r="O22" s="8" t="s">
        <v>226</v>
      </c>
      <c r="P22" s="8">
        <v>-68.014276050013848</v>
      </c>
      <c r="Q22" s="8" t="s">
        <v>226</v>
      </c>
      <c r="R22" s="8">
        <v>-66.569346790657363</v>
      </c>
      <c r="S22" s="8" t="s">
        <v>226</v>
      </c>
      <c r="T22" s="8">
        <v>-64.80279406620572</v>
      </c>
      <c r="U22" s="8" t="s">
        <v>226</v>
      </c>
      <c r="V22" s="8">
        <v>-66.716918057724399</v>
      </c>
      <c r="W22" s="8" t="s">
        <v>226</v>
      </c>
      <c r="X22" s="8">
        <v>-63.271569481136339</v>
      </c>
      <c r="Y22" s="8" t="s">
        <v>226</v>
      </c>
      <c r="Z22" s="8">
        <v>-67.528982255175791</v>
      </c>
      <c r="AA22" s="8" t="s">
        <v>226</v>
      </c>
      <c r="AB22" s="8">
        <v>-63.162633264352209</v>
      </c>
      <c r="AC22" s="8" t="s">
        <v>226</v>
      </c>
      <c r="AD22" s="8">
        <v>-60.523798419977581</v>
      </c>
      <c r="AE22" s="8" t="s">
        <v>226</v>
      </c>
      <c r="AF22" s="8">
        <v>-56.614712194941362</v>
      </c>
      <c r="AG22" s="8" t="s">
        <v>226</v>
      </c>
      <c r="AH22" s="8">
        <v>-54.966413980780693</v>
      </c>
      <c r="AI22" s="8" t="s">
        <v>226</v>
      </c>
      <c r="AJ22" s="8">
        <v>-48.624718027300908</v>
      </c>
      <c r="AK22" s="8" t="s">
        <v>226</v>
      </c>
      <c r="AL22" s="8">
        <v>-48.983546628010622</v>
      </c>
      <c r="AM22" s="8" t="s">
        <v>226</v>
      </c>
      <c r="AN22" s="8">
        <v>-49.455667245453171</v>
      </c>
      <c r="AO22" s="8" t="s">
        <v>226</v>
      </c>
      <c r="AP22" s="8">
        <v>-50.468522411613932</v>
      </c>
      <c r="AQ22" s="8" t="s">
        <v>226</v>
      </c>
      <c r="AR22" s="8">
        <v>-38.026543185246851</v>
      </c>
      <c r="AS22" s="8" t="s">
        <v>226</v>
      </c>
      <c r="AT22" s="8">
        <v>3.5492625539468969</v>
      </c>
      <c r="AU22" s="8"/>
      <c r="AV22" s="9">
        <v>-2.4989434949662992</v>
      </c>
      <c r="AW22" s="8"/>
    </row>
    <row r="23" spans="1:49" ht="15.75" x14ac:dyDescent="0.25">
      <c r="A23" s="7" t="s">
        <v>149</v>
      </c>
      <c r="B23" s="8">
        <v>-88.924200027667581</v>
      </c>
      <c r="C23" s="8" t="s">
        <v>226</v>
      </c>
      <c r="D23" s="8">
        <v>-87.333803942932704</v>
      </c>
      <c r="E23" s="8" t="s">
        <v>226</v>
      </c>
      <c r="F23" s="8">
        <v>-86.456803224098479</v>
      </c>
      <c r="G23" s="8" t="s">
        <v>226</v>
      </c>
      <c r="H23" s="8">
        <v>-80.604571185868565</v>
      </c>
      <c r="I23" s="8" t="s">
        <v>226</v>
      </c>
      <c r="J23" s="8">
        <v>-80.331835597953955</v>
      </c>
      <c r="K23" s="8" t="s">
        <v>226</v>
      </c>
      <c r="L23" s="8">
        <v>-79.911782517262282</v>
      </c>
      <c r="M23" s="8" t="s">
        <v>226</v>
      </c>
      <c r="N23" s="8">
        <v>-75.232225844245022</v>
      </c>
      <c r="O23" s="8" t="s">
        <v>226</v>
      </c>
      <c r="P23" s="8">
        <v>-73.886961463952801</v>
      </c>
      <c r="Q23" s="8" t="s">
        <v>226</v>
      </c>
      <c r="R23" s="8">
        <v>-73.464826221113469</v>
      </c>
      <c r="S23" s="8" t="s">
        <v>226</v>
      </c>
      <c r="T23" s="8">
        <v>-72.087201895056594</v>
      </c>
      <c r="U23" s="8" t="s">
        <v>226</v>
      </c>
      <c r="V23" s="8">
        <v>-73.001874222717447</v>
      </c>
      <c r="W23" s="8" t="s">
        <v>226</v>
      </c>
      <c r="X23" s="8">
        <v>-70.288200022705595</v>
      </c>
      <c r="Y23" s="8" t="s">
        <v>226</v>
      </c>
      <c r="Z23" s="8">
        <v>-72.33940669203831</v>
      </c>
      <c r="AA23" s="8" t="s">
        <v>226</v>
      </c>
      <c r="AB23" s="8">
        <v>-69.510840117552632</v>
      </c>
      <c r="AC23" s="8" t="s">
        <v>226</v>
      </c>
      <c r="AD23" s="8">
        <v>-68.284413012250567</v>
      </c>
      <c r="AE23" s="8" t="s">
        <v>226</v>
      </c>
      <c r="AF23" s="8">
        <v>-60.899845551185308</v>
      </c>
      <c r="AG23" s="8" t="s">
        <v>226</v>
      </c>
      <c r="AH23" s="8">
        <v>-62.333008181980368</v>
      </c>
      <c r="AI23" s="8" t="s">
        <v>226</v>
      </c>
      <c r="AJ23" s="8">
        <v>-56.044036820466218</v>
      </c>
      <c r="AK23" s="8" t="s">
        <v>226</v>
      </c>
      <c r="AL23" s="8">
        <v>-52.570976015617823</v>
      </c>
      <c r="AM23" s="8" t="s">
        <v>226</v>
      </c>
      <c r="AN23" s="8">
        <v>-55.945430774210116</v>
      </c>
      <c r="AO23" s="8" t="s">
        <v>226</v>
      </c>
      <c r="AP23" s="8">
        <v>-56.58990452374811</v>
      </c>
      <c r="AQ23" s="8" t="s">
        <v>226</v>
      </c>
      <c r="AR23" s="8">
        <v>-45.596003510708712</v>
      </c>
      <c r="AS23" s="8" t="s">
        <v>226</v>
      </c>
      <c r="AT23" s="8">
        <v>-3.9103481405262319</v>
      </c>
      <c r="AU23" s="8"/>
      <c r="AV23" s="9">
        <v>4.0003464131024744</v>
      </c>
      <c r="AW23" s="8"/>
    </row>
    <row r="24" spans="1:49" ht="15.75" x14ac:dyDescent="0.25">
      <c r="A24" s="7" t="s">
        <v>150</v>
      </c>
      <c r="B24" s="8">
        <v>-73.517432183029641</v>
      </c>
      <c r="C24" s="8" t="s">
        <v>226</v>
      </c>
      <c r="D24" s="8">
        <v>-63.754836908320932</v>
      </c>
      <c r="E24" s="8" t="s">
        <v>226</v>
      </c>
      <c r="F24" s="8">
        <v>-67.717072252251924</v>
      </c>
      <c r="G24" s="8" t="s">
        <v>226</v>
      </c>
      <c r="H24" s="8">
        <v>-64.927336923596755</v>
      </c>
      <c r="I24" s="8" t="s">
        <v>226</v>
      </c>
      <c r="J24" s="8">
        <v>-61.833806710555137</v>
      </c>
      <c r="K24" s="8" t="s">
        <v>226</v>
      </c>
      <c r="L24" s="8">
        <v>-51.073720216379463</v>
      </c>
      <c r="M24" s="8" t="s">
        <v>226</v>
      </c>
      <c r="N24" s="8">
        <v>-54.284180231178617</v>
      </c>
      <c r="O24" s="8" t="s">
        <v>226</v>
      </c>
      <c r="P24" s="8">
        <v>-51.990723238176997</v>
      </c>
      <c r="Q24" s="8" t="s">
        <v>226</v>
      </c>
      <c r="R24" s="8">
        <v>-45.583424246081563</v>
      </c>
      <c r="S24" s="8" t="s">
        <v>226</v>
      </c>
      <c r="T24" s="8">
        <v>-42.554123655671638</v>
      </c>
      <c r="U24" s="8" t="s">
        <v>226</v>
      </c>
      <c r="V24" s="8">
        <v>-49.148866358318209</v>
      </c>
      <c r="W24" s="8" t="s">
        <v>226</v>
      </c>
      <c r="X24" s="8">
        <v>-43.453615678317433</v>
      </c>
      <c r="Y24" s="8" t="s">
        <v>226</v>
      </c>
      <c r="Z24" s="8">
        <v>-56.233034773447407</v>
      </c>
      <c r="AA24" s="8" t="s">
        <v>226</v>
      </c>
      <c r="AB24" s="8">
        <v>-46.689693181653901</v>
      </c>
      <c r="AC24" s="8" t="s">
        <v>226</v>
      </c>
      <c r="AD24" s="8">
        <v>-38.014024959234114</v>
      </c>
      <c r="AE24" s="8" t="s">
        <v>226</v>
      </c>
      <c r="AF24" s="8">
        <v>-48.187712906396577</v>
      </c>
      <c r="AG24" s="8" t="s">
        <v>226</v>
      </c>
      <c r="AH24" s="8">
        <v>-36.550795119798522</v>
      </c>
      <c r="AI24" s="8" t="s">
        <v>226</v>
      </c>
      <c r="AJ24" s="8">
        <v>-31.45430508969725</v>
      </c>
      <c r="AK24" s="8" t="s">
        <v>226</v>
      </c>
      <c r="AL24" s="8">
        <v>-42.532740532143961</v>
      </c>
      <c r="AM24" s="8" t="s">
        <v>226</v>
      </c>
      <c r="AN24" s="8">
        <v>-35.313919911212551</v>
      </c>
      <c r="AO24" s="8" t="s">
        <v>226</v>
      </c>
      <c r="AP24" s="8">
        <v>-37.359576972399232</v>
      </c>
      <c r="AQ24" s="8" t="s">
        <v>226</v>
      </c>
      <c r="AR24" s="8">
        <v>-21.900084797221641</v>
      </c>
      <c r="AS24" s="8"/>
      <c r="AT24" s="8">
        <v>17.032716334184752</v>
      </c>
      <c r="AU24" s="8"/>
      <c r="AV24" s="9">
        <v>-10.774102958060629</v>
      </c>
      <c r="AW24" s="8"/>
    </row>
    <row r="25" spans="1:49" ht="15.75" x14ac:dyDescent="0.25">
      <c r="A25" s="7" t="s">
        <v>154</v>
      </c>
      <c r="B25" s="8">
        <v>-81.018878332514134</v>
      </c>
      <c r="C25" s="8" t="s">
        <v>226</v>
      </c>
      <c r="D25" s="8">
        <v>-81.137775535887144</v>
      </c>
      <c r="E25" s="8" t="s">
        <v>226</v>
      </c>
      <c r="F25" s="8">
        <v>-74.338381878137483</v>
      </c>
      <c r="G25" s="8" t="s">
        <v>226</v>
      </c>
      <c r="H25" s="8">
        <v>-68.388354783905669</v>
      </c>
      <c r="I25" s="8" t="s">
        <v>226</v>
      </c>
      <c r="J25" s="8">
        <v>-65.912781517437764</v>
      </c>
      <c r="K25" s="8" t="s">
        <v>226</v>
      </c>
      <c r="L25" s="8">
        <v>-67.170869060784909</v>
      </c>
      <c r="M25" s="8" t="s">
        <v>226</v>
      </c>
      <c r="N25" s="8">
        <v>-53.550529537640337</v>
      </c>
      <c r="O25" s="8" t="s">
        <v>226</v>
      </c>
      <c r="P25" s="8">
        <v>-53.860639542243852</v>
      </c>
      <c r="Q25" s="8" t="s">
        <v>226</v>
      </c>
      <c r="R25" s="8">
        <v>-55.191857204151148</v>
      </c>
      <c r="S25" s="8" t="s">
        <v>226</v>
      </c>
      <c r="T25" s="8">
        <v>-53.550417604189697</v>
      </c>
      <c r="U25" s="8" t="s">
        <v>226</v>
      </c>
      <c r="V25" s="8">
        <v>-53.016766779725693</v>
      </c>
      <c r="W25" s="8" t="s">
        <v>226</v>
      </c>
      <c r="X25" s="8">
        <v>-51.06022395901266</v>
      </c>
      <c r="Y25" s="8" t="s">
        <v>226</v>
      </c>
      <c r="Z25" s="8">
        <v>-56.158984293624748</v>
      </c>
      <c r="AA25" s="8" t="s">
        <v>226</v>
      </c>
      <c r="AB25" s="8">
        <v>-51.981772947561147</v>
      </c>
      <c r="AC25" s="8" t="s">
        <v>226</v>
      </c>
      <c r="AD25" s="8">
        <v>-52.745174274874692</v>
      </c>
      <c r="AE25" s="8" t="s">
        <v>226</v>
      </c>
      <c r="AF25" s="8">
        <v>-43.135642177191492</v>
      </c>
      <c r="AG25" s="8" t="s">
        <v>226</v>
      </c>
      <c r="AH25" s="8">
        <v>-47.236395513780948</v>
      </c>
      <c r="AI25" s="8" t="s">
        <v>226</v>
      </c>
      <c r="AJ25" s="8">
        <v>-42.005852632116017</v>
      </c>
      <c r="AK25" s="8" t="s">
        <v>226</v>
      </c>
      <c r="AL25" s="8">
        <v>-28.860038737395211</v>
      </c>
      <c r="AM25" s="8" t="s">
        <v>226</v>
      </c>
      <c r="AN25" s="8">
        <v>-39.0898657465657</v>
      </c>
      <c r="AO25" s="8" t="s">
        <v>226</v>
      </c>
      <c r="AP25" s="8">
        <v>-38.819427865146928</v>
      </c>
      <c r="AQ25" s="8" t="s">
        <v>226</v>
      </c>
      <c r="AR25" s="8">
        <v>-31.163343971513129</v>
      </c>
      <c r="AS25" s="8" t="s">
        <v>226</v>
      </c>
      <c r="AT25" s="8">
        <v>-20.407146149270279</v>
      </c>
      <c r="AU25" s="8"/>
      <c r="AV25" s="9">
        <v>-14.493981345957559</v>
      </c>
      <c r="AW25" s="8"/>
    </row>
    <row r="26" spans="1:49" ht="28.5" customHeight="1" x14ac:dyDescent="0.25">
      <c r="A26" s="7" t="s">
        <v>227</v>
      </c>
      <c r="B26" s="8">
        <v>-84.20986888754507</v>
      </c>
      <c r="C26" s="8" t="s">
        <v>226</v>
      </c>
      <c r="D26" s="8">
        <v>-82.566655972236703</v>
      </c>
      <c r="E26" s="8" t="s">
        <v>226</v>
      </c>
      <c r="F26" s="8">
        <v>-78.076142750219191</v>
      </c>
      <c r="G26" s="8" t="s">
        <v>226</v>
      </c>
      <c r="H26" s="8">
        <v>-71.833515954656349</v>
      </c>
      <c r="I26" s="8" t="s">
        <v>226</v>
      </c>
      <c r="J26" s="8">
        <v>-71.801537470889016</v>
      </c>
      <c r="K26" s="8" t="s">
        <v>226</v>
      </c>
      <c r="L26" s="8">
        <v>-71.248102266159748</v>
      </c>
      <c r="M26" s="8" t="s">
        <v>226</v>
      </c>
      <c r="N26" s="8">
        <v>-63.980828443920679</v>
      </c>
      <c r="O26" s="8" t="s">
        <v>226</v>
      </c>
      <c r="P26" s="8">
        <v>-62.533288567636617</v>
      </c>
      <c r="Q26" s="8" t="s">
        <v>226</v>
      </c>
      <c r="R26" s="8">
        <v>-61.952070841033049</v>
      </c>
      <c r="S26" s="8" t="s">
        <v>226</v>
      </c>
      <c r="T26" s="8">
        <v>-62.108950213522903</v>
      </c>
      <c r="U26" s="8" t="s">
        <v>226</v>
      </c>
      <c r="V26" s="8">
        <v>-62.383379261101418</v>
      </c>
      <c r="W26" s="8" t="s">
        <v>226</v>
      </c>
      <c r="X26" s="8">
        <v>-58.473071529662988</v>
      </c>
      <c r="Y26" s="8" t="s">
        <v>226</v>
      </c>
      <c r="Z26" s="8">
        <v>-63.349938045279572</v>
      </c>
      <c r="AA26" s="8" t="s">
        <v>226</v>
      </c>
      <c r="AB26" s="8">
        <v>-60.949703745901317</v>
      </c>
      <c r="AC26" s="8" t="s">
        <v>226</v>
      </c>
      <c r="AD26" s="8">
        <v>-57.867171690121843</v>
      </c>
      <c r="AE26" s="8" t="s">
        <v>226</v>
      </c>
      <c r="AF26" s="8">
        <v>-52.660636285272837</v>
      </c>
      <c r="AG26" s="8" t="s">
        <v>226</v>
      </c>
      <c r="AH26" s="8">
        <v>-51.750091683140262</v>
      </c>
      <c r="AI26" s="8" t="s">
        <v>226</v>
      </c>
      <c r="AJ26" s="8">
        <v>-45.142459368206318</v>
      </c>
      <c r="AK26" s="8" t="s">
        <v>226</v>
      </c>
      <c r="AL26" s="8">
        <v>-41.834619433807532</v>
      </c>
      <c r="AM26" s="8" t="s">
        <v>226</v>
      </c>
      <c r="AN26" s="8">
        <v>-46.741159771520053</v>
      </c>
      <c r="AO26" s="8" t="s">
        <v>226</v>
      </c>
      <c r="AP26" s="8">
        <v>-47.806165902618098</v>
      </c>
      <c r="AQ26" s="8" t="s">
        <v>226</v>
      </c>
      <c r="AR26" s="8">
        <v>-40.056071837413683</v>
      </c>
      <c r="AS26" s="8" t="s">
        <v>226</v>
      </c>
      <c r="AT26" s="8">
        <v>-10.9532941830408</v>
      </c>
      <c r="AU26" s="8"/>
      <c r="AV26" s="9">
        <v>-7.3263637256838043</v>
      </c>
      <c r="AW26" s="8"/>
    </row>
    <row r="27" spans="1:49" ht="15.75" x14ac:dyDescent="0.25">
      <c r="A27" s="7" t="s">
        <v>153</v>
      </c>
      <c r="B27" s="8">
        <v>-85.979505455886809</v>
      </c>
      <c r="C27" s="8" t="s">
        <v>226</v>
      </c>
      <c r="D27" s="8">
        <v>-83.314112616336359</v>
      </c>
      <c r="E27" s="8" t="s">
        <v>226</v>
      </c>
      <c r="F27" s="8">
        <v>-81.319886269813935</v>
      </c>
      <c r="G27" s="8" t="s">
        <v>226</v>
      </c>
      <c r="H27" s="8">
        <v>-74.681740574223525</v>
      </c>
      <c r="I27" s="8" t="s">
        <v>226</v>
      </c>
      <c r="J27" s="8">
        <v>-75.186690023661413</v>
      </c>
      <c r="K27" s="8" t="s">
        <v>226</v>
      </c>
      <c r="L27" s="8">
        <v>-74.243183063351893</v>
      </c>
      <c r="M27" s="8" t="s">
        <v>226</v>
      </c>
      <c r="N27" s="8">
        <v>-70.546797554242545</v>
      </c>
      <c r="O27" s="8" t="s">
        <v>226</v>
      </c>
      <c r="P27" s="8">
        <v>-68.408426263755373</v>
      </c>
      <c r="Q27" s="8" t="s">
        <v>226</v>
      </c>
      <c r="R27" s="8">
        <v>-67.12684080304399</v>
      </c>
      <c r="S27" s="8" t="s">
        <v>226</v>
      </c>
      <c r="T27" s="8">
        <v>-67.93480297225841</v>
      </c>
      <c r="U27" s="8" t="s">
        <v>226</v>
      </c>
      <c r="V27" s="8">
        <v>-68.691493703017926</v>
      </c>
      <c r="W27" s="8" t="s">
        <v>226</v>
      </c>
      <c r="X27" s="8">
        <v>-64.632091155780415</v>
      </c>
      <c r="Y27" s="8" t="s">
        <v>226</v>
      </c>
      <c r="Z27" s="8">
        <v>-69.341811311424877</v>
      </c>
      <c r="AA27" s="8" t="s">
        <v>226</v>
      </c>
      <c r="AB27" s="8">
        <v>-66.890429565381567</v>
      </c>
      <c r="AC27" s="8" t="s">
        <v>226</v>
      </c>
      <c r="AD27" s="8">
        <v>-63.048156001093211</v>
      </c>
      <c r="AE27" s="8" t="s">
        <v>226</v>
      </c>
      <c r="AF27" s="8">
        <v>-59.887285905757778</v>
      </c>
      <c r="AG27" s="8" t="s">
        <v>226</v>
      </c>
      <c r="AH27" s="8">
        <v>-56.626056698545263</v>
      </c>
      <c r="AI27" s="8" t="s">
        <v>226</v>
      </c>
      <c r="AJ27" s="8">
        <v>-48.158518205557307</v>
      </c>
      <c r="AK27" s="8" t="s">
        <v>226</v>
      </c>
      <c r="AL27" s="8">
        <v>-50.658562569057111</v>
      </c>
      <c r="AM27" s="8" t="s">
        <v>226</v>
      </c>
      <c r="AN27" s="8">
        <v>-53.719597658594182</v>
      </c>
      <c r="AO27" s="8" t="s">
        <v>226</v>
      </c>
      <c r="AP27" s="8">
        <v>-54.184059384158331</v>
      </c>
      <c r="AQ27" s="8" t="s">
        <v>226</v>
      </c>
      <c r="AR27" s="8">
        <v>-43.511799577584007</v>
      </c>
      <c r="AS27" s="8" t="s">
        <v>226</v>
      </c>
      <c r="AT27" s="8">
        <v>-3.4004995555430022</v>
      </c>
      <c r="AU27" s="8"/>
      <c r="AV27" s="9">
        <v>-4.456484258425486</v>
      </c>
      <c r="AW27" s="8"/>
    </row>
    <row r="28" spans="1:49" ht="15.75" x14ac:dyDescent="0.25">
      <c r="A28" s="7" t="s">
        <v>149</v>
      </c>
      <c r="B28" s="8">
        <v>-89.823553882756286</v>
      </c>
      <c r="C28" s="8" t="s">
        <v>226</v>
      </c>
      <c r="D28" s="8">
        <v>-87.607900785543379</v>
      </c>
      <c r="E28" s="8" t="s">
        <v>226</v>
      </c>
      <c r="F28" s="8">
        <v>-85.103599059589484</v>
      </c>
      <c r="G28" s="8" t="s">
        <v>226</v>
      </c>
      <c r="H28" s="8">
        <v>-79.845973839687034</v>
      </c>
      <c r="I28" s="8" t="s">
        <v>226</v>
      </c>
      <c r="J28" s="8">
        <v>-80.635285745929338</v>
      </c>
      <c r="K28" s="8" t="s">
        <v>226</v>
      </c>
      <c r="L28" s="8">
        <v>-81.139462147967464</v>
      </c>
      <c r="M28" s="8" t="s">
        <v>226</v>
      </c>
      <c r="N28" s="8">
        <v>-76.012975039972559</v>
      </c>
      <c r="O28" s="8" t="s">
        <v>226</v>
      </c>
      <c r="P28" s="8">
        <v>-74.752956370512379</v>
      </c>
      <c r="Q28" s="8" t="s">
        <v>226</v>
      </c>
      <c r="R28" s="8">
        <v>-74.350576487881966</v>
      </c>
      <c r="S28" s="8" t="s">
        <v>226</v>
      </c>
      <c r="T28" s="8">
        <v>-75.118969868515478</v>
      </c>
      <c r="U28" s="8" t="s">
        <v>226</v>
      </c>
      <c r="V28" s="8">
        <v>-74.530366352588246</v>
      </c>
      <c r="W28" s="8" t="s">
        <v>226</v>
      </c>
      <c r="X28" s="8">
        <v>-71.200691425753917</v>
      </c>
      <c r="Y28" s="8" t="s">
        <v>226</v>
      </c>
      <c r="Z28" s="8">
        <v>-73.609523858654555</v>
      </c>
      <c r="AA28" s="8" t="s">
        <v>226</v>
      </c>
      <c r="AB28" s="8">
        <v>-72.643389204466956</v>
      </c>
      <c r="AC28" s="8" t="s">
        <v>226</v>
      </c>
      <c r="AD28" s="8">
        <v>-69.99994421686597</v>
      </c>
      <c r="AE28" s="8" t="s">
        <v>226</v>
      </c>
      <c r="AF28" s="8">
        <v>-63.829697397455497</v>
      </c>
      <c r="AG28" s="8" t="s">
        <v>226</v>
      </c>
      <c r="AH28" s="8">
        <v>-62.64578242159147</v>
      </c>
      <c r="AI28" s="8" t="s">
        <v>226</v>
      </c>
      <c r="AJ28" s="8">
        <v>-53.483360315476048</v>
      </c>
      <c r="AK28" s="8" t="s">
        <v>226</v>
      </c>
      <c r="AL28" s="8">
        <v>-52.776075717430437</v>
      </c>
      <c r="AM28" s="8" t="s">
        <v>226</v>
      </c>
      <c r="AN28" s="8">
        <v>-58.723630055613377</v>
      </c>
      <c r="AO28" s="8" t="s">
        <v>226</v>
      </c>
      <c r="AP28" s="8">
        <v>-59.464959819116537</v>
      </c>
      <c r="AQ28" s="8" t="s">
        <v>226</v>
      </c>
      <c r="AR28" s="8">
        <v>-50.325456486033147</v>
      </c>
      <c r="AS28" s="8" t="s">
        <v>226</v>
      </c>
      <c r="AT28" s="8">
        <v>-12.16940348928148</v>
      </c>
      <c r="AU28" s="8"/>
      <c r="AV28" s="9">
        <v>2.5716148245650272</v>
      </c>
      <c r="AW28" s="8"/>
    </row>
    <row r="29" spans="1:49" ht="15.75" x14ac:dyDescent="0.25">
      <c r="A29" s="7" t="s">
        <v>150</v>
      </c>
      <c r="B29" s="8">
        <v>-72.004558542746238</v>
      </c>
      <c r="C29" s="8" t="s">
        <v>226</v>
      </c>
      <c r="D29" s="8">
        <v>-69.221437450882235</v>
      </c>
      <c r="E29" s="8" t="s">
        <v>226</v>
      </c>
      <c r="F29" s="8">
        <v>-71.882135019706013</v>
      </c>
      <c r="G29" s="8" t="s">
        <v>226</v>
      </c>
      <c r="H29" s="8">
        <v>-61.719909189926071</v>
      </c>
      <c r="I29" s="8" t="s">
        <v>226</v>
      </c>
      <c r="J29" s="8">
        <v>-60.50021348409971</v>
      </c>
      <c r="K29" s="8" t="s">
        <v>226</v>
      </c>
      <c r="L29" s="8">
        <v>-50.162759927598977</v>
      </c>
      <c r="M29" s="8" t="s">
        <v>226</v>
      </c>
      <c r="N29" s="8">
        <v>-57.855851382145083</v>
      </c>
      <c r="O29" s="8" t="s">
        <v>226</v>
      </c>
      <c r="P29" s="8">
        <v>-52.701799416184663</v>
      </c>
      <c r="Q29" s="8" t="s">
        <v>226</v>
      </c>
      <c r="R29" s="8">
        <v>-47.640585009049083</v>
      </c>
      <c r="S29" s="8" t="s">
        <v>226</v>
      </c>
      <c r="T29" s="8">
        <v>-48.151881131858353</v>
      </c>
      <c r="U29" s="8" t="s">
        <v>226</v>
      </c>
      <c r="V29" s="8">
        <v>-55.0849613486997</v>
      </c>
      <c r="W29" s="8" t="s">
        <v>226</v>
      </c>
      <c r="X29" s="8">
        <v>-49.373318171250332</v>
      </c>
      <c r="Y29" s="8" t="s">
        <v>226</v>
      </c>
      <c r="Z29" s="8">
        <v>-61.009728725945557</v>
      </c>
      <c r="AA29" s="8" t="s">
        <v>226</v>
      </c>
      <c r="AB29" s="8">
        <v>-54.148631700977099</v>
      </c>
      <c r="AC29" s="8" t="s">
        <v>226</v>
      </c>
      <c r="AD29" s="8">
        <v>-46.738909265979167</v>
      </c>
      <c r="AE29" s="8" t="s">
        <v>226</v>
      </c>
      <c r="AF29" s="8">
        <v>-53.137597305849638</v>
      </c>
      <c r="AG29" s="8" t="s">
        <v>226</v>
      </c>
      <c r="AH29" s="8">
        <v>-44.890183788747002</v>
      </c>
      <c r="AI29" s="8" t="s">
        <v>226</v>
      </c>
      <c r="AJ29" s="8">
        <v>-38.91888497726088</v>
      </c>
      <c r="AK29" s="8" t="s">
        <v>226</v>
      </c>
      <c r="AL29" s="8">
        <v>-47.550766074223091</v>
      </c>
      <c r="AM29" s="8" t="s">
        <v>226</v>
      </c>
      <c r="AN29" s="8">
        <v>-44.891029123271942</v>
      </c>
      <c r="AO29" s="8" t="s">
        <v>226</v>
      </c>
      <c r="AP29" s="8">
        <v>-44.656189847506177</v>
      </c>
      <c r="AQ29" s="8" t="s">
        <v>226</v>
      </c>
      <c r="AR29" s="8">
        <v>-31.00615432420976</v>
      </c>
      <c r="AS29" s="8"/>
      <c r="AT29" s="8">
        <v>11.280978979950991</v>
      </c>
      <c r="AU29" s="8"/>
      <c r="AV29" s="9">
        <v>-12.38912985275017</v>
      </c>
      <c r="AW29" s="8"/>
    </row>
    <row r="30" spans="1:49" ht="15.75" x14ac:dyDescent="0.25">
      <c r="A30" s="7" t="s">
        <v>154</v>
      </c>
      <c r="B30" s="8">
        <v>-81.868418427854081</v>
      </c>
      <c r="C30" s="8" t="s">
        <v>226</v>
      </c>
      <c r="D30" s="8">
        <v>-81.729279192768061</v>
      </c>
      <c r="E30" s="8" t="s">
        <v>226</v>
      </c>
      <c r="F30" s="8">
        <v>-73.339590383682761</v>
      </c>
      <c r="G30" s="8" t="s">
        <v>226</v>
      </c>
      <c r="H30" s="8">
        <v>-68.169928742166491</v>
      </c>
      <c r="I30" s="8" t="s">
        <v>226</v>
      </c>
      <c r="J30" s="8">
        <v>-67.227109107774339</v>
      </c>
      <c r="K30" s="8" t="s">
        <v>226</v>
      </c>
      <c r="L30" s="8">
        <v>-67.365510715643822</v>
      </c>
      <c r="M30" s="8" t="s">
        <v>226</v>
      </c>
      <c r="N30" s="8">
        <v>-53.337963988146747</v>
      </c>
      <c r="O30" s="8" t="s">
        <v>226</v>
      </c>
      <c r="P30" s="8">
        <v>-53.729251869396037</v>
      </c>
      <c r="Q30" s="8" t="s">
        <v>226</v>
      </c>
      <c r="R30" s="8">
        <v>-54.647807411261972</v>
      </c>
      <c r="S30" s="8" t="s">
        <v>226</v>
      </c>
      <c r="T30" s="8">
        <v>-53.457134917725959</v>
      </c>
      <c r="U30" s="8" t="s">
        <v>226</v>
      </c>
      <c r="V30" s="8">
        <v>-52.61544990057341</v>
      </c>
      <c r="W30" s="8" t="s">
        <v>226</v>
      </c>
      <c r="X30" s="8">
        <v>-49.47026896795834</v>
      </c>
      <c r="Y30" s="8" t="s">
        <v>226</v>
      </c>
      <c r="Z30" s="8">
        <v>-54.18967266381118</v>
      </c>
      <c r="AA30" s="8" t="s">
        <v>226</v>
      </c>
      <c r="AB30" s="8">
        <v>-52.169132916488778</v>
      </c>
      <c r="AC30" s="8" t="s">
        <v>226</v>
      </c>
      <c r="AD30" s="8">
        <v>-50.81093267333415</v>
      </c>
      <c r="AE30" s="8" t="s">
        <v>226</v>
      </c>
      <c r="AF30" s="8">
        <v>-41.96298150167582</v>
      </c>
      <c r="AG30" s="8" t="s">
        <v>226</v>
      </c>
      <c r="AH30" s="8">
        <v>-45.479312123855863</v>
      </c>
      <c r="AI30" s="8" t="s">
        <v>226</v>
      </c>
      <c r="AJ30" s="8">
        <v>-41.670461242172273</v>
      </c>
      <c r="AK30" s="8" t="s">
        <v>226</v>
      </c>
      <c r="AL30" s="8">
        <v>-28.808774447663989</v>
      </c>
      <c r="AM30" s="8" t="s">
        <v>226</v>
      </c>
      <c r="AN30" s="8">
        <v>-37.025974661392937</v>
      </c>
      <c r="AO30" s="8" t="s">
        <v>226</v>
      </c>
      <c r="AP30" s="8">
        <v>-39.137809306818852</v>
      </c>
      <c r="AQ30" s="8" t="s">
        <v>226</v>
      </c>
      <c r="AR30" s="8">
        <v>-36.053618395244371</v>
      </c>
      <c r="AS30" s="8" t="s">
        <v>226</v>
      </c>
      <c r="AT30" s="8">
        <v>-17.548943462849952</v>
      </c>
      <c r="AU30" s="8"/>
      <c r="AV30" s="9">
        <v>-10.089494329887531</v>
      </c>
      <c r="AW30" s="8"/>
    </row>
    <row r="31" spans="1:49" ht="28.5" customHeight="1" x14ac:dyDescent="0.25">
      <c r="A31" s="7" t="s">
        <v>155</v>
      </c>
      <c r="B31" s="8">
        <v>-83.18629120701533</v>
      </c>
      <c r="C31" s="8" t="s">
        <v>226</v>
      </c>
      <c r="D31" s="8">
        <v>-81.059381866619987</v>
      </c>
      <c r="E31" s="8" t="s">
        <v>226</v>
      </c>
      <c r="F31" s="8">
        <v>-82.839404249107744</v>
      </c>
      <c r="G31" s="8" t="s">
        <v>226</v>
      </c>
      <c r="H31" s="8">
        <v>-77.102749775160817</v>
      </c>
      <c r="I31" s="8" t="s">
        <v>226</v>
      </c>
      <c r="J31" s="8">
        <v>-73.394713190433379</v>
      </c>
      <c r="K31" s="8" t="s">
        <v>226</v>
      </c>
      <c r="L31" s="8">
        <v>-71.363131203186597</v>
      </c>
      <c r="M31" s="8" t="s">
        <v>226</v>
      </c>
      <c r="N31" s="8">
        <v>-65.658411410602866</v>
      </c>
      <c r="O31" s="8" t="s">
        <v>226</v>
      </c>
      <c r="P31" s="8">
        <v>-65.082132807217917</v>
      </c>
      <c r="Q31" s="8" t="s">
        <v>226</v>
      </c>
      <c r="R31" s="8">
        <v>-64.097971225100252</v>
      </c>
      <c r="S31" s="8" t="s">
        <v>226</v>
      </c>
      <c r="T31" s="8">
        <v>-57.136022863034327</v>
      </c>
      <c r="U31" s="8" t="s">
        <v>226</v>
      </c>
      <c r="V31" s="8">
        <v>-61.28737856196976</v>
      </c>
      <c r="W31" s="8" t="s">
        <v>226</v>
      </c>
      <c r="X31" s="8">
        <v>-60.206732015613703</v>
      </c>
      <c r="Y31" s="8" t="s">
        <v>226</v>
      </c>
      <c r="Z31" s="8">
        <v>-64.102677511444384</v>
      </c>
      <c r="AA31" s="8" t="s">
        <v>226</v>
      </c>
      <c r="AB31" s="8">
        <v>-53.868426995014573</v>
      </c>
      <c r="AC31" s="8" t="s">
        <v>226</v>
      </c>
      <c r="AD31" s="8">
        <v>-56.894787507057302</v>
      </c>
      <c r="AE31" s="8" t="s">
        <v>226</v>
      </c>
      <c r="AF31" s="8">
        <v>-49.57240925778077</v>
      </c>
      <c r="AG31" s="8" t="s">
        <v>226</v>
      </c>
      <c r="AH31" s="8">
        <v>-52.684645732634813</v>
      </c>
      <c r="AI31" s="8" t="s">
        <v>226</v>
      </c>
      <c r="AJ31" s="8">
        <v>-48.193947673132392</v>
      </c>
      <c r="AK31" s="8" t="s">
        <v>226</v>
      </c>
      <c r="AL31" s="8">
        <v>-42.818876392755463</v>
      </c>
      <c r="AM31" s="8" t="s">
        <v>226</v>
      </c>
      <c r="AN31" s="8">
        <v>-42.362903479307192</v>
      </c>
      <c r="AO31" s="8" t="s">
        <v>226</v>
      </c>
      <c r="AP31" s="8">
        <v>-41.526709036018197</v>
      </c>
      <c r="AQ31" s="8" t="s">
        <v>226</v>
      </c>
      <c r="AR31" s="8">
        <v>-19.147741000142421</v>
      </c>
      <c r="AS31" s="8"/>
      <c r="AT31" s="8">
        <v>0.19916228484619941</v>
      </c>
      <c r="AU31" s="8"/>
      <c r="AV31" s="9">
        <v>-9.3783399345716454</v>
      </c>
      <c r="AW31" s="8"/>
    </row>
    <row r="32" spans="1:49" ht="15.75" x14ac:dyDescent="0.25">
      <c r="A32" s="7" t="s">
        <v>153</v>
      </c>
      <c r="B32" s="8">
        <v>-84.735697422660778</v>
      </c>
      <c r="C32" s="8" t="s">
        <v>226</v>
      </c>
      <c r="D32" s="8">
        <v>-81.988766456477052</v>
      </c>
      <c r="E32" s="8" t="s">
        <v>226</v>
      </c>
      <c r="F32" s="8">
        <v>-83.780919670108545</v>
      </c>
      <c r="G32" s="8" t="s">
        <v>226</v>
      </c>
      <c r="H32" s="8">
        <v>-78.68264084263474</v>
      </c>
      <c r="I32" s="8" t="s">
        <v>226</v>
      </c>
      <c r="J32" s="8">
        <v>-76.166961479745652</v>
      </c>
      <c r="K32" s="8" t="s">
        <v>226</v>
      </c>
      <c r="L32" s="8">
        <v>-72.63636775795355</v>
      </c>
      <c r="M32" s="8" t="s">
        <v>226</v>
      </c>
      <c r="N32" s="8">
        <v>-67.97224365512939</v>
      </c>
      <c r="O32" s="8" t="s">
        <v>226</v>
      </c>
      <c r="P32" s="8">
        <v>-67.336578557700804</v>
      </c>
      <c r="Q32" s="8" t="s">
        <v>226</v>
      </c>
      <c r="R32" s="8">
        <v>-65.599168862049638</v>
      </c>
      <c r="S32" s="8" t="s">
        <v>226</v>
      </c>
      <c r="T32" s="8">
        <v>-57.976875442790373</v>
      </c>
      <c r="U32" s="8" t="s">
        <v>226</v>
      </c>
      <c r="V32" s="8">
        <v>-62.817159880032143</v>
      </c>
      <c r="W32" s="8" t="s">
        <v>226</v>
      </c>
      <c r="X32" s="8">
        <v>-60.761460318744163</v>
      </c>
      <c r="Y32" s="8" t="s">
        <v>226</v>
      </c>
      <c r="Z32" s="8">
        <v>-63.987841353831001</v>
      </c>
      <c r="AA32" s="8" t="s">
        <v>226</v>
      </c>
      <c r="AB32" s="8">
        <v>-54.676598363855447</v>
      </c>
      <c r="AC32" s="8" t="s">
        <v>226</v>
      </c>
      <c r="AD32" s="8">
        <v>-55.464309638504133</v>
      </c>
      <c r="AE32" s="8" t="s">
        <v>226</v>
      </c>
      <c r="AF32" s="8">
        <v>-49.80458671593928</v>
      </c>
      <c r="AG32" s="8" t="s">
        <v>226</v>
      </c>
      <c r="AH32" s="8">
        <v>-51.906149687401857</v>
      </c>
      <c r="AI32" s="8" t="s">
        <v>226</v>
      </c>
      <c r="AJ32" s="8">
        <v>-49.381700696226218</v>
      </c>
      <c r="AK32" s="8" t="s">
        <v>226</v>
      </c>
      <c r="AL32" s="8">
        <v>-45.931172308509758</v>
      </c>
      <c r="AM32" s="8" t="s">
        <v>226</v>
      </c>
      <c r="AN32" s="8">
        <v>-40.310426347215071</v>
      </c>
      <c r="AO32" s="8" t="s">
        <v>226</v>
      </c>
      <c r="AP32" s="8">
        <v>-42.747329172166729</v>
      </c>
      <c r="AQ32" s="8" t="s">
        <v>226</v>
      </c>
      <c r="AR32" s="8">
        <v>-26.091720346304641</v>
      </c>
      <c r="AS32" s="8"/>
      <c r="AT32" s="8">
        <v>17.62158484417564</v>
      </c>
      <c r="AU32" s="8"/>
      <c r="AV32" s="9">
        <v>0.94025862630837675</v>
      </c>
      <c r="AW32" s="8"/>
    </row>
    <row r="33" spans="1:49" ht="15.75" x14ac:dyDescent="0.25">
      <c r="A33" s="7" t="s">
        <v>149</v>
      </c>
      <c r="B33" s="8">
        <v>-87.271269873720044</v>
      </c>
      <c r="C33" s="8" t="s">
        <v>226</v>
      </c>
      <c r="D33" s="8">
        <v>-86.908384569795444</v>
      </c>
      <c r="E33" s="8" t="s">
        <v>226</v>
      </c>
      <c r="F33" s="8">
        <v>-88.051442069424439</v>
      </c>
      <c r="G33" s="8" t="s">
        <v>226</v>
      </c>
      <c r="H33" s="8">
        <v>-81.620909704922468</v>
      </c>
      <c r="I33" s="8" t="s">
        <v>226</v>
      </c>
      <c r="J33" s="8">
        <v>-79.868367192008222</v>
      </c>
      <c r="K33" s="8" t="s">
        <v>226</v>
      </c>
      <c r="L33" s="8">
        <v>-77.787602675716855</v>
      </c>
      <c r="M33" s="8" t="s">
        <v>226</v>
      </c>
      <c r="N33" s="8">
        <v>-73.988377374560855</v>
      </c>
      <c r="O33" s="8" t="s">
        <v>226</v>
      </c>
      <c r="P33" s="8">
        <v>-72.501216979657102</v>
      </c>
      <c r="Q33" s="8" t="s">
        <v>226</v>
      </c>
      <c r="R33" s="8">
        <v>-72.046642365107004</v>
      </c>
      <c r="S33" s="8" t="s">
        <v>226</v>
      </c>
      <c r="T33" s="8">
        <v>-66.000790630868877</v>
      </c>
      <c r="U33" s="8" t="s">
        <v>226</v>
      </c>
      <c r="V33" s="8">
        <v>-70.391374649783842</v>
      </c>
      <c r="W33" s="8" t="s">
        <v>226</v>
      </c>
      <c r="X33" s="8">
        <v>-68.837618176964583</v>
      </c>
      <c r="Y33" s="8" t="s">
        <v>226</v>
      </c>
      <c r="Z33" s="8">
        <v>-70.234803680187042</v>
      </c>
      <c r="AA33" s="8" t="s">
        <v>226</v>
      </c>
      <c r="AB33" s="8">
        <v>-63.344292785081279</v>
      </c>
      <c r="AC33" s="8" t="s">
        <v>226</v>
      </c>
      <c r="AD33" s="8">
        <v>-65.375542322131878</v>
      </c>
      <c r="AE33" s="8" t="s">
        <v>226</v>
      </c>
      <c r="AF33" s="8">
        <v>-55.618282129580301</v>
      </c>
      <c r="AG33" s="8" t="s">
        <v>226</v>
      </c>
      <c r="AH33" s="8">
        <v>-61.863878700495732</v>
      </c>
      <c r="AI33" s="8" t="s">
        <v>226</v>
      </c>
      <c r="AJ33" s="8">
        <v>-59.332960622239362</v>
      </c>
      <c r="AK33" s="8" t="s">
        <v>226</v>
      </c>
      <c r="AL33" s="8">
        <v>-52.266402599835317</v>
      </c>
      <c r="AM33" s="8" t="s">
        <v>226</v>
      </c>
      <c r="AN33" s="8">
        <v>-51.111091708673008</v>
      </c>
      <c r="AO33" s="8" t="s">
        <v>226</v>
      </c>
      <c r="AP33" s="8">
        <v>-51.540250392252531</v>
      </c>
      <c r="AQ33" s="8" t="s">
        <v>226</v>
      </c>
      <c r="AR33" s="8">
        <v>-36.748689824360163</v>
      </c>
      <c r="AS33" s="8" t="s">
        <v>226</v>
      </c>
      <c r="AT33" s="8">
        <v>11.49225467991803</v>
      </c>
      <c r="AU33" s="8"/>
      <c r="AV33" s="9">
        <v>6.1730609252160784</v>
      </c>
      <c r="AW33" s="8"/>
    </row>
    <row r="34" spans="1:49" ht="15.75" x14ac:dyDescent="0.25">
      <c r="A34" s="7" t="s">
        <v>150</v>
      </c>
      <c r="B34" s="8">
        <v>-76.114954503269658</v>
      </c>
      <c r="C34" s="8" t="s">
        <v>226</v>
      </c>
      <c r="D34" s="8">
        <v>-43.578450832999224</v>
      </c>
      <c r="E34" s="8"/>
      <c r="F34" s="8">
        <v>-53.990282103361139</v>
      </c>
      <c r="G34" s="8" t="s">
        <v>226</v>
      </c>
      <c r="H34" s="8">
        <v>-69.991507383426921</v>
      </c>
      <c r="I34" s="8" t="s">
        <v>226</v>
      </c>
      <c r="J34" s="8">
        <v>-64.263863617970117</v>
      </c>
      <c r="K34" s="8" t="s">
        <v>226</v>
      </c>
      <c r="L34" s="8">
        <v>-52.810987231498039</v>
      </c>
      <c r="M34" s="8" t="s">
        <v>226</v>
      </c>
      <c r="N34" s="8">
        <v>-44.874707117177763</v>
      </c>
      <c r="O34" s="8" t="s">
        <v>226</v>
      </c>
      <c r="P34" s="8">
        <v>-50.491623928306751</v>
      </c>
      <c r="Q34" s="8" t="s">
        <v>226</v>
      </c>
      <c r="R34" s="8">
        <v>-40.907282997756553</v>
      </c>
      <c r="S34" s="8" t="s">
        <v>226</v>
      </c>
      <c r="T34" s="8">
        <v>-26.59134204492727</v>
      </c>
      <c r="U34" s="8"/>
      <c r="V34" s="8">
        <v>-30.70273047265086</v>
      </c>
      <c r="W34" s="8"/>
      <c r="X34" s="8">
        <v>-26.03430443097113</v>
      </c>
      <c r="Y34" s="8"/>
      <c r="Z34" s="8">
        <v>-41.896084755177569</v>
      </c>
      <c r="AA34" s="8" t="s">
        <v>226</v>
      </c>
      <c r="AB34" s="8">
        <v>-20.71094835822198</v>
      </c>
      <c r="AC34" s="8"/>
      <c r="AD34" s="8">
        <v>-7.4924421694040682</v>
      </c>
      <c r="AE34" s="8"/>
      <c r="AF34" s="8">
        <v>-34.186498081248793</v>
      </c>
      <c r="AG34" s="8"/>
      <c r="AH34" s="8">
        <v>-8.7351614615851165</v>
      </c>
      <c r="AI34" s="8"/>
      <c r="AJ34" s="8">
        <v>-9.0739514088724711</v>
      </c>
      <c r="AK34" s="8"/>
      <c r="AL34" s="8">
        <v>-28.815788821553689</v>
      </c>
      <c r="AM34" s="8"/>
      <c r="AN34" s="8">
        <v>-0.47995416953133813</v>
      </c>
      <c r="AO34" s="8"/>
      <c r="AP34" s="8">
        <v>-14.71209578943683</v>
      </c>
      <c r="AQ34" s="8"/>
      <c r="AR34" s="8">
        <v>6.3782352119837959</v>
      </c>
      <c r="AS34" s="8"/>
      <c r="AT34" s="8">
        <v>30.63171572207202</v>
      </c>
      <c r="AU34" s="8"/>
      <c r="AV34" s="9">
        <v>-7.3335807831776068</v>
      </c>
      <c r="AW34" s="8"/>
    </row>
    <row r="35" spans="1:49" ht="15.75" x14ac:dyDescent="0.25">
      <c r="A35" s="7" t="s">
        <v>154</v>
      </c>
      <c r="B35" s="8">
        <v>-74.507420034533837</v>
      </c>
      <c r="C35" s="8" t="s">
        <v>226</v>
      </c>
      <c r="D35" s="8">
        <v>-77.095353793904991</v>
      </c>
      <c r="E35" s="8" t="s">
        <v>226</v>
      </c>
      <c r="F35" s="8">
        <v>-78.690474066978794</v>
      </c>
      <c r="G35" s="8" t="s">
        <v>226</v>
      </c>
      <c r="H35" s="8">
        <v>-69.52828937185167</v>
      </c>
      <c r="I35" s="8" t="s">
        <v>226</v>
      </c>
      <c r="J35" s="8">
        <v>-56.375190453177851</v>
      </c>
      <c r="K35" s="8" t="s">
        <v>226</v>
      </c>
      <c r="L35" s="8">
        <v>-66.067577996910615</v>
      </c>
      <c r="M35" s="8" t="s">
        <v>226</v>
      </c>
      <c r="N35" s="8">
        <v>-54.676100145316873</v>
      </c>
      <c r="O35" s="8" t="s">
        <v>226</v>
      </c>
      <c r="P35" s="8">
        <v>-54.563978571227679</v>
      </c>
      <c r="Q35" s="8" t="s">
        <v>226</v>
      </c>
      <c r="R35" s="8">
        <v>-57.942297279594371</v>
      </c>
      <c r="S35" s="8" t="s">
        <v>226</v>
      </c>
      <c r="T35" s="8">
        <v>-54.05244404239005</v>
      </c>
      <c r="U35" s="8" t="s">
        <v>226</v>
      </c>
      <c r="V35" s="8">
        <v>-55.090282266501497</v>
      </c>
      <c r="W35" s="8" t="s">
        <v>226</v>
      </c>
      <c r="X35" s="8">
        <v>-58.225957080734972</v>
      </c>
      <c r="Y35" s="8" t="s">
        <v>226</v>
      </c>
      <c r="Z35" s="8">
        <v>-64.482545285058208</v>
      </c>
      <c r="AA35" s="8" t="s">
        <v>226</v>
      </c>
      <c r="AB35" s="8">
        <v>-50.93400413765827</v>
      </c>
      <c r="AC35" s="8" t="s">
        <v>226</v>
      </c>
      <c r="AD35" s="8">
        <v>-61.086873678869068</v>
      </c>
      <c r="AE35" s="8" t="s">
        <v>226</v>
      </c>
      <c r="AF35" s="8">
        <v>-48.777759568298528</v>
      </c>
      <c r="AG35" s="8" t="s">
        <v>226</v>
      </c>
      <c r="AH35" s="8">
        <v>-55.121163417578977</v>
      </c>
      <c r="AI35" s="8" t="s">
        <v>226</v>
      </c>
      <c r="AJ35" s="8">
        <v>-43.768475901161949</v>
      </c>
      <c r="AK35" s="8"/>
      <c r="AL35" s="8">
        <v>-29.138213127665981</v>
      </c>
      <c r="AM35" s="8"/>
      <c r="AN35" s="8">
        <v>-48.322815093034343</v>
      </c>
      <c r="AO35" s="8" t="s">
        <v>226</v>
      </c>
      <c r="AP35" s="8">
        <v>-37.023474133687827</v>
      </c>
      <c r="AQ35" s="8"/>
      <c r="AR35" s="8">
        <v>18.053236167753141</v>
      </c>
      <c r="AS35" s="8"/>
      <c r="AT35" s="8">
        <v>-33.057802218161228</v>
      </c>
      <c r="AU35" s="8"/>
      <c r="AV35" s="9">
        <v>-32.515952715777367</v>
      </c>
      <c r="AW35" s="8"/>
    </row>
    <row r="36" spans="1:49" ht="30" customHeight="1" x14ac:dyDescent="0.25">
      <c r="A36" s="4" t="s">
        <v>156</v>
      </c>
      <c r="B36" s="5">
        <v>-57.87080340510353</v>
      </c>
      <c r="C36" s="5" t="s">
        <v>226</v>
      </c>
      <c r="D36" s="5">
        <v>-52.397555916710658</v>
      </c>
      <c r="E36" s="5" t="s">
        <v>226</v>
      </c>
      <c r="F36" s="5">
        <v>-47.036910736587181</v>
      </c>
      <c r="G36" s="5" t="s">
        <v>226</v>
      </c>
      <c r="H36" s="5">
        <v>-33.081363100471627</v>
      </c>
      <c r="I36" s="5" t="s">
        <v>226</v>
      </c>
      <c r="J36" s="5">
        <v>-30.45318561365292</v>
      </c>
      <c r="K36" s="5" t="s">
        <v>226</v>
      </c>
      <c r="L36" s="5">
        <v>-26.908380583921069</v>
      </c>
      <c r="M36" s="5" t="s">
        <v>226</v>
      </c>
      <c r="N36" s="5">
        <v>-21.82751423385626</v>
      </c>
      <c r="O36" s="5" t="s">
        <v>226</v>
      </c>
      <c r="P36" s="5">
        <v>-19.077670799033289</v>
      </c>
      <c r="Q36" s="5" t="s">
        <v>226</v>
      </c>
      <c r="R36" s="5">
        <v>-24.442483716960421</v>
      </c>
      <c r="S36" s="5" t="s">
        <v>226</v>
      </c>
      <c r="T36" s="5">
        <v>-15.51262415452355</v>
      </c>
      <c r="U36" s="5" t="s">
        <v>226</v>
      </c>
      <c r="V36" s="5">
        <v>-23.10510067429464</v>
      </c>
      <c r="W36" s="5" t="s">
        <v>226</v>
      </c>
      <c r="X36" s="5">
        <v>-24.94501598789968</v>
      </c>
      <c r="Y36" s="5" t="s">
        <v>226</v>
      </c>
      <c r="Z36" s="5">
        <v>-30.041181420897541</v>
      </c>
      <c r="AA36" s="5" t="s">
        <v>226</v>
      </c>
      <c r="AB36" s="5">
        <v>-41.435378448743187</v>
      </c>
      <c r="AC36" s="5" t="s">
        <v>226</v>
      </c>
      <c r="AD36" s="5">
        <v>-35.408756321392829</v>
      </c>
      <c r="AE36" s="5" t="s">
        <v>226</v>
      </c>
      <c r="AF36" s="5">
        <v>-15.16732626853117</v>
      </c>
      <c r="AG36" s="5" t="s">
        <v>226</v>
      </c>
      <c r="AH36" s="5">
        <v>-13.569816736512021</v>
      </c>
      <c r="AI36" s="5" t="s">
        <v>226</v>
      </c>
      <c r="AJ36" s="5">
        <v>-2.0960870921907788</v>
      </c>
      <c r="AK36" s="5"/>
      <c r="AL36" s="5">
        <v>11.7779638589931</v>
      </c>
      <c r="AM36" s="5"/>
      <c r="AN36" s="5">
        <v>10.687931322742131</v>
      </c>
      <c r="AO36" s="5"/>
      <c r="AP36" s="5">
        <v>0.96529741325912521</v>
      </c>
      <c r="AQ36" s="5"/>
      <c r="AR36" s="5">
        <v>13.115104014617909</v>
      </c>
      <c r="AS36" s="5"/>
      <c r="AT36" s="5">
        <v>7.1308091865945</v>
      </c>
      <c r="AU36" s="5"/>
      <c r="AV36" s="6">
        <v>8.4019169181584132</v>
      </c>
      <c r="AW36" s="5"/>
    </row>
    <row r="37" spans="1:49" ht="15.75" x14ac:dyDescent="0.25">
      <c r="A37" s="7" t="s">
        <v>157</v>
      </c>
      <c r="B37" s="8">
        <v>-87.375920720898122</v>
      </c>
      <c r="C37" s="8" t="s">
        <v>226</v>
      </c>
      <c r="D37" s="8">
        <v>-84.007467768458582</v>
      </c>
      <c r="E37" s="8" t="s">
        <v>226</v>
      </c>
      <c r="F37" s="8">
        <v>-82.660401267598189</v>
      </c>
      <c r="G37" s="8" t="s">
        <v>226</v>
      </c>
      <c r="H37" s="8">
        <v>-77.728115407596874</v>
      </c>
      <c r="I37" s="8" t="s">
        <v>226</v>
      </c>
      <c r="J37" s="8">
        <v>-75.149549810149495</v>
      </c>
      <c r="K37" s="8" t="s">
        <v>226</v>
      </c>
      <c r="L37" s="8">
        <v>-77.12958765144964</v>
      </c>
      <c r="M37" s="8" t="s">
        <v>226</v>
      </c>
      <c r="N37" s="8">
        <v>-75.605231671143699</v>
      </c>
      <c r="O37" s="8" t="s">
        <v>226</v>
      </c>
      <c r="P37" s="8">
        <v>-70.136708314631505</v>
      </c>
      <c r="Q37" s="8" t="s">
        <v>226</v>
      </c>
      <c r="R37" s="8">
        <v>-68.060501955617255</v>
      </c>
      <c r="S37" s="8" t="s">
        <v>226</v>
      </c>
      <c r="T37" s="8">
        <v>-67.307335952244898</v>
      </c>
      <c r="U37" s="8" t="s">
        <v>226</v>
      </c>
      <c r="V37" s="8">
        <v>-68.157566991821611</v>
      </c>
      <c r="W37" s="8" t="s">
        <v>226</v>
      </c>
      <c r="X37" s="8">
        <v>-69.475066577845951</v>
      </c>
      <c r="Y37" s="8" t="s">
        <v>226</v>
      </c>
      <c r="Z37" s="8">
        <v>-71.176882594980341</v>
      </c>
      <c r="AA37" s="8" t="s">
        <v>226</v>
      </c>
      <c r="AB37" s="8">
        <v>-65.361497369951806</v>
      </c>
      <c r="AC37" s="8" t="s">
        <v>226</v>
      </c>
      <c r="AD37" s="8">
        <v>-72.354375834205229</v>
      </c>
      <c r="AE37" s="8" t="s">
        <v>226</v>
      </c>
      <c r="AF37" s="8">
        <v>-62.108895800406259</v>
      </c>
      <c r="AG37" s="8" t="s">
        <v>226</v>
      </c>
      <c r="AH37" s="8">
        <v>-63.608528161427238</v>
      </c>
      <c r="AI37" s="8" t="s">
        <v>226</v>
      </c>
      <c r="AJ37" s="8">
        <v>-59.016364398910667</v>
      </c>
      <c r="AK37" s="8" t="s">
        <v>226</v>
      </c>
      <c r="AL37" s="8">
        <v>-60.215478261300071</v>
      </c>
      <c r="AM37" s="8" t="s">
        <v>226</v>
      </c>
      <c r="AN37" s="8">
        <v>-59.01050515213457</v>
      </c>
      <c r="AO37" s="8" t="s">
        <v>226</v>
      </c>
      <c r="AP37" s="8">
        <v>-58.144819460210599</v>
      </c>
      <c r="AQ37" s="8" t="s">
        <v>226</v>
      </c>
      <c r="AR37" s="8">
        <v>-61.309182329172003</v>
      </c>
      <c r="AS37" s="8" t="s">
        <v>226</v>
      </c>
      <c r="AT37" s="8">
        <v>-47.887259318300423</v>
      </c>
      <c r="AU37" s="8"/>
      <c r="AV37" s="9">
        <v>-37.020577063142177</v>
      </c>
      <c r="AW37" s="8"/>
    </row>
    <row r="38" spans="1:49" ht="15.75" x14ac:dyDescent="0.25">
      <c r="A38" s="7" t="s">
        <v>158</v>
      </c>
      <c r="B38" s="8">
        <v>-53.013017057256548</v>
      </c>
      <c r="C38" s="8" t="s">
        <v>226</v>
      </c>
      <c r="D38" s="8">
        <v>-47.836838396081859</v>
      </c>
      <c r="E38" s="8" t="s">
        <v>226</v>
      </c>
      <c r="F38" s="8">
        <v>-41.74256896067169</v>
      </c>
      <c r="G38" s="8" t="s">
        <v>226</v>
      </c>
      <c r="H38" s="8">
        <v>-26.570037224430429</v>
      </c>
      <c r="I38" s="8" t="s">
        <v>226</v>
      </c>
      <c r="J38" s="8">
        <v>-24.441677149324061</v>
      </c>
      <c r="K38" s="8" t="s">
        <v>226</v>
      </c>
      <c r="L38" s="8">
        <v>-19.044784396582742</v>
      </c>
      <c r="M38" s="8" t="s">
        <v>226</v>
      </c>
      <c r="N38" s="8">
        <v>-13.380902334379501</v>
      </c>
      <c r="O38" s="8" t="s">
        <v>226</v>
      </c>
      <c r="P38" s="8">
        <v>-12.456709784896271</v>
      </c>
      <c r="Q38" s="8"/>
      <c r="R38" s="8">
        <v>-19.58468127479108</v>
      </c>
      <c r="S38" s="8" t="s">
        <v>226</v>
      </c>
      <c r="T38" s="8">
        <v>-9.1454771085691444</v>
      </c>
      <c r="U38" s="8"/>
      <c r="V38" s="8">
        <v>-17.97127010720283</v>
      </c>
      <c r="W38" s="8" t="s">
        <v>226</v>
      </c>
      <c r="X38" s="8">
        <v>-19.767620340377231</v>
      </c>
      <c r="Y38" s="8" t="s">
        <v>226</v>
      </c>
      <c r="Z38" s="8">
        <v>-25.327017617187149</v>
      </c>
      <c r="AA38" s="8" t="s">
        <v>226</v>
      </c>
      <c r="AB38" s="8">
        <v>-39.589562676214527</v>
      </c>
      <c r="AC38" s="8" t="s">
        <v>226</v>
      </c>
      <c r="AD38" s="8">
        <v>-31.350523049459071</v>
      </c>
      <c r="AE38" s="8" t="s">
        <v>226</v>
      </c>
      <c r="AF38" s="8">
        <v>-10.248933816424049</v>
      </c>
      <c r="AG38" s="8"/>
      <c r="AH38" s="8">
        <v>-7.972397691098454</v>
      </c>
      <c r="AI38" s="8"/>
      <c r="AJ38" s="8">
        <v>4.3124026317563624</v>
      </c>
      <c r="AK38" s="8"/>
      <c r="AL38" s="8">
        <v>21.503919919069521</v>
      </c>
      <c r="AM38" s="8" t="s">
        <v>226</v>
      </c>
      <c r="AN38" s="8">
        <v>19.69065523716111</v>
      </c>
      <c r="AO38" s="8" t="s">
        <v>226</v>
      </c>
      <c r="AP38" s="8">
        <v>7.6929422891436996</v>
      </c>
      <c r="AQ38" s="8"/>
      <c r="AR38" s="8">
        <v>23.634999367711899</v>
      </c>
      <c r="AS38" s="8" t="s">
        <v>226</v>
      </c>
      <c r="AT38" s="8">
        <v>12.37900240841401</v>
      </c>
      <c r="AU38" s="8"/>
      <c r="AV38" s="9">
        <v>11.97426473054035</v>
      </c>
      <c r="AW38" s="8"/>
    </row>
    <row r="39" spans="1:49" ht="30" customHeight="1" x14ac:dyDescent="0.25">
      <c r="A39" s="4" t="s">
        <v>159</v>
      </c>
      <c r="B39" s="5">
        <v>-84.916442267630046</v>
      </c>
      <c r="C39" s="5" t="s">
        <v>226</v>
      </c>
      <c r="D39" s="5">
        <v>-81.19576349527577</v>
      </c>
      <c r="E39" s="5" t="s">
        <v>226</v>
      </c>
      <c r="F39" s="5">
        <v>-77.914515544839105</v>
      </c>
      <c r="G39" s="5" t="s">
        <v>226</v>
      </c>
      <c r="H39" s="5">
        <v>-73.897812000175719</v>
      </c>
      <c r="I39" s="5" t="s">
        <v>226</v>
      </c>
      <c r="J39" s="5">
        <v>-71.844501885628162</v>
      </c>
      <c r="K39" s="5" t="s">
        <v>226</v>
      </c>
      <c r="L39" s="5">
        <v>-68.516548466097831</v>
      </c>
      <c r="M39" s="5" t="s">
        <v>226</v>
      </c>
      <c r="N39" s="5">
        <v>-64.549351559979655</v>
      </c>
      <c r="O39" s="5" t="s">
        <v>226</v>
      </c>
      <c r="P39" s="5">
        <v>-61.274462137151417</v>
      </c>
      <c r="Q39" s="5" t="s">
        <v>226</v>
      </c>
      <c r="R39" s="5">
        <v>-60.207239978061878</v>
      </c>
      <c r="S39" s="5" t="s">
        <v>226</v>
      </c>
      <c r="T39" s="5">
        <v>-54.908091636228242</v>
      </c>
      <c r="U39" s="5" t="s">
        <v>226</v>
      </c>
      <c r="V39" s="5">
        <v>-55.209629195967622</v>
      </c>
      <c r="W39" s="5" t="s">
        <v>226</v>
      </c>
      <c r="X39" s="5">
        <v>-45.812498166600101</v>
      </c>
      <c r="Y39" s="5" t="s">
        <v>226</v>
      </c>
      <c r="Z39" s="5">
        <v>-44.538874030670847</v>
      </c>
      <c r="AA39" s="5" t="s">
        <v>226</v>
      </c>
      <c r="AB39" s="5">
        <v>-45.924698881292848</v>
      </c>
      <c r="AC39" s="5" t="s">
        <v>226</v>
      </c>
      <c r="AD39" s="5">
        <v>-36.402091971180383</v>
      </c>
      <c r="AE39" s="5" t="s">
        <v>226</v>
      </c>
      <c r="AF39" s="5">
        <v>-30.327040594498719</v>
      </c>
      <c r="AG39" s="5" t="s">
        <v>226</v>
      </c>
      <c r="AH39" s="5">
        <v>-29.373745638224289</v>
      </c>
      <c r="AI39" s="5" t="s">
        <v>226</v>
      </c>
      <c r="AJ39" s="5">
        <v>-25.958440415539059</v>
      </c>
      <c r="AK39" s="5" t="s">
        <v>226</v>
      </c>
      <c r="AL39" s="5">
        <v>-17.558056490116179</v>
      </c>
      <c r="AM39" s="5" t="s">
        <v>226</v>
      </c>
      <c r="AN39" s="5">
        <v>-29.314907497454868</v>
      </c>
      <c r="AO39" s="5" t="s">
        <v>226</v>
      </c>
      <c r="AP39" s="5">
        <v>-27.839144157604188</v>
      </c>
      <c r="AQ39" s="5" t="s">
        <v>226</v>
      </c>
      <c r="AR39" s="5">
        <v>-26.75126859577826</v>
      </c>
      <c r="AS39" s="5" t="s">
        <v>226</v>
      </c>
      <c r="AT39" s="5">
        <v>-10.522145825173229</v>
      </c>
      <c r="AU39" s="5"/>
      <c r="AV39" s="6">
        <v>-13.13735573644008</v>
      </c>
      <c r="AW39" s="5" t="s">
        <v>226</v>
      </c>
    </row>
    <row r="40" spans="1:49" ht="15.75" x14ac:dyDescent="0.25">
      <c r="A40" s="7" t="s">
        <v>160</v>
      </c>
      <c r="B40" s="8">
        <v>-83.201799474743737</v>
      </c>
      <c r="C40" s="8" t="s">
        <v>226</v>
      </c>
      <c r="D40" s="8">
        <v>-80.144004678651569</v>
      </c>
      <c r="E40" s="8" t="s">
        <v>226</v>
      </c>
      <c r="F40" s="8">
        <v>-76.467510145947003</v>
      </c>
      <c r="G40" s="8" t="s">
        <v>226</v>
      </c>
      <c r="H40" s="8">
        <v>-71.639050956760215</v>
      </c>
      <c r="I40" s="8" t="s">
        <v>226</v>
      </c>
      <c r="J40" s="8">
        <v>-69.528230421154475</v>
      </c>
      <c r="K40" s="8" t="s">
        <v>226</v>
      </c>
      <c r="L40" s="8">
        <v>-67.327138230266442</v>
      </c>
      <c r="M40" s="8" t="s">
        <v>226</v>
      </c>
      <c r="N40" s="8">
        <v>-63.932592510460893</v>
      </c>
      <c r="O40" s="8" t="s">
        <v>226</v>
      </c>
      <c r="P40" s="8">
        <v>-61.005022427296929</v>
      </c>
      <c r="Q40" s="8" t="s">
        <v>226</v>
      </c>
      <c r="R40" s="8">
        <v>-61.07892027741422</v>
      </c>
      <c r="S40" s="8" t="s">
        <v>226</v>
      </c>
      <c r="T40" s="8">
        <v>-55.55973138820486</v>
      </c>
      <c r="U40" s="8" t="s">
        <v>226</v>
      </c>
      <c r="V40" s="8">
        <v>-58.291799364500697</v>
      </c>
      <c r="W40" s="8" t="s">
        <v>226</v>
      </c>
      <c r="X40" s="8">
        <v>-48.75889035050416</v>
      </c>
      <c r="Y40" s="8" t="s">
        <v>226</v>
      </c>
      <c r="Z40" s="8">
        <v>-49.962836032810777</v>
      </c>
      <c r="AA40" s="8" t="s">
        <v>226</v>
      </c>
      <c r="AB40" s="8">
        <v>-51.912599278135993</v>
      </c>
      <c r="AC40" s="8" t="s">
        <v>226</v>
      </c>
      <c r="AD40" s="8">
        <v>-43.950356536808833</v>
      </c>
      <c r="AE40" s="8" t="s">
        <v>226</v>
      </c>
      <c r="AF40" s="8">
        <v>-40.997312453406273</v>
      </c>
      <c r="AG40" s="8" t="s">
        <v>226</v>
      </c>
      <c r="AH40" s="8">
        <v>-36.143451918398547</v>
      </c>
      <c r="AI40" s="8" t="s">
        <v>226</v>
      </c>
      <c r="AJ40" s="8">
        <v>-34.078016060898683</v>
      </c>
      <c r="AK40" s="8" t="s">
        <v>226</v>
      </c>
      <c r="AL40" s="8">
        <v>-25.98476080106435</v>
      </c>
      <c r="AM40" s="8" t="s">
        <v>226</v>
      </c>
      <c r="AN40" s="8">
        <v>-34.95849686549132</v>
      </c>
      <c r="AO40" s="8" t="s">
        <v>226</v>
      </c>
      <c r="AP40" s="8">
        <v>-34.548407531818206</v>
      </c>
      <c r="AQ40" s="8" t="s">
        <v>226</v>
      </c>
      <c r="AR40" s="8">
        <v>-33.091237874137683</v>
      </c>
      <c r="AS40" s="8" t="s">
        <v>226</v>
      </c>
      <c r="AT40" s="8">
        <v>-15.123611214161359</v>
      </c>
      <c r="AU40" s="8" t="s">
        <v>226</v>
      </c>
      <c r="AV40" s="9">
        <v>-11.37110822599997</v>
      </c>
      <c r="AW40" s="8"/>
    </row>
    <row r="41" spans="1:49" ht="15.75" x14ac:dyDescent="0.25">
      <c r="A41" s="7" t="s">
        <v>161</v>
      </c>
      <c r="B41" s="8">
        <v>-80.665584969939545</v>
      </c>
      <c r="C41" s="8" t="s">
        <v>226</v>
      </c>
      <c r="D41" s="8">
        <v>-74.172494544151078</v>
      </c>
      <c r="E41" s="8" t="s">
        <v>226</v>
      </c>
      <c r="F41" s="8">
        <v>-70.582159122910781</v>
      </c>
      <c r="G41" s="8" t="s">
        <v>226</v>
      </c>
      <c r="H41" s="8">
        <v>-69.352051419965093</v>
      </c>
      <c r="I41" s="8" t="s">
        <v>226</v>
      </c>
      <c r="J41" s="8">
        <v>-64.603060878553848</v>
      </c>
      <c r="K41" s="8" t="s">
        <v>226</v>
      </c>
      <c r="L41" s="8">
        <v>-58.934164265366768</v>
      </c>
      <c r="M41" s="8" t="s">
        <v>226</v>
      </c>
      <c r="N41" s="8">
        <v>-53.753623494158667</v>
      </c>
      <c r="O41" s="8" t="s">
        <v>226</v>
      </c>
      <c r="P41" s="8">
        <v>-46.08888470041164</v>
      </c>
      <c r="Q41" s="8" t="s">
        <v>226</v>
      </c>
      <c r="R41" s="8">
        <v>-44.079788748120322</v>
      </c>
      <c r="S41" s="8" t="s">
        <v>226</v>
      </c>
      <c r="T41" s="8">
        <v>-37.491079608587953</v>
      </c>
      <c r="U41" s="8" t="s">
        <v>226</v>
      </c>
      <c r="V41" s="8">
        <v>-31.913717958525069</v>
      </c>
      <c r="W41" s="8" t="s">
        <v>226</v>
      </c>
      <c r="X41" s="8">
        <v>-13.48698467423778</v>
      </c>
      <c r="Y41" s="8"/>
      <c r="Z41" s="8">
        <v>3.0274205001170622</v>
      </c>
      <c r="AA41" s="8"/>
      <c r="AB41" s="8">
        <v>3.4671590724582479</v>
      </c>
      <c r="AC41" s="8"/>
      <c r="AD41" s="8">
        <v>8.1364919615001909</v>
      </c>
      <c r="AE41" s="8"/>
      <c r="AF41" s="8">
        <v>55.792626839605383</v>
      </c>
      <c r="AG41" s="8" t="s">
        <v>226</v>
      </c>
      <c r="AH41" s="8">
        <v>55.808689707089719</v>
      </c>
      <c r="AI41" s="8" t="s">
        <v>226</v>
      </c>
      <c r="AJ41" s="8">
        <v>21.351849072238931</v>
      </c>
      <c r="AK41" s="8"/>
      <c r="AL41" s="8">
        <v>64.807947750574456</v>
      </c>
      <c r="AM41" s="8" t="s">
        <v>226</v>
      </c>
      <c r="AN41" s="8">
        <v>17.707970284204769</v>
      </c>
      <c r="AO41" s="8"/>
      <c r="AP41" s="8">
        <v>18.299954962468149</v>
      </c>
      <c r="AQ41" s="8"/>
      <c r="AR41" s="8">
        <v>20.127117640217151</v>
      </c>
      <c r="AS41" s="8"/>
      <c r="AT41" s="8">
        <v>-2.0681288158320599</v>
      </c>
      <c r="AU41" s="8"/>
      <c r="AV41" s="9">
        <v>-3.6253008099955242</v>
      </c>
      <c r="AW41" s="8"/>
    </row>
    <row r="42" spans="1:49" ht="15.75" x14ac:dyDescent="0.25">
      <c r="A42" s="7" t="s">
        <v>162</v>
      </c>
      <c r="B42" s="8">
        <v>-89.93705122709838</v>
      </c>
      <c r="C42" s="8" t="s">
        <v>226</v>
      </c>
      <c r="D42" s="8">
        <v>-86.338874392323177</v>
      </c>
      <c r="E42" s="8" t="s">
        <v>226</v>
      </c>
      <c r="F42" s="8">
        <v>-84.08318098771727</v>
      </c>
      <c r="G42" s="8" t="s">
        <v>226</v>
      </c>
      <c r="H42" s="8">
        <v>-80.974756003390397</v>
      </c>
      <c r="I42" s="8" t="s">
        <v>226</v>
      </c>
      <c r="J42" s="8">
        <v>-79.917133435826074</v>
      </c>
      <c r="K42" s="8" t="s">
        <v>226</v>
      </c>
      <c r="L42" s="8">
        <v>-75.657319407955825</v>
      </c>
      <c r="M42" s="8" t="s">
        <v>226</v>
      </c>
      <c r="N42" s="8">
        <v>-71.179235725954001</v>
      </c>
      <c r="O42" s="8" t="s">
        <v>226</v>
      </c>
      <c r="P42" s="8">
        <v>-68.580053291200258</v>
      </c>
      <c r="Q42" s="8" t="s">
        <v>226</v>
      </c>
      <c r="R42" s="8">
        <v>-65.13398317218136</v>
      </c>
      <c r="S42" s="8" t="s">
        <v>226</v>
      </c>
      <c r="T42" s="8">
        <v>-61.10811210982223</v>
      </c>
      <c r="U42" s="8" t="s">
        <v>226</v>
      </c>
      <c r="V42" s="8">
        <v>-55.75173716498125</v>
      </c>
      <c r="W42" s="8" t="s">
        <v>226</v>
      </c>
      <c r="X42" s="8">
        <v>-50.266253529688207</v>
      </c>
      <c r="Y42" s="8" t="s">
        <v>226</v>
      </c>
      <c r="Z42" s="8">
        <v>-43.866501179005091</v>
      </c>
      <c r="AA42" s="8" t="s">
        <v>226</v>
      </c>
      <c r="AB42" s="8">
        <v>-42.884406964819888</v>
      </c>
      <c r="AC42" s="8" t="s">
        <v>226</v>
      </c>
      <c r="AD42" s="8">
        <v>-26.44726351371089</v>
      </c>
      <c r="AE42" s="8" t="s">
        <v>226</v>
      </c>
      <c r="AF42" s="8">
        <v>-14.82818676474384</v>
      </c>
      <c r="AG42" s="8"/>
      <c r="AH42" s="8">
        <v>-33.320392235189743</v>
      </c>
      <c r="AI42" s="8" t="s">
        <v>226</v>
      </c>
      <c r="AJ42" s="8">
        <v>-16.43367617920174</v>
      </c>
      <c r="AK42" s="8"/>
      <c r="AL42" s="8">
        <v>-17.433409592707431</v>
      </c>
      <c r="AM42" s="8"/>
      <c r="AN42" s="8">
        <v>-30.201642272373171</v>
      </c>
      <c r="AO42" s="8" t="s">
        <v>226</v>
      </c>
      <c r="AP42" s="8">
        <v>-24.357922843630231</v>
      </c>
      <c r="AQ42" s="8" t="s">
        <v>226</v>
      </c>
      <c r="AR42" s="8">
        <v>-25.225426711305349</v>
      </c>
      <c r="AS42" s="8" t="s">
        <v>226</v>
      </c>
      <c r="AT42" s="8">
        <v>0.95556251134740755</v>
      </c>
      <c r="AU42" s="8"/>
      <c r="AV42" s="9">
        <v>-23.734668473296122</v>
      </c>
      <c r="AW42" s="8"/>
    </row>
    <row r="43" spans="1:49" ht="30" customHeight="1" x14ac:dyDescent="0.25">
      <c r="A43" s="4" t="s">
        <v>163</v>
      </c>
      <c r="B43" s="5">
        <v>-71.825897275271501</v>
      </c>
      <c r="C43" s="5" t="s">
        <v>226</v>
      </c>
      <c r="D43" s="5">
        <v>-64.833756841098534</v>
      </c>
      <c r="E43" s="5" t="s">
        <v>226</v>
      </c>
      <c r="F43" s="5">
        <v>-53.190824416083323</v>
      </c>
      <c r="G43" s="5" t="s">
        <v>226</v>
      </c>
      <c r="H43" s="5">
        <v>-48.478499343717523</v>
      </c>
      <c r="I43" s="5" t="s">
        <v>226</v>
      </c>
      <c r="J43" s="5">
        <v>-46.813587598621901</v>
      </c>
      <c r="K43" s="5" t="s">
        <v>226</v>
      </c>
      <c r="L43" s="5">
        <v>-49.068937438028513</v>
      </c>
      <c r="M43" s="5" t="s">
        <v>226</v>
      </c>
      <c r="N43" s="5">
        <v>-52.647813653127592</v>
      </c>
      <c r="O43" s="5" t="s">
        <v>226</v>
      </c>
      <c r="P43" s="5">
        <v>-56.293670031324851</v>
      </c>
      <c r="Q43" s="5" t="s">
        <v>226</v>
      </c>
      <c r="R43" s="5">
        <v>-59.38686578403891</v>
      </c>
      <c r="S43" s="5" t="s">
        <v>226</v>
      </c>
      <c r="T43" s="5">
        <v>-56.678421316795621</v>
      </c>
      <c r="U43" s="5" t="s">
        <v>226</v>
      </c>
      <c r="V43" s="5">
        <v>-64.398834146018899</v>
      </c>
      <c r="W43" s="5" t="s">
        <v>226</v>
      </c>
      <c r="X43" s="5">
        <v>-60.295709997562952</v>
      </c>
      <c r="Y43" s="5" t="s">
        <v>226</v>
      </c>
      <c r="Z43" s="5">
        <v>-64.06999153996999</v>
      </c>
      <c r="AA43" s="5" t="s">
        <v>226</v>
      </c>
      <c r="AB43" s="5">
        <v>-58.061019711703317</v>
      </c>
      <c r="AC43" s="5" t="s">
        <v>226</v>
      </c>
      <c r="AD43" s="5">
        <v>-59.07504601857736</v>
      </c>
      <c r="AE43" s="5" t="s">
        <v>226</v>
      </c>
      <c r="AF43" s="5">
        <v>-50.665903559308028</v>
      </c>
      <c r="AG43" s="5" t="s">
        <v>226</v>
      </c>
      <c r="AH43" s="5">
        <v>-51.259746206567371</v>
      </c>
      <c r="AI43" s="5" t="s">
        <v>226</v>
      </c>
      <c r="AJ43" s="5">
        <v>-43.246399728473612</v>
      </c>
      <c r="AK43" s="5" t="s">
        <v>226</v>
      </c>
      <c r="AL43" s="5">
        <v>-36.600057810149863</v>
      </c>
      <c r="AM43" s="5" t="s">
        <v>226</v>
      </c>
      <c r="AN43" s="5">
        <v>-37.171462563064537</v>
      </c>
      <c r="AO43" s="5" t="s">
        <v>226</v>
      </c>
      <c r="AP43" s="5">
        <v>-41.192468768135782</v>
      </c>
      <c r="AQ43" s="5" t="s">
        <v>226</v>
      </c>
      <c r="AR43" s="5">
        <v>-31.765472360161919</v>
      </c>
      <c r="AS43" s="5" t="s">
        <v>226</v>
      </c>
      <c r="AT43" s="5">
        <v>-19.63263769168951</v>
      </c>
      <c r="AU43" s="5"/>
      <c r="AV43" s="6">
        <v>-10.645390018924219</v>
      </c>
      <c r="AW43" s="5"/>
    </row>
    <row r="44" spans="1:49" ht="30" customHeight="1" x14ac:dyDescent="0.25">
      <c r="A44" s="4" t="s">
        <v>164</v>
      </c>
      <c r="B44" s="5">
        <v>-82.661540475582967</v>
      </c>
      <c r="C44" s="5" t="s">
        <v>226</v>
      </c>
      <c r="D44" s="5">
        <v>-80.818055405878269</v>
      </c>
      <c r="E44" s="5" t="s">
        <v>226</v>
      </c>
      <c r="F44" s="5">
        <v>-79.720367141092424</v>
      </c>
      <c r="G44" s="5" t="s">
        <v>226</v>
      </c>
      <c r="H44" s="5">
        <v>-78.032480991141483</v>
      </c>
      <c r="I44" s="5" t="s">
        <v>226</v>
      </c>
      <c r="J44" s="5">
        <v>-77.356639722286147</v>
      </c>
      <c r="K44" s="5" t="s">
        <v>226</v>
      </c>
      <c r="L44" s="5">
        <v>-76.213300653727515</v>
      </c>
      <c r="M44" s="5" t="s">
        <v>226</v>
      </c>
      <c r="N44" s="5">
        <v>-76.763486922564056</v>
      </c>
      <c r="O44" s="5" t="s">
        <v>226</v>
      </c>
      <c r="P44" s="5">
        <v>-78.095156693407873</v>
      </c>
      <c r="Q44" s="5" t="s">
        <v>226</v>
      </c>
      <c r="R44" s="5">
        <v>-80.012106103197183</v>
      </c>
      <c r="S44" s="5" t="s">
        <v>226</v>
      </c>
      <c r="T44" s="5">
        <v>-77.716671369485852</v>
      </c>
      <c r="U44" s="5" t="s">
        <v>226</v>
      </c>
      <c r="V44" s="5">
        <v>-78.227070304698046</v>
      </c>
      <c r="W44" s="5" t="s">
        <v>226</v>
      </c>
      <c r="X44" s="5">
        <v>-75.491173175573124</v>
      </c>
      <c r="Y44" s="5" t="s">
        <v>226</v>
      </c>
      <c r="Z44" s="5">
        <v>-72.993008707882282</v>
      </c>
      <c r="AA44" s="5" t="s">
        <v>226</v>
      </c>
      <c r="AB44" s="5">
        <v>-71.113231014563922</v>
      </c>
      <c r="AC44" s="5" t="s">
        <v>226</v>
      </c>
      <c r="AD44" s="5">
        <v>-66.231786473663973</v>
      </c>
      <c r="AE44" s="5" t="s">
        <v>226</v>
      </c>
      <c r="AF44" s="5">
        <v>-59.417503149961547</v>
      </c>
      <c r="AG44" s="5" t="s">
        <v>226</v>
      </c>
      <c r="AH44" s="5">
        <v>-56.101354646553069</v>
      </c>
      <c r="AI44" s="5" t="s">
        <v>226</v>
      </c>
      <c r="AJ44" s="5">
        <v>-51.482118624147688</v>
      </c>
      <c r="AK44" s="5" t="s">
        <v>226</v>
      </c>
      <c r="AL44" s="5">
        <v>-49.785102792218012</v>
      </c>
      <c r="AM44" s="5" t="s">
        <v>226</v>
      </c>
      <c r="AN44" s="5">
        <v>-45.795571659236238</v>
      </c>
      <c r="AO44" s="5" t="s">
        <v>226</v>
      </c>
      <c r="AP44" s="5">
        <v>-48.727790862742971</v>
      </c>
      <c r="AQ44" s="5" t="s">
        <v>226</v>
      </c>
      <c r="AR44" s="5">
        <v>-41.135457841426572</v>
      </c>
      <c r="AS44" s="5" t="s">
        <v>226</v>
      </c>
      <c r="AT44" s="5">
        <v>-11.60872128025019</v>
      </c>
      <c r="AU44" s="5"/>
      <c r="AV44" s="6">
        <v>-12.077241141237639</v>
      </c>
      <c r="AW44" s="5"/>
    </row>
    <row r="45" spans="1:49" ht="15.75" x14ac:dyDescent="0.25">
      <c r="A45" s="7" t="s">
        <v>165</v>
      </c>
      <c r="B45" s="8">
        <v>-80.114140969481696</v>
      </c>
      <c r="C45" s="8" t="s">
        <v>226</v>
      </c>
      <c r="D45" s="8">
        <v>-77.959349424354897</v>
      </c>
      <c r="E45" s="8" t="s">
        <v>226</v>
      </c>
      <c r="F45" s="8">
        <v>-77.05140667336407</v>
      </c>
      <c r="G45" s="8" t="s">
        <v>226</v>
      </c>
      <c r="H45" s="8">
        <v>-75.684646169787158</v>
      </c>
      <c r="I45" s="8" t="s">
        <v>226</v>
      </c>
      <c r="J45" s="8">
        <v>-75.841571369215146</v>
      </c>
      <c r="K45" s="8" t="s">
        <v>226</v>
      </c>
      <c r="L45" s="8">
        <v>-74.079288840640814</v>
      </c>
      <c r="M45" s="8" t="s">
        <v>226</v>
      </c>
      <c r="N45" s="8">
        <v>-76.05868676088258</v>
      </c>
      <c r="O45" s="8" t="s">
        <v>226</v>
      </c>
      <c r="P45" s="8">
        <v>-77.746751914175221</v>
      </c>
      <c r="Q45" s="8" t="s">
        <v>226</v>
      </c>
      <c r="R45" s="8">
        <v>-80.10315414962254</v>
      </c>
      <c r="S45" s="8" t="s">
        <v>226</v>
      </c>
      <c r="T45" s="8">
        <v>-78.206840813369681</v>
      </c>
      <c r="U45" s="8" t="s">
        <v>226</v>
      </c>
      <c r="V45" s="8">
        <v>-79.314661562896944</v>
      </c>
      <c r="W45" s="8" t="s">
        <v>226</v>
      </c>
      <c r="X45" s="8">
        <v>-76.366403154412026</v>
      </c>
      <c r="Y45" s="8" t="s">
        <v>226</v>
      </c>
      <c r="Z45" s="8">
        <v>-74.642500897502501</v>
      </c>
      <c r="AA45" s="8" t="s">
        <v>226</v>
      </c>
      <c r="AB45" s="8">
        <v>-72.761840682362248</v>
      </c>
      <c r="AC45" s="8" t="s">
        <v>226</v>
      </c>
      <c r="AD45" s="8">
        <v>-69.542537981609144</v>
      </c>
      <c r="AE45" s="8" t="s">
        <v>226</v>
      </c>
      <c r="AF45" s="8">
        <v>-63.220178322256658</v>
      </c>
      <c r="AG45" s="8" t="s">
        <v>226</v>
      </c>
      <c r="AH45" s="8">
        <v>-58.140272026121757</v>
      </c>
      <c r="AI45" s="8" t="s">
        <v>226</v>
      </c>
      <c r="AJ45" s="8">
        <v>-55.859696266183413</v>
      </c>
      <c r="AK45" s="8" t="s">
        <v>226</v>
      </c>
      <c r="AL45" s="8">
        <v>-53.918397861775418</v>
      </c>
      <c r="AM45" s="8" t="s">
        <v>226</v>
      </c>
      <c r="AN45" s="8">
        <v>-47.015383827579051</v>
      </c>
      <c r="AO45" s="8" t="s">
        <v>226</v>
      </c>
      <c r="AP45" s="8">
        <v>-54.872396300508939</v>
      </c>
      <c r="AQ45" s="8" t="s">
        <v>226</v>
      </c>
      <c r="AR45" s="8">
        <v>-45.545979351818673</v>
      </c>
      <c r="AS45" s="8" t="s">
        <v>226</v>
      </c>
      <c r="AT45" s="8">
        <v>-16.387267057569129</v>
      </c>
      <c r="AU45" s="8" t="s">
        <v>226</v>
      </c>
      <c r="AV45" s="9">
        <v>-12.974613667147249</v>
      </c>
      <c r="AW45" s="8"/>
    </row>
    <row r="46" spans="1:49" ht="15.75" x14ac:dyDescent="0.25">
      <c r="A46" s="7" t="s">
        <v>166</v>
      </c>
      <c r="B46" s="8">
        <v>-85.720990115069512</v>
      </c>
      <c r="C46" s="8" t="s">
        <v>226</v>
      </c>
      <c r="D46" s="8">
        <v>-84.237762715564088</v>
      </c>
      <c r="E46" s="8" t="s">
        <v>226</v>
      </c>
      <c r="F46" s="8">
        <v>-83.02296964611196</v>
      </c>
      <c r="G46" s="8" t="s">
        <v>226</v>
      </c>
      <c r="H46" s="8">
        <v>-81.087079009597545</v>
      </c>
      <c r="I46" s="8" t="s">
        <v>226</v>
      </c>
      <c r="J46" s="8">
        <v>-79.506401222725472</v>
      </c>
      <c r="K46" s="8" t="s">
        <v>226</v>
      </c>
      <c r="L46" s="8">
        <v>-79.092434670196994</v>
      </c>
      <c r="M46" s="8" t="s">
        <v>226</v>
      </c>
      <c r="N46" s="8">
        <v>-77.853978355076933</v>
      </c>
      <c r="O46" s="8" t="s">
        <v>226</v>
      </c>
      <c r="P46" s="8">
        <v>-78.654157590253533</v>
      </c>
      <c r="Q46" s="8" t="s">
        <v>226</v>
      </c>
      <c r="R46" s="8">
        <v>-79.857936459111926</v>
      </c>
      <c r="S46" s="8" t="s">
        <v>226</v>
      </c>
      <c r="T46" s="8">
        <v>-76.845570088097944</v>
      </c>
      <c r="U46" s="8" t="s">
        <v>226</v>
      </c>
      <c r="V46" s="8">
        <v>-76.127610937676479</v>
      </c>
      <c r="W46" s="8" t="s">
        <v>226</v>
      </c>
      <c r="X46" s="8">
        <v>-73.872740131206129</v>
      </c>
      <c r="Y46" s="8" t="s">
        <v>226</v>
      </c>
      <c r="Z46" s="8">
        <v>-69.695725540520215</v>
      </c>
      <c r="AA46" s="8" t="s">
        <v>226</v>
      </c>
      <c r="AB46" s="8">
        <v>-67.859336775995985</v>
      </c>
      <c r="AC46" s="8" t="s">
        <v>226</v>
      </c>
      <c r="AD46" s="8">
        <v>-58.727652965523511</v>
      </c>
      <c r="AE46" s="8" t="s">
        <v>226</v>
      </c>
      <c r="AF46" s="8">
        <v>-50.931790236715578</v>
      </c>
      <c r="AG46" s="8" t="s">
        <v>226</v>
      </c>
      <c r="AH46" s="8">
        <v>-52.207580563403177</v>
      </c>
      <c r="AI46" s="8" t="s">
        <v>226</v>
      </c>
      <c r="AJ46" s="8">
        <v>-41.833104602903028</v>
      </c>
      <c r="AK46" s="8" t="s">
        <v>226</v>
      </c>
      <c r="AL46" s="8">
        <v>-40.921583493392127</v>
      </c>
      <c r="AM46" s="8" t="s">
        <v>226</v>
      </c>
      <c r="AN46" s="8">
        <v>-43.624666769591549</v>
      </c>
      <c r="AO46" s="8" t="s">
        <v>226</v>
      </c>
      <c r="AP46" s="8">
        <v>-33.606638149953717</v>
      </c>
      <c r="AQ46" s="8" t="s">
        <v>226</v>
      </c>
      <c r="AR46" s="8">
        <v>-31.910886738570241</v>
      </c>
      <c r="AS46" s="8" t="s">
        <v>226</v>
      </c>
      <c r="AT46" s="8">
        <v>-2.26590193880567</v>
      </c>
      <c r="AU46" s="8"/>
      <c r="AV46" s="9">
        <v>-10.534146257623959</v>
      </c>
      <c r="AW46" s="8"/>
    </row>
    <row r="47" spans="1:49" ht="37.5" customHeight="1" x14ac:dyDescent="0.25">
      <c r="A47" s="816" t="s">
        <v>168</v>
      </c>
      <c r="B47" s="817">
        <v>-77.063733187261434</v>
      </c>
      <c r="C47" s="817" t="s">
        <v>226</v>
      </c>
      <c r="D47" s="817">
        <v>-73.566112817052357</v>
      </c>
      <c r="E47" s="817" t="s">
        <v>226</v>
      </c>
      <c r="F47" s="817">
        <v>-70.235344482384662</v>
      </c>
      <c r="G47" s="817" t="s">
        <v>226</v>
      </c>
      <c r="H47" s="817">
        <v>-64.465818552070402</v>
      </c>
      <c r="I47" s="817" t="s">
        <v>226</v>
      </c>
      <c r="J47" s="817">
        <v>-63.371020262966283</v>
      </c>
      <c r="K47" s="817" t="s">
        <v>226</v>
      </c>
      <c r="L47" s="817">
        <v>-60.909753136395807</v>
      </c>
      <c r="M47" s="817" t="s">
        <v>226</v>
      </c>
      <c r="N47" s="817">
        <v>-57.893673338545113</v>
      </c>
      <c r="O47" s="817" t="s">
        <v>226</v>
      </c>
      <c r="P47" s="817">
        <v>-58.22416531551535</v>
      </c>
      <c r="Q47" s="817" t="s">
        <v>226</v>
      </c>
      <c r="R47" s="817">
        <v>-59.415227175862597</v>
      </c>
      <c r="S47" s="817" t="s">
        <v>226</v>
      </c>
      <c r="T47" s="817">
        <v>-54.797676469060157</v>
      </c>
      <c r="U47" s="817" t="s">
        <v>226</v>
      </c>
      <c r="V47" s="817">
        <v>-56.497074049077753</v>
      </c>
      <c r="W47" s="817" t="s">
        <v>226</v>
      </c>
      <c r="X47" s="817">
        <v>-52.448869556823297</v>
      </c>
      <c r="Y47" s="817" t="s">
        <v>226</v>
      </c>
      <c r="Z47" s="817">
        <v>-53.269630313212168</v>
      </c>
      <c r="AA47" s="817" t="s">
        <v>226</v>
      </c>
      <c r="AB47" s="817">
        <v>-52.690585630335583</v>
      </c>
      <c r="AC47" s="817" t="s">
        <v>226</v>
      </c>
      <c r="AD47" s="817">
        <v>-48.175664295454069</v>
      </c>
      <c r="AE47" s="817" t="s">
        <v>226</v>
      </c>
      <c r="AF47" s="817">
        <v>-39.921488011324492</v>
      </c>
      <c r="AG47" s="817" t="s">
        <v>226</v>
      </c>
      <c r="AH47" s="817">
        <v>-36.763587242609297</v>
      </c>
      <c r="AI47" s="817" t="s">
        <v>226</v>
      </c>
      <c r="AJ47" s="817">
        <v>-30.49190797083676</v>
      </c>
      <c r="AK47" s="817" t="s">
        <v>226</v>
      </c>
      <c r="AL47" s="817">
        <v>-25.076472332548509</v>
      </c>
      <c r="AM47" s="817" t="s">
        <v>226</v>
      </c>
      <c r="AN47" s="817">
        <v>-27.352457029101291</v>
      </c>
      <c r="AO47" s="817" t="s">
        <v>226</v>
      </c>
      <c r="AP47" s="817">
        <v>-29.435671758368919</v>
      </c>
      <c r="AQ47" s="817" t="s">
        <v>226</v>
      </c>
      <c r="AR47" s="817">
        <v>-19.83977194434355</v>
      </c>
      <c r="AS47" s="817" t="s">
        <v>226</v>
      </c>
      <c r="AT47" s="817">
        <v>3.5011640115261371</v>
      </c>
      <c r="AU47" s="817"/>
      <c r="AV47" s="818">
        <v>-3.9017875187812741</v>
      </c>
      <c r="AW47" s="817"/>
    </row>
    <row r="48" spans="1:49" ht="30" customHeight="1" x14ac:dyDescent="0.25">
      <c r="A48" s="4" t="s">
        <v>1475</v>
      </c>
      <c r="B48" s="5" t="s">
        <v>169</v>
      </c>
      <c r="C48" s="5" t="s">
        <v>169</v>
      </c>
      <c r="D48" s="5" t="s">
        <v>169</v>
      </c>
      <c r="E48" s="5" t="s">
        <v>169</v>
      </c>
      <c r="F48" s="5" t="s">
        <v>169</v>
      </c>
      <c r="G48" s="5" t="s">
        <v>169</v>
      </c>
      <c r="H48" s="5" t="s">
        <v>169</v>
      </c>
      <c r="I48" s="5" t="s">
        <v>169</v>
      </c>
      <c r="J48" s="5" t="s">
        <v>169</v>
      </c>
      <c r="K48" s="5" t="s">
        <v>169</v>
      </c>
      <c r="L48" s="5" t="s">
        <v>169</v>
      </c>
      <c r="M48" s="5" t="s">
        <v>169</v>
      </c>
      <c r="N48" s="5" t="s">
        <v>169</v>
      </c>
      <c r="O48" s="5" t="s">
        <v>169</v>
      </c>
      <c r="P48" s="5" t="s">
        <v>169</v>
      </c>
      <c r="Q48" s="5" t="s">
        <v>169</v>
      </c>
      <c r="R48" s="5" t="s">
        <v>169</v>
      </c>
      <c r="S48" s="5" t="s">
        <v>169</v>
      </c>
      <c r="T48" s="5" t="s">
        <v>169</v>
      </c>
      <c r="U48" s="5" t="s">
        <v>169</v>
      </c>
      <c r="V48" s="5" t="s">
        <v>169</v>
      </c>
      <c r="W48" s="5" t="s">
        <v>169</v>
      </c>
      <c r="X48" s="5" t="s">
        <v>169</v>
      </c>
      <c r="Y48" s="5" t="s">
        <v>169</v>
      </c>
      <c r="Z48" s="5" t="s">
        <v>169</v>
      </c>
      <c r="AA48" s="5" t="s">
        <v>169</v>
      </c>
      <c r="AB48" s="5" t="s">
        <v>169</v>
      </c>
      <c r="AC48" s="5" t="s">
        <v>169</v>
      </c>
      <c r="AD48" s="5" t="s">
        <v>169</v>
      </c>
      <c r="AE48" s="5" t="s">
        <v>169</v>
      </c>
      <c r="AF48" s="5" t="s">
        <v>169</v>
      </c>
      <c r="AG48" s="5" t="s">
        <v>169</v>
      </c>
      <c r="AH48" s="5" t="s">
        <v>169</v>
      </c>
      <c r="AI48" s="5" t="s">
        <v>169</v>
      </c>
      <c r="AJ48" s="5" t="s">
        <v>169</v>
      </c>
      <c r="AK48" s="5" t="s">
        <v>169</v>
      </c>
      <c r="AL48" s="5">
        <v>19.940513915208861</v>
      </c>
      <c r="AM48" s="5" t="s">
        <v>226</v>
      </c>
      <c r="AN48" s="5">
        <v>25.09368058675636</v>
      </c>
      <c r="AO48" s="5" t="s">
        <v>226</v>
      </c>
      <c r="AP48" s="5">
        <v>6.8969383317259547</v>
      </c>
      <c r="AQ48" s="5"/>
      <c r="AR48" s="5">
        <v>10.76588577056361</v>
      </c>
      <c r="AS48" s="5" t="s">
        <v>226</v>
      </c>
      <c r="AT48" s="5">
        <v>15.476050764285731</v>
      </c>
      <c r="AU48" s="5" t="s">
        <v>226</v>
      </c>
      <c r="AV48" s="6">
        <v>14.3555803431308</v>
      </c>
      <c r="AW48" s="5" t="s">
        <v>226</v>
      </c>
    </row>
    <row r="49" spans="1:49" ht="15.75" x14ac:dyDescent="0.25">
      <c r="A49" s="7" t="s">
        <v>170</v>
      </c>
      <c r="B49" s="8" t="s">
        <v>169</v>
      </c>
      <c r="C49" s="8" t="s">
        <v>169</v>
      </c>
      <c r="D49" s="8" t="s">
        <v>169</v>
      </c>
      <c r="E49" s="8" t="s">
        <v>169</v>
      </c>
      <c r="F49" s="8" t="s">
        <v>169</v>
      </c>
      <c r="G49" s="8" t="s">
        <v>169</v>
      </c>
      <c r="H49" s="8" t="s">
        <v>169</v>
      </c>
      <c r="I49" s="8" t="s">
        <v>169</v>
      </c>
      <c r="J49" s="8" t="s">
        <v>169</v>
      </c>
      <c r="K49" s="8" t="s">
        <v>169</v>
      </c>
      <c r="L49" s="8" t="s">
        <v>169</v>
      </c>
      <c r="M49" s="8" t="s">
        <v>169</v>
      </c>
      <c r="N49" s="8" t="s">
        <v>169</v>
      </c>
      <c r="O49" s="8" t="s">
        <v>169</v>
      </c>
      <c r="P49" s="8" t="s">
        <v>169</v>
      </c>
      <c r="Q49" s="8" t="s">
        <v>169</v>
      </c>
      <c r="R49" s="8" t="s">
        <v>169</v>
      </c>
      <c r="S49" s="8" t="s">
        <v>169</v>
      </c>
      <c r="T49" s="8" t="s">
        <v>169</v>
      </c>
      <c r="U49" s="8" t="s">
        <v>169</v>
      </c>
      <c r="V49" s="8" t="s">
        <v>169</v>
      </c>
      <c r="W49" s="8" t="s">
        <v>169</v>
      </c>
      <c r="X49" s="8" t="s">
        <v>169</v>
      </c>
      <c r="Y49" s="8" t="s">
        <v>169</v>
      </c>
      <c r="Z49" s="8" t="s">
        <v>169</v>
      </c>
      <c r="AA49" s="8" t="s">
        <v>169</v>
      </c>
      <c r="AB49" s="8" t="s">
        <v>169</v>
      </c>
      <c r="AC49" s="8" t="s">
        <v>169</v>
      </c>
      <c r="AD49" s="8" t="s">
        <v>169</v>
      </c>
      <c r="AE49" s="8" t="s">
        <v>169</v>
      </c>
      <c r="AF49" s="8" t="s">
        <v>169</v>
      </c>
      <c r="AG49" s="8" t="s">
        <v>169</v>
      </c>
      <c r="AH49" s="8" t="s">
        <v>169</v>
      </c>
      <c r="AI49" s="8" t="s">
        <v>169</v>
      </c>
      <c r="AJ49" s="8" t="s">
        <v>169</v>
      </c>
      <c r="AK49" s="8" t="s">
        <v>169</v>
      </c>
      <c r="AL49" s="8">
        <v>0.3919579754371183</v>
      </c>
      <c r="AM49" s="8"/>
      <c r="AN49" s="8">
        <v>11.30837784494341</v>
      </c>
      <c r="AO49" s="8"/>
      <c r="AP49" s="8">
        <v>-3.2779625555087839</v>
      </c>
      <c r="AQ49" s="8"/>
      <c r="AR49" s="8">
        <v>0.83781913247702455</v>
      </c>
      <c r="AS49" s="8"/>
      <c r="AT49" s="8">
        <v>16.820269033687762</v>
      </c>
      <c r="AU49" s="8" t="s">
        <v>226</v>
      </c>
      <c r="AV49" s="9">
        <v>19.242169136371199</v>
      </c>
      <c r="AW49" s="8" t="s">
        <v>226</v>
      </c>
    </row>
    <row r="50" spans="1:49" ht="15.75" x14ac:dyDescent="0.25">
      <c r="A50" s="7" t="s">
        <v>171</v>
      </c>
      <c r="B50" s="8" t="s">
        <v>169</v>
      </c>
      <c r="C50" s="8" t="s">
        <v>169</v>
      </c>
      <c r="D50" s="8" t="s">
        <v>169</v>
      </c>
      <c r="E50" s="8" t="s">
        <v>169</v>
      </c>
      <c r="F50" s="8" t="s">
        <v>169</v>
      </c>
      <c r="G50" s="8" t="s">
        <v>169</v>
      </c>
      <c r="H50" s="8" t="s">
        <v>169</v>
      </c>
      <c r="I50" s="8" t="s">
        <v>169</v>
      </c>
      <c r="J50" s="8" t="s">
        <v>169</v>
      </c>
      <c r="K50" s="8" t="s">
        <v>169</v>
      </c>
      <c r="L50" s="8" t="s">
        <v>169</v>
      </c>
      <c r="M50" s="8" t="s">
        <v>169</v>
      </c>
      <c r="N50" s="8" t="s">
        <v>169</v>
      </c>
      <c r="O50" s="8" t="s">
        <v>169</v>
      </c>
      <c r="P50" s="8" t="s">
        <v>169</v>
      </c>
      <c r="Q50" s="8" t="s">
        <v>169</v>
      </c>
      <c r="R50" s="8" t="s">
        <v>169</v>
      </c>
      <c r="S50" s="8" t="s">
        <v>169</v>
      </c>
      <c r="T50" s="8" t="s">
        <v>169</v>
      </c>
      <c r="U50" s="8" t="s">
        <v>169</v>
      </c>
      <c r="V50" s="8" t="s">
        <v>169</v>
      </c>
      <c r="W50" s="8" t="s">
        <v>169</v>
      </c>
      <c r="X50" s="8" t="s">
        <v>169</v>
      </c>
      <c r="Y50" s="8" t="s">
        <v>169</v>
      </c>
      <c r="Z50" s="8" t="s">
        <v>169</v>
      </c>
      <c r="AA50" s="8" t="s">
        <v>169</v>
      </c>
      <c r="AB50" s="8" t="s">
        <v>169</v>
      </c>
      <c r="AC50" s="8" t="s">
        <v>169</v>
      </c>
      <c r="AD50" s="8" t="s">
        <v>169</v>
      </c>
      <c r="AE50" s="8" t="s">
        <v>169</v>
      </c>
      <c r="AF50" s="8" t="s">
        <v>169</v>
      </c>
      <c r="AG50" s="8" t="s">
        <v>169</v>
      </c>
      <c r="AH50" s="8" t="s">
        <v>169</v>
      </c>
      <c r="AI50" s="8" t="s">
        <v>169</v>
      </c>
      <c r="AJ50" s="8" t="s">
        <v>169</v>
      </c>
      <c r="AK50" s="8" t="s">
        <v>169</v>
      </c>
      <c r="AL50" s="8">
        <v>45.989920602568994</v>
      </c>
      <c r="AM50" s="8" t="s">
        <v>226</v>
      </c>
      <c r="AN50" s="8">
        <v>22.98002184609922</v>
      </c>
      <c r="AO50" s="8" t="s">
        <v>226</v>
      </c>
      <c r="AP50" s="8">
        <v>5.4294589476502564</v>
      </c>
      <c r="AQ50" s="8"/>
      <c r="AR50" s="8">
        <v>17.442971899944109</v>
      </c>
      <c r="AS50" s="8" t="s">
        <v>226</v>
      </c>
      <c r="AT50" s="8">
        <v>30.205977836749099</v>
      </c>
      <c r="AU50" s="8" t="s">
        <v>226</v>
      </c>
      <c r="AV50" s="9">
        <v>11.55095222391247</v>
      </c>
      <c r="AW50" s="8"/>
    </row>
    <row r="51" spans="1:49" ht="15.75" x14ac:dyDescent="0.25">
      <c r="A51" s="7" t="s">
        <v>172</v>
      </c>
      <c r="B51" s="8" t="s">
        <v>169</v>
      </c>
      <c r="C51" s="8" t="s">
        <v>169</v>
      </c>
      <c r="D51" s="8" t="s">
        <v>169</v>
      </c>
      <c r="E51" s="8" t="s">
        <v>169</v>
      </c>
      <c r="F51" s="8" t="s">
        <v>169</v>
      </c>
      <c r="G51" s="8" t="s">
        <v>169</v>
      </c>
      <c r="H51" s="8" t="s">
        <v>169</v>
      </c>
      <c r="I51" s="8" t="s">
        <v>169</v>
      </c>
      <c r="J51" s="8" t="s">
        <v>169</v>
      </c>
      <c r="K51" s="8" t="s">
        <v>169</v>
      </c>
      <c r="L51" s="8" t="s">
        <v>169</v>
      </c>
      <c r="M51" s="8" t="s">
        <v>169</v>
      </c>
      <c r="N51" s="8" t="s">
        <v>169</v>
      </c>
      <c r="O51" s="8" t="s">
        <v>169</v>
      </c>
      <c r="P51" s="8" t="s">
        <v>169</v>
      </c>
      <c r="Q51" s="8" t="s">
        <v>169</v>
      </c>
      <c r="R51" s="8" t="s">
        <v>169</v>
      </c>
      <c r="S51" s="8" t="s">
        <v>169</v>
      </c>
      <c r="T51" s="8" t="s">
        <v>169</v>
      </c>
      <c r="U51" s="8" t="s">
        <v>169</v>
      </c>
      <c r="V51" s="8" t="s">
        <v>169</v>
      </c>
      <c r="W51" s="8" t="s">
        <v>169</v>
      </c>
      <c r="X51" s="8" t="s">
        <v>169</v>
      </c>
      <c r="Y51" s="8" t="s">
        <v>169</v>
      </c>
      <c r="Z51" s="8" t="s">
        <v>169</v>
      </c>
      <c r="AA51" s="8" t="s">
        <v>169</v>
      </c>
      <c r="AB51" s="8" t="s">
        <v>169</v>
      </c>
      <c r="AC51" s="8" t="s">
        <v>169</v>
      </c>
      <c r="AD51" s="8" t="s">
        <v>169</v>
      </c>
      <c r="AE51" s="8" t="s">
        <v>169</v>
      </c>
      <c r="AF51" s="8" t="s">
        <v>169</v>
      </c>
      <c r="AG51" s="8" t="s">
        <v>169</v>
      </c>
      <c r="AH51" s="8" t="s">
        <v>169</v>
      </c>
      <c r="AI51" s="8" t="s">
        <v>169</v>
      </c>
      <c r="AJ51" s="8" t="s">
        <v>169</v>
      </c>
      <c r="AK51" s="8" t="s">
        <v>169</v>
      </c>
      <c r="AL51" s="8">
        <v>287.76422278151801</v>
      </c>
      <c r="AM51" s="8" t="s">
        <v>226</v>
      </c>
      <c r="AN51" s="8">
        <v>328.8024196452713</v>
      </c>
      <c r="AO51" s="8" t="s">
        <v>226</v>
      </c>
      <c r="AP51" s="8">
        <v>420.59494501574977</v>
      </c>
      <c r="AQ51" s="8" t="s">
        <v>226</v>
      </c>
      <c r="AR51" s="8">
        <v>394.82095710540619</v>
      </c>
      <c r="AS51" s="8" t="s">
        <v>226</v>
      </c>
      <c r="AT51" s="8">
        <v>-23.738525574564509</v>
      </c>
      <c r="AU51" s="8" t="s">
        <v>226</v>
      </c>
      <c r="AV51" s="9">
        <v>-10.514120812225491</v>
      </c>
      <c r="AW51" s="8"/>
    </row>
    <row r="52" spans="1:49" ht="15.75" x14ac:dyDescent="0.25">
      <c r="A52" s="7" t="s">
        <v>173</v>
      </c>
      <c r="B52" s="8" t="s">
        <v>169</v>
      </c>
      <c r="C52" s="8" t="s">
        <v>169</v>
      </c>
      <c r="D52" s="8" t="s">
        <v>169</v>
      </c>
      <c r="E52" s="8" t="s">
        <v>169</v>
      </c>
      <c r="F52" s="8" t="s">
        <v>169</v>
      </c>
      <c r="G52" s="8" t="s">
        <v>169</v>
      </c>
      <c r="H52" s="8" t="s">
        <v>169</v>
      </c>
      <c r="I52" s="8" t="s">
        <v>169</v>
      </c>
      <c r="J52" s="8" t="s">
        <v>169</v>
      </c>
      <c r="K52" s="8" t="s">
        <v>169</v>
      </c>
      <c r="L52" s="8" t="s">
        <v>169</v>
      </c>
      <c r="M52" s="8" t="s">
        <v>169</v>
      </c>
      <c r="N52" s="8" t="s">
        <v>169</v>
      </c>
      <c r="O52" s="8" t="s">
        <v>169</v>
      </c>
      <c r="P52" s="8" t="s">
        <v>169</v>
      </c>
      <c r="Q52" s="8" t="s">
        <v>169</v>
      </c>
      <c r="R52" s="8" t="s">
        <v>169</v>
      </c>
      <c r="S52" s="8" t="s">
        <v>169</v>
      </c>
      <c r="T52" s="8" t="s">
        <v>169</v>
      </c>
      <c r="U52" s="8" t="s">
        <v>169</v>
      </c>
      <c r="V52" s="8" t="s">
        <v>169</v>
      </c>
      <c r="W52" s="8" t="s">
        <v>169</v>
      </c>
      <c r="X52" s="8" t="s">
        <v>169</v>
      </c>
      <c r="Y52" s="8" t="s">
        <v>169</v>
      </c>
      <c r="Z52" s="8" t="s">
        <v>169</v>
      </c>
      <c r="AA52" s="8" t="s">
        <v>169</v>
      </c>
      <c r="AB52" s="8" t="s">
        <v>169</v>
      </c>
      <c r="AC52" s="8" t="s">
        <v>169</v>
      </c>
      <c r="AD52" s="8" t="s">
        <v>169</v>
      </c>
      <c r="AE52" s="8" t="s">
        <v>169</v>
      </c>
      <c r="AF52" s="8" t="s">
        <v>169</v>
      </c>
      <c r="AG52" s="8" t="s">
        <v>169</v>
      </c>
      <c r="AH52" s="8" t="s">
        <v>169</v>
      </c>
      <c r="AI52" s="8" t="s">
        <v>169</v>
      </c>
      <c r="AJ52" s="8" t="s">
        <v>169</v>
      </c>
      <c r="AK52" s="8" t="s">
        <v>169</v>
      </c>
      <c r="AL52" s="8">
        <v>110.59698667491431</v>
      </c>
      <c r="AM52" s="8" t="s">
        <v>226</v>
      </c>
      <c r="AN52" s="8">
        <v>189.01736230624701</v>
      </c>
      <c r="AO52" s="8" t="s">
        <v>226</v>
      </c>
      <c r="AP52" s="8">
        <v>33.273638050329147</v>
      </c>
      <c r="AQ52" s="8"/>
      <c r="AR52" s="8">
        <v>-9.7679019842558326</v>
      </c>
      <c r="AS52" s="8"/>
      <c r="AT52" s="8">
        <v>17.189439456068541</v>
      </c>
      <c r="AU52" s="8"/>
      <c r="AV52" s="9">
        <v>18.738895022298529</v>
      </c>
      <c r="AW52" s="8"/>
    </row>
    <row r="53" spans="1:49" ht="30" customHeight="1" x14ac:dyDescent="0.25">
      <c r="A53" s="4" t="s">
        <v>1476</v>
      </c>
      <c r="B53" s="5" t="s">
        <v>169</v>
      </c>
      <c r="C53" s="5" t="s">
        <v>169</v>
      </c>
      <c r="D53" s="5" t="s">
        <v>169</v>
      </c>
      <c r="E53" s="5" t="s">
        <v>169</v>
      </c>
      <c r="F53" s="5" t="s">
        <v>169</v>
      </c>
      <c r="G53" s="5" t="s">
        <v>169</v>
      </c>
      <c r="H53" s="5" t="s">
        <v>169</v>
      </c>
      <c r="I53" s="5" t="s">
        <v>169</v>
      </c>
      <c r="J53" s="5" t="s">
        <v>169</v>
      </c>
      <c r="K53" s="5" t="s">
        <v>169</v>
      </c>
      <c r="L53" s="5" t="s">
        <v>169</v>
      </c>
      <c r="M53" s="5" t="s">
        <v>169</v>
      </c>
      <c r="N53" s="5" t="s">
        <v>169</v>
      </c>
      <c r="O53" s="5" t="s">
        <v>169</v>
      </c>
      <c r="P53" s="5" t="s">
        <v>169</v>
      </c>
      <c r="Q53" s="5" t="s">
        <v>169</v>
      </c>
      <c r="R53" s="5" t="s">
        <v>169</v>
      </c>
      <c r="S53" s="5" t="s">
        <v>169</v>
      </c>
      <c r="T53" s="5" t="s">
        <v>169</v>
      </c>
      <c r="U53" s="5" t="s">
        <v>169</v>
      </c>
      <c r="V53" s="5" t="s">
        <v>169</v>
      </c>
      <c r="W53" s="5" t="s">
        <v>169</v>
      </c>
      <c r="X53" s="5" t="s">
        <v>169</v>
      </c>
      <c r="Y53" s="5" t="s">
        <v>169</v>
      </c>
      <c r="Z53" s="5" t="s">
        <v>169</v>
      </c>
      <c r="AA53" s="5" t="s">
        <v>169</v>
      </c>
      <c r="AB53" s="5" t="s">
        <v>169</v>
      </c>
      <c r="AC53" s="5" t="s">
        <v>169</v>
      </c>
      <c r="AD53" s="5" t="s">
        <v>169</v>
      </c>
      <c r="AE53" s="5" t="s">
        <v>169</v>
      </c>
      <c r="AF53" s="5" t="s">
        <v>169</v>
      </c>
      <c r="AG53" s="5" t="s">
        <v>169</v>
      </c>
      <c r="AH53" s="5" t="s">
        <v>169</v>
      </c>
      <c r="AI53" s="5" t="s">
        <v>169</v>
      </c>
      <c r="AJ53" s="5" t="s">
        <v>169</v>
      </c>
      <c r="AK53" s="5" t="s">
        <v>169</v>
      </c>
      <c r="AL53" s="5">
        <v>-62.390077021239662</v>
      </c>
      <c r="AM53" s="5" t="s">
        <v>226</v>
      </c>
      <c r="AN53" s="5">
        <v>-45.955217161320782</v>
      </c>
      <c r="AO53" s="5" t="s">
        <v>226</v>
      </c>
      <c r="AP53" s="5">
        <v>-31.352390223073641</v>
      </c>
      <c r="AQ53" s="5" t="s">
        <v>226</v>
      </c>
      <c r="AR53" s="5">
        <v>-24.26542208063232</v>
      </c>
      <c r="AS53" s="5" t="s">
        <v>226</v>
      </c>
      <c r="AT53" s="5">
        <v>-10.94626625461599</v>
      </c>
      <c r="AU53" s="5"/>
      <c r="AV53" s="6">
        <v>-30.310511694104111</v>
      </c>
      <c r="AW53" s="5" t="s">
        <v>226</v>
      </c>
    </row>
    <row r="54" spans="1:49" ht="15.75" x14ac:dyDescent="0.25">
      <c r="A54" s="7" t="s">
        <v>174</v>
      </c>
      <c r="B54" s="8" t="s">
        <v>169</v>
      </c>
      <c r="C54" s="8" t="s">
        <v>169</v>
      </c>
      <c r="D54" s="8" t="s">
        <v>169</v>
      </c>
      <c r="E54" s="8" t="s">
        <v>169</v>
      </c>
      <c r="F54" s="8" t="s">
        <v>169</v>
      </c>
      <c r="G54" s="8" t="s">
        <v>169</v>
      </c>
      <c r="H54" s="8" t="s">
        <v>169</v>
      </c>
      <c r="I54" s="8" t="s">
        <v>169</v>
      </c>
      <c r="J54" s="8" t="s">
        <v>169</v>
      </c>
      <c r="K54" s="8" t="s">
        <v>169</v>
      </c>
      <c r="L54" s="8" t="s">
        <v>169</v>
      </c>
      <c r="M54" s="8" t="s">
        <v>169</v>
      </c>
      <c r="N54" s="8" t="s">
        <v>169</v>
      </c>
      <c r="O54" s="8" t="s">
        <v>169</v>
      </c>
      <c r="P54" s="8" t="s">
        <v>169</v>
      </c>
      <c r="Q54" s="8" t="s">
        <v>169</v>
      </c>
      <c r="R54" s="8" t="s">
        <v>169</v>
      </c>
      <c r="S54" s="8" t="s">
        <v>169</v>
      </c>
      <c r="T54" s="8" t="s">
        <v>169</v>
      </c>
      <c r="U54" s="8" t="s">
        <v>169</v>
      </c>
      <c r="V54" s="8" t="s">
        <v>169</v>
      </c>
      <c r="W54" s="8" t="s">
        <v>169</v>
      </c>
      <c r="X54" s="8" t="s">
        <v>169</v>
      </c>
      <c r="Y54" s="8" t="s">
        <v>169</v>
      </c>
      <c r="Z54" s="8" t="s">
        <v>169</v>
      </c>
      <c r="AA54" s="8" t="s">
        <v>169</v>
      </c>
      <c r="AB54" s="8" t="s">
        <v>169</v>
      </c>
      <c r="AC54" s="8" t="s">
        <v>169</v>
      </c>
      <c r="AD54" s="8" t="s">
        <v>169</v>
      </c>
      <c r="AE54" s="8" t="s">
        <v>169</v>
      </c>
      <c r="AF54" s="8" t="s">
        <v>169</v>
      </c>
      <c r="AG54" s="8" t="s">
        <v>169</v>
      </c>
      <c r="AH54" s="8" t="s">
        <v>169</v>
      </c>
      <c r="AI54" s="8" t="s">
        <v>169</v>
      </c>
      <c r="AJ54" s="8" t="s">
        <v>169</v>
      </c>
      <c r="AK54" s="8" t="s">
        <v>169</v>
      </c>
      <c r="AL54" s="8">
        <v>-89.339162643058529</v>
      </c>
      <c r="AM54" s="8" t="s">
        <v>226</v>
      </c>
      <c r="AN54" s="8">
        <v>-82.156929633775164</v>
      </c>
      <c r="AO54" s="8" t="s">
        <v>226</v>
      </c>
      <c r="AP54" s="8">
        <v>-71.405284897940263</v>
      </c>
      <c r="AQ54" s="8" t="s">
        <v>226</v>
      </c>
      <c r="AR54" s="8">
        <v>-64.704396637587109</v>
      </c>
      <c r="AS54" s="8" t="s">
        <v>226</v>
      </c>
      <c r="AT54" s="8">
        <v>3.1246514407407</v>
      </c>
      <c r="AU54" s="8"/>
      <c r="AV54" s="9">
        <v>-2.8485068062295671</v>
      </c>
      <c r="AW54" s="8"/>
    </row>
    <row r="55" spans="1:49" ht="15.75" x14ac:dyDescent="0.25">
      <c r="A55" s="7" t="s">
        <v>175</v>
      </c>
      <c r="B55" s="8" t="s">
        <v>169</v>
      </c>
      <c r="C55" s="8" t="s">
        <v>169</v>
      </c>
      <c r="D55" s="8" t="s">
        <v>169</v>
      </c>
      <c r="E55" s="8" t="s">
        <v>169</v>
      </c>
      <c r="F55" s="8" t="s">
        <v>169</v>
      </c>
      <c r="G55" s="8" t="s">
        <v>169</v>
      </c>
      <c r="H55" s="8" t="s">
        <v>169</v>
      </c>
      <c r="I55" s="8" t="s">
        <v>169</v>
      </c>
      <c r="J55" s="8" t="s">
        <v>169</v>
      </c>
      <c r="K55" s="8" t="s">
        <v>169</v>
      </c>
      <c r="L55" s="8" t="s">
        <v>169</v>
      </c>
      <c r="M55" s="8" t="s">
        <v>169</v>
      </c>
      <c r="N55" s="8" t="s">
        <v>169</v>
      </c>
      <c r="O55" s="8" t="s">
        <v>169</v>
      </c>
      <c r="P55" s="8" t="s">
        <v>169</v>
      </c>
      <c r="Q55" s="8" t="s">
        <v>169</v>
      </c>
      <c r="R55" s="8" t="s">
        <v>169</v>
      </c>
      <c r="S55" s="8" t="s">
        <v>169</v>
      </c>
      <c r="T55" s="8" t="s">
        <v>169</v>
      </c>
      <c r="U55" s="8" t="s">
        <v>169</v>
      </c>
      <c r="V55" s="8" t="s">
        <v>169</v>
      </c>
      <c r="W55" s="8" t="s">
        <v>169</v>
      </c>
      <c r="X55" s="8" t="s">
        <v>169</v>
      </c>
      <c r="Y55" s="8" t="s">
        <v>169</v>
      </c>
      <c r="Z55" s="8" t="s">
        <v>169</v>
      </c>
      <c r="AA55" s="8" t="s">
        <v>169</v>
      </c>
      <c r="AB55" s="8" t="s">
        <v>169</v>
      </c>
      <c r="AC55" s="8" t="s">
        <v>169</v>
      </c>
      <c r="AD55" s="8" t="s">
        <v>169</v>
      </c>
      <c r="AE55" s="8" t="s">
        <v>169</v>
      </c>
      <c r="AF55" s="8" t="s">
        <v>169</v>
      </c>
      <c r="AG55" s="8" t="s">
        <v>169</v>
      </c>
      <c r="AH55" s="8" t="s">
        <v>169</v>
      </c>
      <c r="AI55" s="8" t="s">
        <v>169</v>
      </c>
      <c r="AJ55" s="8" t="s">
        <v>169</v>
      </c>
      <c r="AK55" s="8" t="s">
        <v>169</v>
      </c>
      <c r="AL55" s="8">
        <v>-6.3282739524301634</v>
      </c>
      <c r="AM55" s="8"/>
      <c r="AN55" s="8">
        <v>4.0039484042449613</v>
      </c>
      <c r="AO55" s="8"/>
      <c r="AP55" s="8">
        <v>2.709010342021823</v>
      </c>
      <c r="AQ55" s="8"/>
      <c r="AR55" s="8">
        <v>3.9253387818171999</v>
      </c>
      <c r="AS55" s="8"/>
      <c r="AT55" s="8">
        <v>-13.73309304116437</v>
      </c>
      <c r="AU55" s="8"/>
      <c r="AV55" s="9">
        <v>-34.681925846926099</v>
      </c>
      <c r="AW55" s="8" t="s">
        <v>226</v>
      </c>
    </row>
    <row r="56" spans="1:49" ht="36" customHeight="1" x14ac:dyDescent="0.25">
      <c r="A56" s="816" t="s">
        <v>1473</v>
      </c>
      <c r="B56" s="817" t="s">
        <v>169</v>
      </c>
      <c r="C56" s="817" t="s">
        <v>169</v>
      </c>
      <c r="D56" s="817" t="s">
        <v>169</v>
      </c>
      <c r="E56" s="817" t="s">
        <v>169</v>
      </c>
      <c r="F56" s="817" t="s">
        <v>169</v>
      </c>
      <c r="G56" s="817" t="s">
        <v>169</v>
      </c>
      <c r="H56" s="817" t="s">
        <v>169</v>
      </c>
      <c r="I56" s="817" t="s">
        <v>169</v>
      </c>
      <c r="J56" s="817" t="s">
        <v>169</v>
      </c>
      <c r="K56" s="817" t="s">
        <v>169</v>
      </c>
      <c r="L56" s="817" t="s">
        <v>169</v>
      </c>
      <c r="M56" s="817" t="s">
        <v>169</v>
      </c>
      <c r="N56" s="817" t="s">
        <v>169</v>
      </c>
      <c r="O56" s="817" t="s">
        <v>169</v>
      </c>
      <c r="P56" s="817" t="s">
        <v>169</v>
      </c>
      <c r="Q56" s="817" t="s">
        <v>169</v>
      </c>
      <c r="R56" s="817" t="s">
        <v>169</v>
      </c>
      <c r="S56" s="817" t="s">
        <v>169</v>
      </c>
      <c r="T56" s="817" t="s">
        <v>169</v>
      </c>
      <c r="U56" s="817" t="s">
        <v>169</v>
      </c>
      <c r="V56" s="817" t="s">
        <v>169</v>
      </c>
      <c r="W56" s="817" t="s">
        <v>169</v>
      </c>
      <c r="X56" s="817" t="s">
        <v>169</v>
      </c>
      <c r="Y56" s="817" t="s">
        <v>169</v>
      </c>
      <c r="Z56" s="817" t="s">
        <v>169</v>
      </c>
      <c r="AA56" s="817" t="s">
        <v>169</v>
      </c>
      <c r="AB56" s="817" t="s">
        <v>169</v>
      </c>
      <c r="AC56" s="817" t="s">
        <v>169</v>
      </c>
      <c r="AD56" s="817" t="s">
        <v>169</v>
      </c>
      <c r="AE56" s="817" t="s">
        <v>169</v>
      </c>
      <c r="AF56" s="817" t="s">
        <v>169</v>
      </c>
      <c r="AG56" s="817" t="s">
        <v>169</v>
      </c>
      <c r="AH56" s="817" t="s">
        <v>169</v>
      </c>
      <c r="AI56" s="817" t="s">
        <v>169</v>
      </c>
      <c r="AJ56" s="817" t="s">
        <v>169</v>
      </c>
      <c r="AK56" s="817" t="s">
        <v>169</v>
      </c>
      <c r="AL56" s="817">
        <v>-17.31896550153186</v>
      </c>
      <c r="AM56" s="817" t="s">
        <v>226</v>
      </c>
      <c r="AN56" s="817">
        <v>-13.57027627968214</v>
      </c>
      <c r="AO56" s="817" t="s">
        <v>226</v>
      </c>
      <c r="AP56" s="817">
        <v>-17.252058216543588</v>
      </c>
      <c r="AQ56" s="817" t="s">
        <v>226</v>
      </c>
      <c r="AR56" s="817">
        <v>-9.2038728396933394</v>
      </c>
      <c r="AS56" s="817" t="s">
        <v>226</v>
      </c>
      <c r="AT56" s="817">
        <v>7.1359319223133211</v>
      </c>
      <c r="AU56" s="817" t="s">
        <v>226</v>
      </c>
      <c r="AV56" s="818">
        <v>0.41524103491659142</v>
      </c>
      <c r="AW56" s="817"/>
    </row>
  </sheetData>
  <hyperlinks>
    <hyperlink ref="A6" location="'Notes_A1 to A4'!A1" display="Link to Notes page." xr:uid="{00000000-0004-0000-0400-000000000000}"/>
    <hyperlink ref="A4" location=" 'Table of contents'!A1" display="Link to Table of contents." xr:uid="{00000000-0004-0000-0400-000001000000}"/>
  </hyperlink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70"/>
  <sheetViews>
    <sheetView showGridLines="0" workbookViewId="0"/>
  </sheetViews>
  <sheetFormatPr defaultRowHeight="15" customHeight="1" x14ac:dyDescent="0.25"/>
  <cols>
    <col min="1" max="1" width="103.28515625" customWidth="1"/>
    <col min="2" max="33" width="16.7109375" customWidth="1"/>
  </cols>
  <sheetData>
    <row r="1" spans="1:33" ht="20.100000000000001" customHeight="1" x14ac:dyDescent="0.25">
      <c r="A1" s="836" t="s">
        <v>1478</v>
      </c>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row>
    <row r="2" spans="1:33" ht="20.100000000000001" customHeight="1" x14ac:dyDescent="0.25">
      <c r="A2" s="185" t="s">
        <v>95</v>
      </c>
      <c r="B2" s="124"/>
      <c r="C2" s="124"/>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row>
    <row r="3" spans="1:33" ht="20.100000000000001" customHeight="1" x14ac:dyDescent="0.25">
      <c r="A3" s="1" t="s">
        <v>96</v>
      </c>
      <c r="B3" s="124"/>
      <c r="C3" s="124"/>
      <c r="D3" s="124"/>
      <c r="E3" s="124"/>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row>
    <row r="4" spans="1:33" ht="20.100000000000001" customHeight="1" x14ac:dyDescent="0.25">
      <c r="A4" s="2" t="s">
        <v>97</v>
      </c>
      <c r="B4" s="124"/>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row>
    <row r="5" spans="1:33" ht="20.100000000000001" customHeight="1" x14ac:dyDescent="0.25">
      <c r="A5" s="1" t="s">
        <v>98</v>
      </c>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c r="AG5" s="124"/>
    </row>
    <row r="6" spans="1:33" ht="20.100000000000001" customHeight="1" x14ac:dyDescent="0.25">
      <c r="A6" s="2" t="s">
        <v>99</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4"/>
    </row>
    <row r="7" spans="1:33" ht="20.100000000000001" customHeight="1" x14ac:dyDescent="0.25">
      <c r="A7" s="1" t="s">
        <v>100</v>
      </c>
      <c r="B7" s="124"/>
      <c r="C7" s="124"/>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c r="AG7" s="124"/>
    </row>
    <row r="8" spans="1:33" ht="80.099999999999994" customHeight="1" x14ac:dyDescent="0.25">
      <c r="A8" s="31" t="s">
        <v>101</v>
      </c>
      <c r="B8" s="99" t="s">
        <v>102</v>
      </c>
      <c r="C8" s="99" t="s">
        <v>103</v>
      </c>
      <c r="D8" s="99" t="s">
        <v>104</v>
      </c>
      <c r="E8" s="99" t="s">
        <v>105</v>
      </c>
      <c r="F8" s="99" t="s">
        <v>106</v>
      </c>
      <c r="G8" s="99" t="s">
        <v>107</v>
      </c>
      <c r="H8" s="99" t="s">
        <v>108</v>
      </c>
      <c r="I8" s="99" t="s">
        <v>109</v>
      </c>
      <c r="J8" s="99" t="s">
        <v>110</v>
      </c>
      <c r="K8" s="99" t="s">
        <v>111</v>
      </c>
      <c r="L8" s="99" t="s">
        <v>112</v>
      </c>
      <c r="M8" s="99" t="s">
        <v>113</v>
      </c>
      <c r="N8" s="99" t="s">
        <v>114</v>
      </c>
      <c r="O8" s="99" t="s">
        <v>115</v>
      </c>
      <c r="P8" s="99" t="s">
        <v>116</v>
      </c>
      <c r="Q8" s="99" t="s">
        <v>117</v>
      </c>
      <c r="R8" s="99" t="s">
        <v>118</v>
      </c>
      <c r="S8" s="99" t="s">
        <v>119</v>
      </c>
      <c r="T8" s="99" t="s">
        <v>120</v>
      </c>
      <c r="U8" s="99" t="s">
        <v>121</v>
      </c>
      <c r="V8" s="99" t="s">
        <v>122</v>
      </c>
      <c r="W8" s="99" t="s">
        <v>123</v>
      </c>
      <c r="X8" s="99" t="s">
        <v>124</v>
      </c>
      <c r="Y8" s="99" t="s">
        <v>125</v>
      </c>
      <c r="Z8" s="99" t="s">
        <v>126</v>
      </c>
      <c r="AA8" s="99" t="s">
        <v>127</v>
      </c>
      <c r="AB8" s="99" t="s">
        <v>128</v>
      </c>
      <c r="AC8" s="99" t="s">
        <v>129</v>
      </c>
      <c r="AD8" s="99" t="s">
        <v>130</v>
      </c>
      <c r="AE8" s="99" t="s">
        <v>131</v>
      </c>
      <c r="AF8" s="99" t="s">
        <v>132</v>
      </c>
      <c r="AG8" s="99" t="s">
        <v>133</v>
      </c>
    </row>
    <row r="9" spans="1:33" ht="15.75" x14ac:dyDescent="0.25">
      <c r="A9" s="4" t="s">
        <v>134</v>
      </c>
      <c r="B9" s="5">
        <v>53.284101</v>
      </c>
      <c r="C9" s="5">
        <v>51.467579999999998</v>
      </c>
      <c r="D9" s="5">
        <v>56.576788999999998</v>
      </c>
      <c r="E9" s="5">
        <v>71.612031000000002</v>
      </c>
      <c r="F9" s="5">
        <v>92.954718</v>
      </c>
      <c r="G9" s="5">
        <v>109.725543</v>
      </c>
      <c r="H9" s="5">
        <v>91.449258</v>
      </c>
      <c r="I9" s="5">
        <v>81.659679999999994</v>
      </c>
      <c r="J9" s="5">
        <v>62.361761999999999</v>
      </c>
      <c r="K9" s="5">
        <v>62.617547999999999</v>
      </c>
      <c r="L9" s="5">
        <v>56.791410999999997</v>
      </c>
      <c r="M9" s="5">
        <v>52.457206999999997</v>
      </c>
      <c r="N9" s="5">
        <v>52.679569999999998</v>
      </c>
      <c r="O9" s="5">
        <v>53.727578000000001</v>
      </c>
      <c r="P9" s="5">
        <v>45.954673</v>
      </c>
      <c r="Q9" s="5">
        <v>43.528146</v>
      </c>
      <c r="R9" s="5">
        <v>42.068129999999996</v>
      </c>
      <c r="S9" s="5">
        <v>48.18591</v>
      </c>
      <c r="T9" s="5">
        <v>43.938440999999997</v>
      </c>
      <c r="U9" s="5">
        <v>43.125734999999999</v>
      </c>
      <c r="V9" s="5">
        <v>34.499648999999998</v>
      </c>
      <c r="W9" s="5">
        <v>37.934704000000004</v>
      </c>
      <c r="X9" s="5">
        <v>32.006746</v>
      </c>
      <c r="Y9" s="5">
        <v>30.985596000000001</v>
      </c>
      <c r="Z9" s="5">
        <v>30.649353999999999</v>
      </c>
      <c r="AA9" s="5">
        <v>28.711414000000001</v>
      </c>
      <c r="AB9" s="5">
        <v>26.291582999999999</v>
      </c>
      <c r="AC9" s="5">
        <v>20.854234999999999</v>
      </c>
      <c r="AD9" s="5">
        <v>23.354801999999999</v>
      </c>
      <c r="AE9" s="5">
        <v>22.759732</v>
      </c>
      <c r="AF9" s="815">
        <v>23.326432</v>
      </c>
      <c r="AG9" s="812">
        <v>23.375702</v>
      </c>
    </row>
    <row r="10" spans="1:33" ht="15.75" x14ac:dyDescent="0.25">
      <c r="A10" s="7" t="s">
        <v>135</v>
      </c>
      <c r="B10" s="8">
        <v>31.649246000000002</v>
      </c>
      <c r="C10" s="8">
        <v>30.876566</v>
      </c>
      <c r="D10" s="8">
        <v>39.747585000000001</v>
      </c>
      <c r="E10" s="8">
        <v>43.899591999999998</v>
      </c>
      <c r="F10" s="8">
        <v>59.394615000000002</v>
      </c>
      <c r="G10" s="8">
        <v>64.438894000000005</v>
      </c>
      <c r="H10" s="8">
        <v>57.731293000000001</v>
      </c>
      <c r="I10" s="8">
        <v>47.765794999999997</v>
      </c>
      <c r="J10" s="8">
        <v>36.850695000000002</v>
      </c>
      <c r="K10" s="8">
        <v>34.456218</v>
      </c>
      <c r="L10" s="8">
        <v>30.569745000000001</v>
      </c>
      <c r="M10" s="8">
        <v>30.037089999999999</v>
      </c>
      <c r="N10" s="8">
        <v>28.529578000000001</v>
      </c>
      <c r="O10" s="8">
        <v>27.775542000000002</v>
      </c>
      <c r="P10" s="8">
        <v>23.791229999999999</v>
      </c>
      <c r="Q10" s="8">
        <v>23.326817999999999</v>
      </c>
      <c r="R10" s="8">
        <v>22.207622000000001</v>
      </c>
      <c r="S10" s="8">
        <v>27.920100999999999</v>
      </c>
      <c r="T10" s="8">
        <v>22.967224999999999</v>
      </c>
      <c r="U10" s="8">
        <v>25.485375000000001</v>
      </c>
      <c r="V10" s="8">
        <v>14.663036999999999</v>
      </c>
      <c r="W10" s="8">
        <v>18.416899999999998</v>
      </c>
      <c r="X10" s="8">
        <v>13.747477999999999</v>
      </c>
      <c r="Y10" s="8">
        <v>15.185931999999999</v>
      </c>
      <c r="Z10" s="8">
        <v>14.309707</v>
      </c>
      <c r="AA10" s="8">
        <v>15.255203</v>
      </c>
      <c r="AB10" s="8">
        <v>12.538536000000001</v>
      </c>
      <c r="AC10" s="8">
        <v>8.8431189999999997</v>
      </c>
      <c r="AD10" s="8">
        <v>11.059950000000001</v>
      </c>
      <c r="AE10" s="8">
        <v>8.0792359999999999</v>
      </c>
      <c r="AF10" s="9">
        <v>11.659618999999999</v>
      </c>
      <c r="AG10" s="8">
        <v>8.0828360000000004</v>
      </c>
    </row>
    <row r="11" spans="1:33" ht="15.75" x14ac:dyDescent="0.25">
      <c r="A11" s="7" t="s">
        <v>136</v>
      </c>
      <c r="B11" s="8">
        <v>14.047079999999999</v>
      </c>
      <c r="C11" s="8">
        <v>11.599600000000001</v>
      </c>
      <c r="D11" s="8">
        <v>15.312900000000001</v>
      </c>
      <c r="E11" s="8">
        <v>19.521768000000002</v>
      </c>
      <c r="F11" s="8">
        <v>21.565262000000001</v>
      </c>
      <c r="G11" s="8">
        <v>26.461646999999999</v>
      </c>
      <c r="H11" s="8">
        <v>22.944096999999999</v>
      </c>
      <c r="I11" s="8">
        <v>17.627879</v>
      </c>
      <c r="J11" s="8">
        <v>17.329004999999999</v>
      </c>
      <c r="K11" s="8">
        <v>17.688763999999999</v>
      </c>
      <c r="L11" s="8">
        <v>15.66098</v>
      </c>
      <c r="M11" s="8">
        <v>14.702672</v>
      </c>
      <c r="N11" s="8">
        <v>14.013268</v>
      </c>
      <c r="O11" s="8">
        <v>14.376108</v>
      </c>
      <c r="P11" s="8">
        <v>12.025162999999999</v>
      </c>
      <c r="Q11" s="8">
        <v>10.637505000000001</v>
      </c>
      <c r="R11" s="8">
        <v>11.934487000000001</v>
      </c>
      <c r="S11" s="8">
        <v>12.880240000000001</v>
      </c>
      <c r="T11" s="8">
        <v>12.083492</v>
      </c>
      <c r="U11" s="8">
        <v>11.692864999999999</v>
      </c>
      <c r="V11" s="8">
        <v>7.0994010000000003</v>
      </c>
      <c r="W11" s="8">
        <v>9.433071</v>
      </c>
      <c r="X11" s="8">
        <v>7.2099159999999998</v>
      </c>
      <c r="Y11" s="8">
        <v>8.2000299999999999</v>
      </c>
      <c r="Z11" s="8">
        <v>5.209454</v>
      </c>
      <c r="AA11" s="8">
        <v>7.0907270000000002</v>
      </c>
      <c r="AB11" s="8">
        <v>7.2297700000000003</v>
      </c>
      <c r="AC11" s="8">
        <v>3.3022749999999998</v>
      </c>
      <c r="AD11" s="8">
        <v>5.2584460000000002</v>
      </c>
      <c r="AE11" s="8">
        <v>2.8069130000000002</v>
      </c>
      <c r="AF11" s="9">
        <v>5.1346290000000003</v>
      </c>
      <c r="AG11" s="8">
        <v>3.1991489999999998</v>
      </c>
    </row>
    <row r="12" spans="1:33" ht="15.75" x14ac:dyDescent="0.25">
      <c r="A12" s="7" t="s">
        <v>137</v>
      </c>
      <c r="B12" s="8">
        <v>17.602166</v>
      </c>
      <c r="C12" s="8">
        <v>20.591014999999999</v>
      </c>
      <c r="D12" s="8">
        <v>24.434685000000002</v>
      </c>
      <c r="E12" s="8">
        <v>24.377824</v>
      </c>
      <c r="F12" s="8">
        <v>37.829352999999998</v>
      </c>
      <c r="G12" s="8">
        <v>37.977246000000001</v>
      </c>
      <c r="H12" s="8">
        <v>34.787196000000002</v>
      </c>
      <c r="I12" s="8">
        <v>30.137916000000001</v>
      </c>
      <c r="J12" s="8">
        <v>19.52169</v>
      </c>
      <c r="K12" s="8">
        <v>16.767454000000001</v>
      </c>
      <c r="L12" s="8">
        <v>14.908765000000001</v>
      </c>
      <c r="M12" s="8">
        <v>15.334419</v>
      </c>
      <c r="N12" s="8">
        <v>14.516310000000001</v>
      </c>
      <c r="O12" s="8">
        <v>13.584941000000001</v>
      </c>
      <c r="P12" s="8">
        <v>11.766067</v>
      </c>
      <c r="Q12" s="8">
        <v>12.689313</v>
      </c>
      <c r="R12" s="8">
        <v>10.273135</v>
      </c>
      <c r="S12" s="8">
        <v>15.039861999999999</v>
      </c>
      <c r="T12" s="8">
        <v>10.883732999999999</v>
      </c>
      <c r="U12" s="8">
        <v>13.79251</v>
      </c>
      <c r="V12" s="8">
        <v>7.5636359999999998</v>
      </c>
      <c r="W12" s="8">
        <v>8.9838290000000001</v>
      </c>
      <c r="X12" s="8">
        <v>6.5375620000000003</v>
      </c>
      <c r="Y12" s="8">
        <v>6.9859030000000004</v>
      </c>
      <c r="Z12" s="8">
        <v>9.1002530000000004</v>
      </c>
      <c r="AA12" s="8">
        <v>8.1644760000000005</v>
      </c>
      <c r="AB12" s="8">
        <v>5.3087660000000003</v>
      </c>
      <c r="AC12" s="8">
        <v>5.5408439999999999</v>
      </c>
      <c r="AD12" s="8">
        <v>5.8015040000000004</v>
      </c>
      <c r="AE12" s="8">
        <v>5.2723230000000001</v>
      </c>
      <c r="AF12" s="9">
        <v>6.5249899999999998</v>
      </c>
      <c r="AG12" s="8">
        <v>4.8836870000000001</v>
      </c>
    </row>
    <row r="13" spans="1:33" ht="15.75" x14ac:dyDescent="0.25">
      <c r="A13" s="7" t="s">
        <v>138</v>
      </c>
      <c r="B13" s="8">
        <v>21.634855000000002</v>
      </c>
      <c r="C13" s="8">
        <v>20.591014999999999</v>
      </c>
      <c r="D13" s="8">
        <v>16.829204000000001</v>
      </c>
      <c r="E13" s="8">
        <v>27.712439</v>
      </c>
      <c r="F13" s="8">
        <v>33.560102999999998</v>
      </c>
      <c r="G13" s="8">
        <v>45.286648999999997</v>
      </c>
      <c r="H13" s="8">
        <v>33.717964000000002</v>
      </c>
      <c r="I13" s="8">
        <v>33.893884999999997</v>
      </c>
      <c r="J13" s="8">
        <v>25.511068000000002</v>
      </c>
      <c r="K13" s="8">
        <v>28.16133</v>
      </c>
      <c r="L13" s="8">
        <v>26.221665999999999</v>
      </c>
      <c r="M13" s="8">
        <v>22.420117000000001</v>
      </c>
      <c r="N13" s="8">
        <v>24.149992000000001</v>
      </c>
      <c r="O13" s="8">
        <v>25.952036</v>
      </c>
      <c r="P13" s="8">
        <v>22.163443000000001</v>
      </c>
      <c r="Q13" s="8">
        <v>20.201328</v>
      </c>
      <c r="R13" s="8">
        <v>19.860507999999999</v>
      </c>
      <c r="S13" s="8">
        <v>20.265809000000001</v>
      </c>
      <c r="T13" s="8">
        <v>20.971215000000001</v>
      </c>
      <c r="U13" s="8">
        <v>17.640360000000001</v>
      </c>
      <c r="V13" s="8">
        <v>19.836611999999999</v>
      </c>
      <c r="W13" s="8">
        <v>19.517804000000002</v>
      </c>
      <c r="X13" s="8">
        <v>18.259267000000001</v>
      </c>
      <c r="Y13" s="8">
        <v>15.799664</v>
      </c>
      <c r="Z13" s="8">
        <v>16.339646999999999</v>
      </c>
      <c r="AA13" s="8">
        <v>13.45621</v>
      </c>
      <c r="AB13" s="8">
        <v>13.753048</v>
      </c>
      <c r="AC13" s="8">
        <v>12.011115999999999</v>
      </c>
      <c r="AD13" s="8">
        <v>12.294852000000001</v>
      </c>
      <c r="AE13" s="8">
        <v>14.680496</v>
      </c>
      <c r="AF13" s="9">
        <v>11.666812</v>
      </c>
      <c r="AG13" s="8">
        <v>15.292866</v>
      </c>
    </row>
    <row r="14" spans="1:33" ht="30" customHeight="1" x14ac:dyDescent="0.25">
      <c r="A14" s="4" t="s">
        <v>139</v>
      </c>
      <c r="B14" s="5">
        <v>4.2328869999999998</v>
      </c>
      <c r="C14" s="5">
        <v>3.7138170000000001</v>
      </c>
      <c r="D14" s="5">
        <v>4.4483949999999997</v>
      </c>
      <c r="E14" s="5">
        <v>4.8158479999999999</v>
      </c>
      <c r="F14" s="5">
        <v>6.2782090000000004</v>
      </c>
      <c r="G14" s="5">
        <v>7.9087149999999999</v>
      </c>
      <c r="H14" s="5">
        <v>8.2451059999999998</v>
      </c>
      <c r="I14" s="5">
        <v>9.5335719999999995</v>
      </c>
      <c r="J14" s="5">
        <v>8.3013100000000009</v>
      </c>
      <c r="K14" s="5">
        <v>7.0503150000000003</v>
      </c>
      <c r="L14" s="5">
        <v>6.4827349999999999</v>
      </c>
      <c r="M14" s="5">
        <v>5.8735730000000004</v>
      </c>
      <c r="N14" s="5">
        <v>7.1484209999999999</v>
      </c>
      <c r="O14" s="5">
        <v>7.4655849999999999</v>
      </c>
      <c r="P14" s="5">
        <v>7.0802449999999997</v>
      </c>
      <c r="Q14" s="5">
        <v>6.0843439999999998</v>
      </c>
      <c r="R14" s="5">
        <v>7.29847</v>
      </c>
      <c r="S14" s="5">
        <v>5.4201110000000003</v>
      </c>
      <c r="T14" s="5">
        <v>5.4689449999999997</v>
      </c>
      <c r="U14" s="5">
        <v>4.4430040000000002</v>
      </c>
      <c r="V14" s="5">
        <v>3.6624590000000001</v>
      </c>
      <c r="W14" s="5">
        <v>1.940312</v>
      </c>
      <c r="X14" s="5">
        <v>3.3359510000000001</v>
      </c>
      <c r="Y14" s="5">
        <v>2.792942</v>
      </c>
      <c r="Z14" s="5">
        <v>3.4429029999999998</v>
      </c>
      <c r="AA14" s="5">
        <v>4.1030810000000004</v>
      </c>
      <c r="AB14" s="5">
        <v>2.6885650000000001</v>
      </c>
      <c r="AC14" s="5">
        <v>1.514813</v>
      </c>
      <c r="AD14" s="5">
        <v>2.355254</v>
      </c>
      <c r="AE14" s="5">
        <v>1.7106950000000001</v>
      </c>
      <c r="AF14" s="6">
        <v>2.8828529999999999</v>
      </c>
      <c r="AG14" s="5">
        <v>1.3353889999999999</v>
      </c>
    </row>
    <row r="15" spans="1:33" ht="30" customHeight="1" x14ac:dyDescent="0.25">
      <c r="A15" s="4" t="s">
        <v>228</v>
      </c>
      <c r="B15" s="5" t="s">
        <v>169</v>
      </c>
      <c r="C15" s="5" t="s">
        <v>169</v>
      </c>
      <c r="D15" s="5" t="s">
        <v>169</v>
      </c>
      <c r="E15" s="5" t="s">
        <v>169</v>
      </c>
      <c r="F15" s="5" t="s">
        <v>169</v>
      </c>
      <c r="G15" s="5" t="s">
        <v>169</v>
      </c>
      <c r="H15" s="5" t="s">
        <v>169</v>
      </c>
      <c r="I15" s="5" t="s">
        <v>169</v>
      </c>
      <c r="J15" s="5" t="s">
        <v>169</v>
      </c>
      <c r="K15" s="5" t="s">
        <v>169</v>
      </c>
      <c r="L15" s="5" t="s">
        <v>169</v>
      </c>
      <c r="M15" s="5" t="s">
        <v>169</v>
      </c>
      <c r="N15" s="5" t="s">
        <v>169</v>
      </c>
      <c r="O15" s="5" t="s">
        <v>169</v>
      </c>
      <c r="P15" s="5" t="s">
        <v>169</v>
      </c>
      <c r="Q15" s="5" t="s">
        <v>169</v>
      </c>
      <c r="R15" s="5" t="s">
        <v>169</v>
      </c>
      <c r="S15" s="5" t="s">
        <v>169</v>
      </c>
      <c r="T15" s="5" t="s">
        <v>169</v>
      </c>
      <c r="U15" s="5" t="s">
        <v>169</v>
      </c>
      <c r="V15" s="5" t="s">
        <v>169</v>
      </c>
      <c r="W15" s="5" t="s">
        <v>169</v>
      </c>
      <c r="X15" s="5" t="s">
        <v>169</v>
      </c>
      <c r="Y15" s="5" t="s">
        <v>169</v>
      </c>
      <c r="Z15" s="5" t="s">
        <v>169</v>
      </c>
      <c r="AA15" s="5" t="s">
        <v>169</v>
      </c>
      <c r="AB15" s="5" t="s">
        <v>169</v>
      </c>
      <c r="AC15" s="5" t="s">
        <v>169</v>
      </c>
      <c r="AD15" s="5" t="s">
        <v>169</v>
      </c>
      <c r="AE15" s="5" t="s">
        <v>169</v>
      </c>
      <c r="AF15" s="6" t="s">
        <v>169</v>
      </c>
      <c r="AG15" s="5" t="s">
        <v>169</v>
      </c>
    </row>
    <row r="16" spans="1:33" ht="30" customHeight="1" x14ac:dyDescent="0.25">
      <c r="A16" s="4" t="s">
        <v>141</v>
      </c>
      <c r="B16" s="5">
        <v>11.202113000000001</v>
      </c>
      <c r="C16" s="5">
        <v>12.899476999999999</v>
      </c>
      <c r="D16" s="5">
        <v>8.2237559999999998</v>
      </c>
      <c r="E16" s="5">
        <v>11.128005999999999</v>
      </c>
      <c r="F16" s="5">
        <v>15.068828</v>
      </c>
      <c r="G16" s="5">
        <v>16.707414</v>
      </c>
      <c r="H16" s="5">
        <v>14.972827000000001</v>
      </c>
      <c r="I16" s="5">
        <v>14.34084</v>
      </c>
      <c r="J16" s="5">
        <v>14.384544</v>
      </c>
      <c r="K16" s="5">
        <v>16.258388</v>
      </c>
      <c r="L16" s="5">
        <v>14.658170999999999</v>
      </c>
      <c r="M16" s="5">
        <v>13.620526999999999</v>
      </c>
      <c r="N16" s="5">
        <v>13.332352999999999</v>
      </c>
      <c r="O16" s="5">
        <v>13.121703999999999</v>
      </c>
      <c r="P16" s="5">
        <v>13.084021999999999</v>
      </c>
      <c r="Q16" s="5">
        <v>16.305790999999999</v>
      </c>
      <c r="R16" s="5">
        <v>11.837885</v>
      </c>
      <c r="S16" s="5">
        <v>12.276075000000001</v>
      </c>
      <c r="T16" s="5">
        <v>13.578989</v>
      </c>
      <c r="U16" s="5">
        <v>12.101011</v>
      </c>
      <c r="V16" s="5">
        <v>12.522626000000001</v>
      </c>
      <c r="W16" s="5">
        <v>9.8495729999999995</v>
      </c>
      <c r="X16" s="5">
        <v>7.9099820000000003</v>
      </c>
      <c r="Y16" s="5">
        <v>8.0164960000000001</v>
      </c>
      <c r="Z16" s="5">
        <v>9.1383659999999995</v>
      </c>
      <c r="AA16" s="5">
        <v>9.5431609999999996</v>
      </c>
      <c r="AB16" s="5">
        <v>7.7966610000000003</v>
      </c>
      <c r="AC16" s="5">
        <v>5.1580880000000002</v>
      </c>
      <c r="AD16" s="5">
        <v>7.1969960000000004</v>
      </c>
      <c r="AE16" s="5">
        <v>9.6318409999999997</v>
      </c>
      <c r="AF16" s="6">
        <v>7.5332249999999998</v>
      </c>
      <c r="AG16" s="5">
        <v>9.5243219999999997</v>
      </c>
    </row>
    <row r="17" spans="1:33" ht="15.75" x14ac:dyDescent="0.25">
      <c r="A17" s="7" t="s">
        <v>142</v>
      </c>
      <c r="B17" s="8">
        <v>2.2183380000000001</v>
      </c>
      <c r="C17" s="8">
        <v>1.5975330000000001</v>
      </c>
      <c r="D17" s="8">
        <v>1.2500420000000001</v>
      </c>
      <c r="E17" s="8">
        <v>2.0876389999999998</v>
      </c>
      <c r="F17" s="8">
        <v>2.0826150000000001</v>
      </c>
      <c r="G17" s="8">
        <v>1.7768569999999999</v>
      </c>
      <c r="H17" s="8">
        <v>1.985061</v>
      </c>
      <c r="I17" s="8">
        <v>1.348225</v>
      </c>
      <c r="J17" s="8">
        <v>1.641626</v>
      </c>
      <c r="K17" s="8">
        <v>2.1045400000000001</v>
      </c>
      <c r="L17" s="8">
        <v>2.7016049999999998</v>
      </c>
      <c r="M17" s="8">
        <v>2.1534460000000002</v>
      </c>
      <c r="N17" s="8">
        <v>1.6225210000000001</v>
      </c>
      <c r="O17" s="8">
        <v>1.648695</v>
      </c>
      <c r="P17" s="8">
        <v>1.762648</v>
      </c>
      <c r="Q17" s="8">
        <v>2.2364639999999998</v>
      </c>
      <c r="R17" s="8">
        <v>1.437252</v>
      </c>
      <c r="S17" s="8">
        <v>1.5481229999999999</v>
      </c>
      <c r="T17" s="8">
        <v>1.800799</v>
      </c>
      <c r="U17" s="8">
        <v>1.467258</v>
      </c>
      <c r="V17" s="8">
        <v>1.2191149999999999</v>
      </c>
      <c r="W17" s="8">
        <v>1.2161599999999999</v>
      </c>
      <c r="X17" s="8">
        <v>0.94332499999999997</v>
      </c>
      <c r="Y17" s="8">
        <v>0.87643099999999996</v>
      </c>
      <c r="Z17" s="8">
        <v>1.289798</v>
      </c>
      <c r="AA17" s="8">
        <v>1.230729</v>
      </c>
      <c r="AB17" s="8">
        <v>0.71054499999999998</v>
      </c>
      <c r="AC17" s="8">
        <v>0.64332699999999998</v>
      </c>
      <c r="AD17" s="8">
        <v>1.615637</v>
      </c>
      <c r="AE17" s="8">
        <v>1.889891</v>
      </c>
      <c r="AF17" s="9">
        <v>1.6216459999999999</v>
      </c>
      <c r="AG17" s="8">
        <v>1.9198120000000001</v>
      </c>
    </row>
    <row r="18" spans="1:33" ht="15.75" x14ac:dyDescent="0.25">
      <c r="A18" s="7" t="s">
        <v>143</v>
      </c>
      <c r="B18" s="8">
        <v>6.6666850000000002</v>
      </c>
      <c r="C18" s="8">
        <v>8.045185</v>
      </c>
      <c r="D18" s="8">
        <v>4.2063009999999998</v>
      </c>
      <c r="E18" s="8">
        <v>6.5221989999999996</v>
      </c>
      <c r="F18" s="8">
        <v>8.5056019999999997</v>
      </c>
      <c r="G18" s="8">
        <v>8.9789700000000003</v>
      </c>
      <c r="H18" s="8">
        <v>8.7307109999999994</v>
      </c>
      <c r="I18" s="8">
        <v>7.7949020000000004</v>
      </c>
      <c r="J18" s="8">
        <v>8.1570680000000007</v>
      </c>
      <c r="K18" s="8">
        <v>9.0574349999999999</v>
      </c>
      <c r="L18" s="8">
        <v>8.3202829999999999</v>
      </c>
      <c r="M18" s="8">
        <v>6.8144539999999996</v>
      </c>
      <c r="N18" s="8">
        <v>7.6274850000000001</v>
      </c>
      <c r="O18" s="8">
        <v>7.4604889999999999</v>
      </c>
      <c r="P18" s="8">
        <v>7.5527680000000004</v>
      </c>
      <c r="Q18" s="8">
        <v>9.7476610000000008</v>
      </c>
      <c r="R18" s="8">
        <v>6.9009390000000002</v>
      </c>
      <c r="S18" s="8">
        <v>6.7379220000000002</v>
      </c>
      <c r="T18" s="8">
        <v>7.154318</v>
      </c>
      <c r="U18" s="8">
        <v>7.1449689999999997</v>
      </c>
      <c r="V18" s="8">
        <v>6.9141450000000004</v>
      </c>
      <c r="W18" s="8">
        <v>4.4736799999999999</v>
      </c>
      <c r="X18" s="8">
        <v>4.2845800000000001</v>
      </c>
      <c r="Y18" s="8">
        <v>4.194356</v>
      </c>
      <c r="Z18" s="8">
        <v>3.7638790000000002</v>
      </c>
      <c r="AA18" s="8">
        <v>4.4721489999999999</v>
      </c>
      <c r="AB18" s="8">
        <v>4.0499799999999997</v>
      </c>
      <c r="AC18" s="8">
        <v>2.3305189999999998</v>
      </c>
      <c r="AD18" s="8">
        <v>2.6197810000000001</v>
      </c>
      <c r="AE18" s="8">
        <v>3.1609349999999998</v>
      </c>
      <c r="AF18" s="9">
        <v>2.7556660000000002</v>
      </c>
      <c r="AG18" s="8">
        <v>3.1052719999999998</v>
      </c>
    </row>
    <row r="19" spans="1:33" ht="15.75" x14ac:dyDescent="0.25">
      <c r="A19" s="7" t="s">
        <v>144</v>
      </c>
      <c r="B19" s="8">
        <v>2.3170899999999999</v>
      </c>
      <c r="C19" s="8">
        <v>3.2567590000000002</v>
      </c>
      <c r="D19" s="8">
        <v>2.7674129999999999</v>
      </c>
      <c r="E19" s="8">
        <v>2.5181680000000002</v>
      </c>
      <c r="F19" s="8">
        <v>4.4806109999999997</v>
      </c>
      <c r="G19" s="8">
        <v>5.951587</v>
      </c>
      <c r="H19" s="8">
        <v>4.2570550000000003</v>
      </c>
      <c r="I19" s="8">
        <v>5.1977130000000002</v>
      </c>
      <c r="J19" s="8">
        <v>4.5858499999999998</v>
      </c>
      <c r="K19" s="8">
        <v>5.0964130000000001</v>
      </c>
      <c r="L19" s="8">
        <v>3.6362839999999998</v>
      </c>
      <c r="M19" s="8">
        <v>4.6526269999999998</v>
      </c>
      <c r="N19" s="8">
        <v>4.0823470000000004</v>
      </c>
      <c r="O19" s="8">
        <v>4.0125190000000002</v>
      </c>
      <c r="P19" s="8">
        <v>3.7686060000000001</v>
      </c>
      <c r="Q19" s="8">
        <v>4.3216659999999996</v>
      </c>
      <c r="R19" s="8">
        <v>3.4996939999999999</v>
      </c>
      <c r="S19" s="8">
        <v>3.9900289999999998</v>
      </c>
      <c r="T19" s="8">
        <v>4.6238720000000004</v>
      </c>
      <c r="U19" s="8">
        <v>3.4887839999999999</v>
      </c>
      <c r="V19" s="8">
        <v>4.3893659999999999</v>
      </c>
      <c r="W19" s="8">
        <v>4.1597330000000001</v>
      </c>
      <c r="X19" s="8">
        <v>2.682077</v>
      </c>
      <c r="Y19" s="8">
        <v>2.9457089999999999</v>
      </c>
      <c r="Z19" s="8">
        <v>4.084689</v>
      </c>
      <c r="AA19" s="8">
        <v>3.8402829999999999</v>
      </c>
      <c r="AB19" s="8">
        <v>3.0361359999999999</v>
      </c>
      <c r="AC19" s="8">
        <v>2.1842419999999998</v>
      </c>
      <c r="AD19" s="8">
        <v>2.9615779999999998</v>
      </c>
      <c r="AE19" s="8">
        <v>4.5810149999999998</v>
      </c>
      <c r="AF19" s="9">
        <v>3.155913</v>
      </c>
      <c r="AG19" s="8">
        <v>4.4992380000000001</v>
      </c>
    </row>
    <row r="20" spans="1:33" ht="30" customHeight="1" x14ac:dyDescent="0.25">
      <c r="A20" s="4" t="s">
        <v>145</v>
      </c>
      <c r="B20" s="5">
        <v>40.966983999999997</v>
      </c>
      <c r="C20" s="5">
        <v>44.191716</v>
      </c>
      <c r="D20" s="5">
        <v>44.903680999999999</v>
      </c>
      <c r="E20" s="5">
        <v>42.897098999999997</v>
      </c>
      <c r="F20" s="5">
        <v>47.703954000000003</v>
      </c>
      <c r="G20" s="5">
        <v>50.956564</v>
      </c>
      <c r="H20" s="5">
        <v>47.406666999999999</v>
      </c>
      <c r="I20" s="5">
        <v>37.874454999999998</v>
      </c>
      <c r="J20" s="5">
        <v>33.499200000000002</v>
      </c>
      <c r="K20" s="5">
        <v>31.649972000000002</v>
      </c>
      <c r="L20" s="5">
        <v>30.779031</v>
      </c>
      <c r="M20" s="5">
        <v>26.930334999999999</v>
      </c>
      <c r="N20" s="5">
        <v>27.548131999999999</v>
      </c>
      <c r="O20" s="5">
        <v>26.321985999999999</v>
      </c>
      <c r="P20" s="5">
        <v>22.328514999999999</v>
      </c>
      <c r="Q20" s="5">
        <v>24.426741</v>
      </c>
      <c r="R20" s="5">
        <v>23.182874999999999</v>
      </c>
      <c r="S20" s="5">
        <v>22.053267000000002</v>
      </c>
      <c r="T20" s="5">
        <v>24.048207000000001</v>
      </c>
      <c r="U20" s="5">
        <v>21.427510999999999</v>
      </c>
      <c r="V20" s="5">
        <v>20.979001</v>
      </c>
      <c r="W20" s="5">
        <v>16.147940999999999</v>
      </c>
      <c r="X20" s="5">
        <v>16.663277000000001</v>
      </c>
      <c r="Y20" s="5">
        <v>13.837991000000001</v>
      </c>
      <c r="Z20" s="5">
        <v>14.069252000000001</v>
      </c>
      <c r="AA20" s="5">
        <v>15.786099</v>
      </c>
      <c r="AB20" s="5">
        <v>12.985486</v>
      </c>
      <c r="AC20" s="5">
        <v>8.8812320000000007</v>
      </c>
      <c r="AD20" s="5">
        <v>9.2629020000000004</v>
      </c>
      <c r="AE20" s="5">
        <v>8.9134849999999997</v>
      </c>
      <c r="AF20" s="6">
        <v>9.5114420000000006</v>
      </c>
      <c r="AG20" s="5">
        <v>8.7098549999999992</v>
      </c>
    </row>
    <row r="21" spans="1:33" ht="30" customHeight="1" x14ac:dyDescent="0.25">
      <c r="A21" s="10" t="s">
        <v>146</v>
      </c>
      <c r="B21" s="11">
        <v>9898</v>
      </c>
      <c r="C21" s="11">
        <v>11017</v>
      </c>
      <c r="D21" s="11">
        <v>10391</v>
      </c>
      <c r="E21" s="11">
        <v>10059</v>
      </c>
      <c r="F21" s="11">
        <v>14510</v>
      </c>
      <c r="G21" s="11">
        <v>16337</v>
      </c>
      <c r="H21" s="11">
        <v>14937</v>
      </c>
      <c r="I21" s="11">
        <v>19398</v>
      </c>
      <c r="J21" s="11">
        <v>32787</v>
      </c>
      <c r="K21" s="11">
        <v>36450</v>
      </c>
      <c r="L21" s="11">
        <v>37891</v>
      </c>
      <c r="M21" s="11">
        <v>45118</v>
      </c>
      <c r="N21" s="11">
        <v>47796</v>
      </c>
      <c r="O21" s="11">
        <v>47138</v>
      </c>
      <c r="P21" s="11">
        <v>46911</v>
      </c>
      <c r="Q21" s="11">
        <v>46220</v>
      </c>
      <c r="R21" s="11">
        <v>44559</v>
      </c>
      <c r="S21" s="11">
        <v>46754</v>
      </c>
      <c r="T21" s="11">
        <v>46031</v>
      </c>
      <c r="U21" s="11">
        <v>34880</v>
      </c>
      <c r="V21" s="11">
        <v>35371</v>
      </c>
      <c r="W21" s="11">
        <v>33350</v>
      </c>
      <c r="X21" s="11">
        <v>35324</v>
      </c>
      <c r="Y21" s="11">
        <v>35420</v>
      </c>
      <c r="Z21" s="11">
        <v>34715</v>
      </c>
      <c r="AA21" s="11">
        <v>34163</v>
      </c>
      <c r="AB21" s="11">
        <v>33734</v>
      </c>
      <c r="AC21" s="11">
        <v>31183</v>
      </c>
      <c r="AD21" s="11">
        <v>30847</v>
      </c>
      <c r="AE21" s="11">
        <v>31532</v>
      </c>
      <c r="AF21" s="12">
        <v>31799</v>
      </c>
      <c r="AG21" s="11">
        <v>31791</v>
      </c>
    </row>
    <row r="22" spans="1:33" ht="30" customHeight="1" x14ac:dyDescent="0.25">
      <c r="A22" s="4" t="s">
        <v>147</v>
      </c>
      <c r="B22" s="5">
        <v>53.035074999999999</v>
      </c>
      <c r="C22" s="5">
        <v>60.631692999999999</v>
      </c>
      <c r="D22" s="5">
        <v>75.229277999999994</v>
      </c>
      <c r="E22" s="5">
        <v>84.943495999999996</v>
      </c>
      <c r="F22" s="5">
        <v>118.383385</v>
      </c>
      <c r="G22" s="5">
        <v>112.674423</v>
      </c>
      <c r="H22" s="5">
        <v>100.235518</v>
      </c>
      <c r="I22" s="5">
        <v>86.705806999999993</v>
      </c>
      <c r="J22" s="5">
        <v>65.608283</v>
      </c>
      <c r="K22" s="5">
        <v>62.065638</v>
      </c>
      <c r="L22" s="5">
        <v>59.464309999999998</v>
      </c>
      <c r="M22" s="5">
        <v>47.698842999999997</v>
      </c>
      <c r="N22" s="5">
        <v>45.817056000000001</v>
      </c>
      <c r="O22" s="5">
        <v>44.613816999999997</v>
      </c>
      <c r="P22" s="5">
        <v>42.286059000000002</v>
      </c>
      <c r="Q22" s="5">
        <v>43.360399000000001</v>
      </c>
      <c r="R22" s="5">
        <v>39.787351999999998</v>
      </c>
      <c r="S22" s="5">
        <v>44.471167000000001</v>
      </c>
      <c r="T22" s="5">
        <v>39.394088000000004</v>
      </c>
      <c r="U22" s="5">
        <v>37.571430999999997</v>
      </c>
      <c r="V22" s="5">
        <v>32.855339000000001</v>
      </c>
      <c r="W22" s="5">
        <v>32.682535999999999</v>
      </c>
      <c r="X22" s="5">
        <v>28.786543000000002</v>
      </c>
      <c r="Y22" s="5">
        <v>26.514267</v>
      </c>
      <c r="Z22" s="5">
        <v>27.915965</v>
      </c>
      <c r="AA22" s="5">
        <v>28.489242999999998</v>
      </c>
      <c r="AB22" s="5">
        <v>23.545942</v>
      </c>
      <c r="AC22" s="5">
        <v>16.234435999999999</v>
      </c>
      <c r="AD22" s="5">
        <v>15.832636000000001</v>
      </c>
      <c r="AE22" s="5">
        <v>15.578837999999999</v>
      </c>
      <c r="AF22" s="6">
        <v>16.066175999999999</v>
      </c>
      <c r="AG22" s="5">
        <v>14.693524999999999</v>
      </c>
    </row>
    <row r="23" spans="1:33" ht="15.75" x14ac:dyDescent="0.25">
      <c r="A23" s="7" t="s">
        <v>153</v>
      </c>
      <c r="B23" s="8">
        <v>37.757634000000003</v>
      </c>
      <c r="C23" s="8">
        <v>38.855483</v>
      </c>
      <c r="D23" s="8">
        <v>44.767567999999997</v>
      </c>
      <c r="E23" s="8">
        <v>57.512118999999998</v>
      </c>
      <c r="F23" s="8">
        <v>77.553726999999995</v>
      </c>
      <c r="G23" s="8">
        <v>72.674717000000001</v>
      </c>
      <c r="H23" s="8">
        <v>60.486891999999997</v>
      </c>
      <c r="I23" s="8">
        <v>57.901724999999999</v>
      </c>
      <c r="J23" s="8">
        <v>42.590778999999998</v>
      </c>
      <c r="K23" s="8">
        <v>40.891570000000002</v>
      </c>
      <c r="L23" s="8">
        <v>37.647646000000002</v>
      </c>
      <c r="M23" s="8">
        <v>32.397993999999997</v>
      </c>
      <c r="N23" s="8">
        <v>30.529495000000001</v>
      </c>
      <c r="O23" s="8">
        <v>28.990397999999999</v>
      </c>
      <c r="P23" s="8">
        <v>27.328157000000001</v>
      </c>
      <c r="Q23" s="8">
        <v>28.683221</v>
      </c>
      <c r="R23" s="8">
        <v>25.800865000000002</v>
      </c>
      <c r="S23" s="8">
        <v>28.971549</v>
      </c>
      <c r="T23" s="8">
        <v>25.347901</v>
      </c>
      <c r="U23" s="8">
        <v>23.431988</v>
      </c>
      <c r="V23" s="8">
        <v>21.181857999999998</v>
      </c>
      <c r="W23" s="8">
        <v>20.218032999999998</v>
      </c>
      <c r="X23" s="8">
        <v>17.553968000000001</v>
      </c>
      <c r="Y23" s="8">
        <v>17.466567000000001</v>
      </c>
      <c r="Z23" s="8">
        <v>17.454021000000001</v>
      </c>
      <c r="AA23" s="8">
        <v>17.97664</v>
      </c>
      <c r="AB23" s="8">
        <v>14.267594000000001</v>
      </c>
      <c r="AC23" s="8">
        <v>8.3693950000000008</v>
      </c>
      <c r="AD23" s="8">
        <v>8.7354230000000008</v>
      </c>
      <c r="AE23" s="8">
        <v>8.6737129999999993</v>
      </c>
      <c r="AF23" s="9">
        <v>8.8098650000000003</v>
      </c>
      <c r="AG23" s="8">
        <v>8.5312040000000007</v>
      </c>
    </row>
    <row r="24" spans="1:33" ht="15.75" x14ac:dyDescent="0.25">
      <c r="A24" s="7" t="s">
        <v>149</v>
      </c>
      <c r="B24" s="8">
        <v>31.761192000000001</v>
      </c>
      <c r="C24" s="8">
        <v>33.486832</v>
      </c>
      <c r="D24" s="8">
        <v>36.792579000000003</v>
      </c>
      <c r="E24" s="8">
        <v>48.431007999999999</v>
      </c>
      <c r="F24" s="8">
        <v>65.370093999999995</v>
      </c>
      <c r="G24" s="8">
        <v>56.696956</v>
      </c>
      <c r="H24" s="8">
        <v>48.958356999999999</v>
      </c>
      <c r="I24" s="8">
        <v>45.141233999999997</v>
      </c>
      <c r="J24" s="8">
        <v>31.028623</v>
      </c>
      <c r="K24" s="8">
        <v>30.352088999999999</v>
      </c>
      <c r="L24" s="8">
        <v>29.489193</v>
      </c>
      <c r="M24" s="8">
        <v>23.733723000000001</v>
      </c>
      <c r="N24" s="8">
        <v>22.341325000000001</v>
      </c>
      <c r="O24" s="8">
        <v>21.820647999999998</v>
      </c>
      <c r="P24" s="8">
        <v>20.587598</v>
      </c>
      <c r="Q24" s="8">
        <v>21.125567</v>
      </c>
      <c r="R24" s="8">
        <v>19.054528999999999</v>
      </c>
      <c r="S24" s="8">
        <v>20.318735</v>
      </c>
      <c r="T24" s="8">
        <v>18.296821999999999</v>
      </c>
      <c r="U24" s="8">
        <v>17.424578</v>
      </c>
      <c r="V24" s="8">
        <v>14.041664000000001</v>
      </c>
      <c r="W24" s="8">
        <v>14.441257999999999</v>
      </c>
      <c r="X24" s="8">
        <v>12.25751</v>
      </c>
      <c r="Y24" s="8">
        <v>11.224427</v>
      </c>
      <c r="Z24" s="8">
        <v>11.963756</v>
      </c>
      <c r="AA24" s="8">
        <v>12.254331000000001</v>
      </c>
      <c r="AB24" s="8">
        <v>9.7099320000000002</v>
      </c>
      <c r="AC24" s="8">
        <v>5.3883400000000004</v>
      </c>
      <c r="AD24" s="8">
        <v>4.9906090000000001</v>
      </c>
      <c r="AE24" s="8">
        <v>5.1575470000000001</v>
      </c>
      <c r="AF24" s="9">
        <v>4.9344000000000001</v>
      </c>
      <c r="AG24" s="8">
        <v>5.0968390000000001</v>
      </c>
    </row>
    <row r="25" spans="1:33" ht="15.75" x14ac:dyDescent="0.25">
      <c r="A25" s="7" t="s">
        <v>150</v>
      </c>
      <c r="B25" s="8">
        <v>5.996442</v>
      </c>
      <c r="C25" s="8">
        <v>5.3686509999999998</v>
      </c>
      <c r="D25" s="8">
        <v>7.9749889999999999</v>
      </c>
      <c r="E25" s="8">
        <v>9.0811109999999999</v>
      </c>
      <c r="F25" s="8">
        <v>12.183633</v>
      </c>
      <c r="G25" s="8">
        <v>15.977760999999999</v>
      </c>
      <c r="H25" s="8">
        <v>11.528535</v>
      </c>
      <c r="I25" s="8">
        <v>12.760491</v>
      </c>
      <c r="J25" s="8">
        <v>11.562156</v>
      </c>
      <c r="K25" s="8">
        <v>10.539481</v>
      </c>
      <c r="L25" s="8">
        <v>8.1584520000000005</v>
      </c>
      <c r="M25" s="8">
        <v>8.6642709999999994</v>
      </c>
      <c r="N25" s="8">
        <v>8.1881699999999995</v>
      </c>
      <c r="O25" s="8">
        <v>7.1697499999999996</v>
      </c>
      <c r="P25" s="8">
        <v>6.740558</v>
      </c>
      <c r="Q25" s="8">
        <v>7.5576540000000003</v>
      </c>
      <c r="R25" s="8">
        <v>6.7463369999999996</v>
      </c>
      <c r="S25" s="8">
        <v>8.6528139999999993</v>
      </c>
      <c r="T25" s="8">
        <v>7.0510789999999997</v>
      </c>
      <c r="U25" s="8">
        <v>6.0074100000000001</v>
      </c>
      <c r="V25" s="8">
        <v>7.140193</v>
      </c>
      <c r="W25" s="8">
        <v>5.7767749999999998</v>
      </c>
      <c r="X25" s="8">
        <v>5.2964580000000003</v>
      </c>
      <c r="Y25" s="8">
        <v>6.24214</v>
      </c>
      <c r="Z25" s="8">
        <v>5.490265</v>
      </c>
      <c r="AA25" s="8">
        <v>5.7223090000000001</v>
      </c>
      <c r="AB25" s="8">
        <v>4.5576619999999997</v>
      </c>
      <c r="AC25" s="8">
        <v>2.981055</v>
      </c>
      <c r="AD25" s="8">
        <v>3.7448130000000002</v>
      </c>
      <c r="AE25" s="8">
        <v>3.5161660000000001</v>
      </c>
      <c r="AF25" s="9">
        <v>3.8754650000000002</v>
      </c>
      <c r="AG25" s="8">
        <v>3.4343659999999998</v>
      </c>
    </row>
    <row r="26" spans="1:33" ht="15.75" x14ac:dyDescent="0.25">
      <c r="A26" s="7" t="s">
        <v>154</v>
      </c>
      <c r="B26" s="8">
        <v>15.277442000000001</v>
      </c>
      <c r="C26" s="8">
        <v>21.776209999999999</v>
      </c>
      <c r="D26" s="8">
        <v>30.46171</v>
      </c>
      <c r="E26" s="8">
        <v>27.431377000000001</v>
      </c>
      <c r="F26" s="8">
        <v>40.829658000000002</v>
      </c>
      <c r="G26" s="8">
        <v>39.999706000000003</v>
      </c>
      <c r="H26" s="8">
        <v>39.748626000000002</v>
      </c>
      <c r="I26" s="8">
        <v>28.804081</v>
      </c>
      <c r="J26" s="8">
        <v>23.017503999999999</v>
      </c>
      <c r="K26" s="8">
        <v>21.174067999999998</v>
      </c>
      <c r="L26" s="8">
        <v>21.816665</v>
      </c>
      <c r="M26" s="8">
        <v>15.300848999999999</v>
      </c>
      <c r="N26" s="8">
        <v>15.287561</v>
      </c>
      <c r="O26" s="8">
        <v>15.623419</v>
      </c>
      <c r="P26" s="8">
        <v>14.957902000000001</v>
      </c>
      <c r="Q26" s="8">
        <v>14.677177</v>
      </c>
      <c r="R26" s="8">
        <v>13.986487</v>
      </c>
      <c r="S26" s="8">
        <v>15.499618</v>
      </c>
      <c r="T26" s="8">
        <v>14.046187</v>
      </c>
      <c r="U26" s="8">
        <v>14.139443</v>
      </c>
      <c r="V26" s="8">
        <v>11.673481000000001</v>
      </c>
      <c r="W26" s="8">
        <v>12.464503000000001</v>
      </c>
      <c r="X26" s="8">
        <v>11.232575000000001</v>
      </c>
      <c r="Y26" s="8">
        <v>9.0477000000000007</v>
      </c>
      <c r="Z26" s="8">
        <v>10.461944000000001</v>
      </c>
      <c r="AA26" s="8">
        <v>10.512603</v>
      </c>
      <c r="AB26" s="8">
        <v>9.2783479999999994</v>
      </c>
      <c r="AC26" s="8">
        <v>7.8650409999999997</v>
      </c>
      <c r="AD26" s="8">
        <v>7.097213</v>
      </c>
      <c r="AE26" s="8">
        <v>6.9051239999999998</v>
      </c>
      <c r="AF26" s="9">
        <v>7.2563110000000002</v>
      </c>
      <c r="AG26" s="8">
        <v>6.1623210000000004</v>
      </c>
    </row>
    <row r="27" spans="1:33" ht="25.5" customHeight="1" x14ac:dyDescent="0.25">
      <c r="A27" s="7" t="s">
        <v>229</v>
      </c>
      <c r="B27" s="8">
        <v>40.898099000000002</v>
      </c>
      <c r="C27" s="8">
        <v>49.213827999999999</v>
      </c>
      <c r="D27" s="8">
        <v>63.081254000000001</v>
      </c>
      <c r="E27" s="8">
        <v>67.637465000000006</v>
      </c>
      <c r="F27" s="8">
        <v>85.288803000000001</v>
      </c>
      <c r="G27" s="8">
        <v>82.199749999999995</v>
      </c>
      <c r="H27" s="8">
        <v>73.520962999999995</v>
      </c>
      <c r="I27" s="8">
        <v>57.636698000000003</v>
      </c>
      <c r="J27" s="8">
        <v>44.162199000000001</v>
      </c>
      <c r="K27" s="8">
        <v>43.757089000000001</v>
      </c>
      <c r="L27" s="8">
        <v>42.585251999999997</v>
      </c>
      <c r="M27" s="8">
        <v>33.731881999999999</v>
      </c>
      <c r="N27" s="8">
        <v>32.184161000000003</v>
      </c>
      <c r="O27" s="8">
        <v>31.454297</v>
      </c>
      <c r="P27" s="8">
        <v>31.346847</v>
      </c>
      <c r="Q27" s="8">
        <v>31.338892999999999</v>
      </c>
      <c r="R27" s="8">
        <v>28.178560000000001</v>
      </c>
      <c r="S27" s="8">
        <v>31.69603</v>
      </c>
      <c r="T27" s="8">
        <v>29.526924999999999</v>
      </c>
      <c r="U27" s="8">
        <v>27.110395</v>
      </c>
      <c r="V27" s="8">
        <v>23.971547999999999</v>
      </c>
      <c r="W27" s="8">
        <v>23.301877000000001</v>
      </c>
      <c r="X27" s="8">
        <v>20.300426000000002</v>
      </c>
      <c r="Y27" s="8">
        <v>18.917563999999999</v>
      </c>
      <c r="Z27" s="8">
        <v>20.454470000000001</v>
      </c>
      <c r="AA27" s="8">
        <v>21.066023999999999</v>
      </c>
      <c r="AB27" s="8">
        <v>18.214751</v>
      </c>
      <c r="AC27" s="8">
        <v>12.018083000000001</v>
      </c>
      <c r="AD27" s="8">
        <v>11.584934000000001</v>
      </c>
      <c r="AE27" s="8">
        <v>11.163883</v>
      </c>
      <c r="AF27" s="9">
        <v>11.445489</v>
      </c>
      <c r="AG27" s="8">
        <v>10.534703</v>
      </c>
    </row>
    <row r="28" spans="1:33" ht="15.75" x14ac:dyDescent="0.25">
      <c r="A28" s="7" t="s">
        <v>153</v>
      </c>
      <c r="B28" s="8">
        <v>25.849727000000001</v>
      </c>
      <c r="C28" s="8">
        <v>28.587330000000001</v>
      </c>
      <c r="D28" s="8">
        <v>34.290942000000001</v>
      </c>
      <c r="E28" s="8">
        <v>42.680875999999998</v>
      </c>
      <c r="F28" s="8">
        <v>49.445867999999997</v>
      </c>
      <c r="G28" s="8">
        <v>46.816468999999998</v>
      </c>
      <c r="H28" s="8">
        <v>38.846069</v>
      </c>
      <c r="I28" s="8">
        <v>34.209161999999999</v>
      </c>
      <c r="J28" s="8">
        <v>24.845936999999999</v>
      </c>
      <c r="K28" s="8">
        <v>25.147513</v>
      </c>
      <c r="L28" s="8">
        <v>24.040275999999999</v>
      </c>
      <c r="M28" s="8">
        <v>20.861602999999999</v>
      </c>
      <c r="N28" s="8">
        <v>19.302893000000001</v>
      </c>
      <c r="O28" s="8">
        <v>18.410919</v>
      </c>
      <c r="P28" s="8">
        <v>18.732790999999999</v>
      </c>
      <c r="Q28" s="8">
        <v>19.041754999999998</v>
      </c>
      <c r="R28" s="8">
        <v>16.731895000000002</v>
      </c>
      <c r="S28" s="8">
        <v>19.161919000000001</v>
      </c>
      <c r="T28" s="8">
        <v>17.611442</v>
      </c>
      <c r="U28" s="8">
        <v>15.632421000000001</v>
      </c>
      <c r="V28" s="8">
        <v>14.306794999999999</v>
      </c>
      <c r="W28" s="8">
        <v>13.108843999999999</v>
      </c>
      <c r="X28" s="8">
        <v>10.863505</v>
      </c>
      <c r="Y28" s="8">
        <v>11.277787</v>
      </c>
      <c r="Z28" s="8">
        <v>11.903885000000001</v>
      </c>
      <c r="AA28" s="8">
        <v>12.136433</v>
      </c>
      <c r="AB28" s="8">
        <v>9.7749959999999998</v>
      </c>
      <c r="AC28" s="8">
        <v>5.6025280000000004</v>
      </c>
      <c r="AD28" s="8">
        <v>5.9055549999999997</v>
      </c>
      <c r="AE28" s="8">
        <v>5.1618579999999996</v>
      </c>
      <c r="AF28" s="9">
        <v>5.6142950000000003</v>
      </c>
      <c r="AG28" s="8">
        <v>5.3275579999999998</v>
      </c>
    </row>
    <row r="29" spans="1:33" ht="15.75" x14ac:dyDescent="0.25">
      <c r="A29" s="7" t="s">
        <v>149</v>
      </c>
      <c r="B29" s="8">
        <v>20.353912000000001</v>
      </c>
      <c r="C29" s="8">
        <v>24.370557000000002</v>
      </c>
      <c r="D29" s="8">
        <v>26.714762</v>
      </c>
      <c r="E29" s="8">
        <v>35.229683000000001</v>
      </c>
      <c r="F29" s="8">
        <v>39.863954</v>
      </c>
      <c r="G29" s="8">
        <v>36.716383999999998</v>
      </c>
      <c r="H29" s="8">
        <v>29.774505999999999</v>
      </c>
      <c r="I29" s="8">
        <v>24.419198999999999</v>
      </c>
      <c r="J29" s="8">
        <v>17.767168999999999</v>
      </c>
      <c r="K29" s="8">
        <v>18.34254</v>
      </c>
      <c r="L29" s="8">
        <v>18.688238999999999</v>
      </c>
      <c r="M29" s="8">
        <v>14.581244999999999</v>
      </c>
      <c r="N29" s="8">
        <v>13.749090000000001</v>
      </c>
      <c r="O29" s="8">
        <v>13.431673</v>
      </c>
      <c r="P29" s="8">
        <v>13.742281999999999</v>
      </c>
      <c r="Q29" s="8">
        <v>13.324087</v>
      </c>
      <c r="R29" s="8">
        <v>11.696698</v>
      </c>
      <c r="S29" s="8">
        <v>12.671531</v>
      </c>
      <c r="T29" s="8">
        <v>12.133245000000001</v>
      </c>
      <c r="U29" s="8">
        <v>10.960519</v>
      </c>
      <c r="V29" s="8">
        <v>9.0315659999999998</v>
      </c>
      <c r="W29" s="8">
        <v>8.6645190000000003</v>
      </c>
      <c r="X29" s="8">
        <v>6.891756</v>
      </c>
      <c r="Y29" s="8">
        <v>6.7075579999999997</v>
      </c>
      <c r="Z29" s="8">
        <v>7.5975780000000004</v>
      </c>
      <c r="AA29" s="8">
        <v>7.8085050000000003</v>
      </c>
      <c r="AB29" s="8">
        <v>6.3274869999999996</v>
      </c>
      <c r="AC29" s="8">
        <v>3.5075500000000002</v>
      </c>
      <c r="AD29" s="8">
        <v>2.9187270000000001</v>
      </c>
      <c r="AE29" s="8">
        <v>3.3604470000000002</v>
      </c>
      <c r="AF29" s="9">
        <v>2.976871</v>
      </c>
      <c r="AG29" s="8">
        <v>3.0326270000000002</v>
      </c>
    </row>
    <row r="30" spans="1:33" ht="15.75" x14ac:dyDescent="0.25">
      <c r="A30" s="7" t="s">
        <v>150</v>
      </c>
      <c r="B30" s="8">
        <v>5.4958150000000003</v>
      </c>
      <c r="C30" s="8">
        <v>4.2167729999999999</v>
      </c>
      <c r="D30" s="8">
        <v>7.5761799999999999</v>
      </c>
      <c r="E30" s="8">
        <v>7.451193</v>
      </c>
      <c r="F30" s="8">
        <v>9.5819139999999994</v>
      </c>
      <c r="G30" s="8">
        <v>10.100085</v>
      </c>
      <c r="H30" s="8">
        <v>9.0715629999999994</v>
      </c>
      <c r="I30" s="8">
        <v>9.7899630000000002</v>
      </c>
      <c r="J30" s="8">
        <v>7.0787680000000002</v>
      </c>
      <c r="K30" s="8">
        <v>6.8049739999999996</v>
      </c>
      <c r="L30" s="8">
        <v>5.3520370000000002</v>
      </c>
      <c r="M30" s="8">
        <v>6.2803570000000004</v>
      </c>
      <c r="N30" s="8">
        <v>5.5538030000000003</v>
      </c>
      <c r="O30" s="8">
        <v>4.9792459999999998</v>
      </c>
      <c r="P30" s="8">
        <v>4.9905090000000003</v>
      </c>
      <c r="Q30" s="8">
        <v>5.7176689999999999</v>
      </c>
      <c r="R30" s="8">
        <v>5.0351970000000001</v>
      </c>
      <c r="S30" s="8">
        <v>6.4903880000000003</v>
      </c>
      <c r="T30" s="8">
        <v>5.4781959999999996</v>
      </c>
      <c r="U30" s="8">
        <v>4.6719020000000002</v>
      </c>
      <c r="V30" s="8">
        <v>5.2752290000000004</v>
      </c>
      <c r="W30" s="8">
        <v>4.4443250000000001</v>
      </c>
      <c r="X30" s="8">
        <v>3.9717500000000001</v>
      </c>
      <c r="Y30" s="8">
        <v>4.5702290000000003</v>
      </c>
      <c r="Z30" s="8">
        <v>4.3063070000000003</v>
      </c>
      <c r="AA30" s="8">
        <v>4.327928</v>
      </c>
      <c r="AB30" s="8">
        <v>3.4475090000000002</v>
      </c>
      <c r="AC30" s="8">
        <v>2.0949779999999998</v>
      </c>
      <c r="AD30" s="8">
        <v>2.986828</v>
      </c>
      <c r="AE30" s="8">
        <v>1.8014110000000001</v>
      </c>
      <c r="AF30" s="9">
        <v>2.6374240000000002</v>
      </c>
      <c r="AG30" s="8">
        <v>2.2949310000000001</v>
      </c>
    </row>
    <row r="31" spans="1:33" ht="15.75" x14ac:dyDescent="0.25">
      <c r="A31" s="7" t="s">
        <v>154</v>
      </c>
      <c r="B31" s="8">
        <v>15.048372000000001</v>
      </c>
      <c r="C31" s="8">
        <v>20.626498000000002</v>
      </c>
      <c r="D31" s="8">
        <v>28.790312</v>
      </c>
      <c r="E31" s="8">
        <v>24.956589000000001</v>
      </c>
      <c r="F31" s="8">
        <v>35.842934999999997</v>
      </c>
      <c r="G31" s="8">
        <v>35.383279999999999</v>
      </c>
      <c r="H31" s="8">
        <v>34.674894000000002</v>
      </c>
      <c r="I31" s="8">
        <v>23.427536</v>
      </c>
      <c r="J31" s="8">
        <v>19.316261999999998</v>
      </c>
      <c r="K31" s="8">
        <v>18.609575</v>
      </c>
      <c r="L31" s="8">
        <v>18.544975999999998</v>
      </c>
      <c r="M31" s="8">
        <v>12.870279</v>
      </c>
      <c r="N31" s="8">
        <v>12.881268</v>
      </c>
      <c r="O31" s="8">
        <v>13.043378000000001</v>
      </c>
      <c r="P31" s="8">
        <v>12.614056</v>
      </c>
      <c r="Q31" s="8">
        <v>12.297138</v>
      </c>
      <c r="R31" s="8">
        <v>11.446666</v>
      </c>
      <c r="S31" s="8">
        <v>12.534112</v>
      </c>
      <c r="T31" s="8">
        <v>11.915483</v>
      </c>
      <c r="U31" s="8">
        <v>11.477974</v>
      </c>
      <c r="V31" s="8">
        <v>9.6647529999999993</v>
      </c>
      <c r="W31" s="8">
        <v>10.193033</v>
      </c>
      <c r="X31" s="8">
        <v>9.4369209999999999</v>
      </c>
      <c r="Y31" s="8">
        <v>7.6397769999999996</v>
      </c>
      <c r="Z31" s="8">
        <v>8.5505849999999999</v>
      </c>
      <c r="AA31" s="8">
        <v>8.9295910000000003</v>
      </c>
      <c r="AB31" s="8">
        <v>8.4397549999999999</v>
      </c>
      <c r="AC31" s="8">
        <v>6.4155540000000002</v>
      </c>
      <c r="AD31" s="8">
        <v>5.679379</v>
      </c>
      <c r="AE31" s="8">
        <v>6.0020249999999997</v>
      </c>
      <c r="AF31" s="9">
        <v>5.831194</v>
      </c>
      <c r="AG31" s="8">
        <v>5.2071449999999997</v>
      </c>
    </row>
    <row r="32" spans="1:33" ht="26.25" customHeight="1" x14ac:dyDescent="0.25">
      <c r="A32" s="7" t="s">
        <v>230</v>
      </c>
      <c r="B32" s="8">
        <v>12.136976000000001</v>
      </c>
      <c r="C32" s="8">
        <v>11.417864</v>
      </c>
      <c r="D32" s="8">
        <v>12.148023999999999</v>
      </c>
      <c r="E32" s="8">
        <v>17.306031999999998</v>
      </c>
      <c r="F32" s="8">
        <v>33.094582000000003</v>
      </c>
      <c r="G32" s="8">
        <v>30.474674</v>
      </c>
      <c r="H32" s="8">
        <v>26.714555000000001</v>
      </c>
      <c r="I32" s="8">
        <v>29.069109000000001</v>
      </c>
      <c r="J32" s="8">
        <v>21.446085</v>
      </c>
      <c r="K32" s="8">
        <v>18.308548999999999</v>
      </c>
      <c r="L32" s="8">
        <v>16.879059000000002</v>
      </c>
      <c r="M32" s="8">
        <v>13.966961</v>
      </c>
      <c r="N32" s="8">
        <v>13.632895</v>
      </c>
      <c r="O32" s="8">
        <v>13.159520000000001</v>
      </c>
      <c r="P32" s="8">
        <v>10.939211999999999</v>
      </c>
      <c r="Q32" s="8">
        <v>12.021506</v>
      </c>
      <c r="R32" s="8">
        <v>11.608791999999999</v>
      </c>
      <c r="S32" s="8">
        <v>12.775137000000001</v>
      </c>
      <c r="T32" s="8">
        <v>9.8671629999999997</v>
      </c>
      <c r="U32" s="8">
        <v>10.461036</v>
      </c>
      <c r="V32" s="8">
        <v>8.8837899999999994</v>
      </c>
      <c r="W32" s="8">
        <v>9.3806580000000004</v>
      </c>
      <c r="X32" s="8">
        <v>8.4861170000000001</v>
      </c>
      <c r="Y32" s="8">
        <v>7.5967029999999998</v>
      </c>
      <c r="Z32" s="8">
        <v>7.4614950000000002</v>
      </c>
      <c r="AA32" s="8">
        <v>7.4232189999999996</v>
      </c>
      <c r="AB32" s="8">
        <v>5.3311919999999997</v>
      </c>
      <c r="AC32" s="8">
        <v>4.2163529999999998</v>
      </c>
      <c r="AD32" s="8">
        <v>4.2477010000000002</v>
      </c>
      <c r="AE32" s="8">
        <v>4.4149539999999998</v>
      </c>
      <c r="AF32" s="9">
        <v>4.6206870000000002</v>
      </c>
      <c r="AG32" s="8">
        <v>4.1588219999999998</v>
      </c>
    </row>
    <row r="33" spans="1:33" ht="15.75" x14ac:dyDescent="0.25">
      <c r="A33" s="7" t="s">
        <v>153</v>
      </c>
      <c r="B33" s="8">
        <v>11.907907</v>
      </c>
      <c r="C33" s="8">
        <v>10.268153</v>
      </c>
      <c r="D33" s="8">
        <v>10.476626</v>
      </c>
      <c r="E33" s="8">
        <v>14.831244</v>
      </c>
      <c r="F33" s="8">
        <v>28.107859000000001</v>
      </c>
      <c r="G33" s="8">
        <v>25.858248</v>
      </c>
      <c r="H33" s="8">
        <v>21.640823000000001</v>
      </c>
      <c r="I33" s="8">
        <v>23.692563</v>
      </c>
      <c r="J33" s="8">
        <v>17.744841999999998</v>
      </c>
      <c r="K33" s="8">
        <v>15.744057</v>
      </c>
      <c r="L33" s="8">
        <v>13.60737</v>
      </c>
      <c r="M33" s="8">
        <v>11.536391999999999</v>
      </c>
      <c r="N33" s="8">
        <v>11.226601</v>
      </c>
      <c r="O33" s="8">
        <v>10.579478999999999</v>
      </c>
      <c r="P33" s="8">
        <v>8.5953660000000003</v>
      </c>
      <c r="Q33" s="8">
        <v>9.6414659999999994</v>
      </c>
      <c r="R33" s="8">
        <v>9.0689700000000002</v>
      </c>
      <c r="S33" s="8">
        <v>9.8096300000000003</v>
      </c>
      <c r="T33" s="8">
        <v>7.7364600000000001</v>
      </c>
      <c r="U33" s="8">
        <v>7.7995669999999997</v>
      </c>
      <c r="V33" s="8">
        <v>6.8750629999999999</v>
      </c>
      <c r="W33" s="8">
        <v>7.1091889999999998</v>
      </c>
      <c r="X33" s="8">
        <v>6.6904630000000003</v>
      </c>
      <c r="Y33" s="8">
        <v>6.1887800000000004</v>
      </c>
      <c r="Z33" s="8">
        <v>5.5501370000000003</v>
      </c>
      <c r="AA33" s="8">
        <v>5.8402070000000004</v>
      </c>
      <c r="AB33" s="8">
        <v>4.4925980000000001</v>
      </c>
      <c r="AC33" s="8">
        <v>2.766867</v>
      </c>
      <c r="AD33" s="8">
        <v>2.8298670000000001</v>
      </c>
      <c r="AE33" s="8">
        <v>3.5118550000000002</v>
      </c>
      <c r="AF33" s="9">
        <v>3.19557</v>
      </c>
      <c r="AG33" s="8">
        <v>3.203646</v>
      </c>
    </row>
    <row r="34" spans="1:33" ht="15.75" x14ac:dyDescent="0.25">
      <c r="A34" s="7" t="s">
        <v>149</v>
      </c>
      <c r="B34" s="8">
        <v>11.40728</v>
      </c>
      <c r="C34" s="8">
        <v>9.1162749999999999</v>
      </c>
      <c r="D34" s="8">
        <v>10.077817</v>
      </c>
      <c r="E34" s="8">
        <v>13.201326</v>
      </c>
      <c r="F34" s="8">
        <v>25.506141</v>
      </c>
      <c r="G34" s="8">
        <v>19.980573</v>
      </c>
      <c r="H34" s="8">
        <v>19.183851000000001</v>
      </c>
      <c r="I34" s="8">
        <v>20.722035000000002</v>
      </c>
      <c r="J34" s="8">
        <v>13.261454000000001</v>
      </c>
      <c r="K34" s="8">
        <v>12.009549</v>
      </c>
      <c r="L34" s="8">
        <v>10.800955</v>
      </c>
      <c r="M34" s="8">
        <v>9.1524780000000003</v>
      </c>
      <c r="N34" s="8">
        <v>8.5922350000000005</v>
      </c>
      <c r="O34" s="8">
        <v>8.3889739999999993</v>
      </c>
      <c r="P34" s="8">
        <v>6.8453160000000004</v>
      </c>
      <c r="Q34" s="8">
        <v>7.8014799999999997</v>
      </c>
      <c r="R34" s="8">
        <v>7.357831</v>
      </c>
      <c r="S34" s="8">
        <v>7.6472040000000003</v>
      </c>
      <c r="T34" s="8">
        <v>6.1635770000000001</v>
      </c>
      <c r="U34" s="8">
        <v>6.4640589999999998</v>
      </c>
      <c r="V34" s="8">
        <v>5.0100980000000002</v>
      </c>
      <c r="W34" s="8">
        <v>5.7767390000000001</v>
      </c>
      <c r="X34" s="8">
        <v>5.3657539999999999</v>
      </c>
      <c r="Y34" s="8">
        <v>4.5168689999999998</v>
      </c>
      <c r="Z34" s="8">
        <v>4.3661779999999997</v>
      </c>
      <c r="AA34" s="8">
        <v>4.4458260000000003</v>
      </c>
      <c r="AB34" s="8">
        <v>3.3824450000000001</v>
      </c>
      <c r="AC34" s="8">
        <v>1.880789</v>
      </c>
      <c r="AD34" s="8">
        <v>2.071882</v>
      </c>
      <c r="AE34" s="8">
        <v>1.7970999999999999</v>
      </c>
      <c r="AF34" s="9">
        <v>1.9575279999999999</v>
      </c>
      <c r="AG34" s="8">
        <v>2.0642109999999998</v>
      </c>
    </row>
    <row r="35" spans="1:33" ht="15.75" x14ac:dyDescent="0.25">
      <c r="A35" s="7" t="s">
        <v>150</v>
      </c>
      <c r="B35" s="8">
        <v>0.50062700000000004</v>
      </c>
      <c r="C35" s="8">
        <v>1.151877</v>
      </c>
      <c r="D35" s="8">
        <v>0.39880900000000002</v>
      </c>
      <c r="E35" s="8">
        <v>1.629918</v>
      </c>
      <c r="F35" s="8">
        <v>2.601718</v>
      </c>
      <c r="G35" s="8">
        <v>5.8776760000000001</v>
      </c>
      <c r="H35" s="8">
        <v>2.4569719999999999</v>
      </c>
      <c r="I35" s="8">
        <v>2.9705279999999998</v>
      </c>
      <c r="J35" s="8">
        <v>4.4833869999999996</v>
      </c>
      <c r="K35" s="8">
        <v>3.7345079999999999</v>
      </c>
      <c r="L35" s="8">
        <v>2.8064149999999999</v>
      </c>
      <c r="M35" s="8">
        <v>2.3839139999999999</v>
      </c>
      <c r="N35" s="8">
        <v>2.6343670000000001</v>
      </c>
      <c r="O35" s="8">
        <v>2.1905049999999999</v>
      </c>
      <c r="P35" s="8">
        <v>1.7500500000000001</v>
      </c>
      <c r="Q35" s="8">
        <v>1.8399859999999999</v>
      </c>
      <c r="R35" s="8">
        <v>1.711139</v>
      </c>
      <c r="S35" s="8">
        <v>2.162426</v>
      </c>
      <c r="T35" s="8">
        <v>1.572883</v>
      </c>
      <c r="U35" s="8">
        <v>1.3355079999999999</v>
      </c>
      <c r="V35" s="8">
        <v>1.864965</v>
      </c>
      <c r="W35" s="8">
        <v>1.3324499999999999</v>
      </c>
      <c r="X35" s="8">
        <v>1.324708</v>
      </c>
      <c r="Y35" s="8">
        <v>1.6719109999999999</v>
      </c>
      <c r="Z35" s="8">
        <v>1.183959</v>
      </c>
      <c r="AA35" s="8">
        <v>1.3943810000000001</v>
      </c>
      <c r="AB35" s="8">
        <v>1.1101529999999999</v>
      </c>
      <c r="AC35" s="8">
        <v>0.886077</v>
      </c>
      <c r="AD35" s="8">
        <v>0.75798500000000002</v>
      </c>
      <c r="AE35" s="8">
        <v>1.7147559999999999</v>
      </c>
      <c r="AF35" s="9">
        <v>1.2380420000000001</v>
      </c>
      <c r="AG35" s="8">
        <v>1.139435</v>
      </c>
    </row>
    <row r="36" spans="1:33" ht="15.75" x14ac:dyDescent="0.25">
      <c r="A36" s="7" t="s">
        <v>154</v>
      </c>
      <c r="B36" s="8">
        <v>0.22906899999999999</v>
      </c>
      <c r="C36" s="8">
        <v>1.1497120000000001</v>
      </c>
      <c r="D36" s="8">
        <v>1.6713979999999999</v>
      </c>
      <c r="E36" s="8">
        <v>2.4747880000000002</v>
      </c>
      <c r="F36" s="8">
        <v>4.9867229999999996</v>
      </c>
      <c r="G36" s="8">
        <v>4.6164249999999996</v>
      </c>
      <c r="H36" s="8">
        <v>5.0737319999999997</v>
      </c>
      <c r="I36" s="8">
        <v>5.3765460000000003</v>
      </c>
      <c r="J36" s="8">
        <v>3.7012429999999998</v>
      </c>
      <c r="K36" s="8">
        <v>2.564492</v>
      </c>
      <c r="L36" s="8">
        <v>3.2716889999999998</v>
      </c>
      <c r="M36" s="8">
        <v>2.4305699999999999</v>
      </c>
      <c r="N36" s="8">
        <v>2.4062929999999998</v>
      </c>
      <c r="O36" s="8">
        <v>2.580041</v>
      </c>
      <c r="P36" s="8">
        <v>2.3438460000000001</v>
      </c>
      <c r="Q36" s="8">
        <v>2.3800400000000002</v>
      </c>
      <c r="R36" s="8">
        <v>2.5398209999999999</v>
      </c>
      <c r="S36" s="8">
        <v>2.965506</v>
      </c>
      <c r="T36" s="8">
        <v>2.1307040000000002</v>
      </c>
      <c r="U36" s="8">
        <v>2.6614689999999999</v>
      </c>
      <c r="V36" s="8">
        <v>2.0087269999999999</v>
      </c>
      <c r="W36" s="8">
        <v>2.2714690000000002</v>
      </c>
      <c r="X36" s="8">
        <v>1.7956540000000001</v>
      </c>
      <c r="Y36" s="8">
        <v>1.407923</v>
      </c>
      <c r="Z36" s="8">
        <v>1.911359</v>
      </c>
      <c r="AA36" s="8">
        <v>1.5830120000000001</v>
      </c>
      <c r="AB36" s="8">
        <v>0.83859399999999995</v>
      </c>
      <c r="AC36" s="8">
        <v>1.4494860000000001</v>
      </c>
      <c r="AD36" s="8">
        <v>1.417834</v>
      </c>
      <c r="AE36" s="8">
        <v>0.90309899999999999</v>
      </c>
      <c r="AF36" s="9">
        <v>1.425117</v>
      </c>
      <c r="AG36" s="8">
        <v>0.95517600000000003</v>
      </c>
    </row>
    <row r="37" spans="1:33" ht="30" customHeight="1" x14ac:dyDescent="0.25">
      <c r="A37" s="4" t="s">
        <v>231</v>
      </c>
      <c r="B37" s="5">
        <v>71.942526000000001</v>
      </c>
      <c r="C37" s="5">
        <v>73.375844999999998</v>
      </c>
      <c r="D37" s="5">
        <v>66.810306999999995</v>
      </c>
      <c r="E37" s="5">
        <v>71.864202000000006</v>
      </c>
      <c r="F37" s="5">
        <v>79.047926000000004</v>
      </c>
      <c r="G37" s="5">
        <v>75.014808000000002</v>
      </c>
      <c r="H37" s="5">
        <v>65.559997999999993</v>
      </c>
      <c r="I37" s="5">
        <v>58.092067999999998</v>
      </c>
      <c r="J37" s="5">
        <v>45.25956</v>
      </c>
      <c r="K37" s="5">
        <v>43.198701999999997</v>
      </c>
      <c r="L37" s="5">
        <v>40.787984000000002</v>
      </c>
      <c r="M37" s="5">
        <v>37.843775999999998</v>
      </c>
      <c r="N37" s="5">
        <v>36.282189000000002</v>
      </c>
      <c r="O37" s="5">
        <v>38.566251000000001</v>
      </c>
      <c r="P37" s="5">
        <v>34.230462000000003</v>
      </c>
      <c r="Q37" s="5">
        <v>37.328451999999999</v>
      </c>
      <c r="R37" s="5">
        <v>37.961481999999997</v>
      </c>
      <c r="S37" s="5">
        <v>40.430695</v>
      </c>
      <c r="T37" s="5">
        <v>47.938153</v>
      </c>
      <c r="U37" s="5">
        <v>43.058301999999998</v>
      </c>
      <c r="V37" s="5">
        <v>32.570875999999998</v>
      </c>
      <c r="W37" s="5">
        <v>31.673500000000001</v>
      </c>
      <c r="X37" s="5">
        <v>27.695902</v>
      </c>
      <c r="Y37" s="5">
        <v>23.968876999999999</v>
      </c>
      <c r="Z37" s="5">
        <v>23.963692999999999</v>
      </c>
      <c r="AA37" s="5">
        <v>26.515739</v>
      </c>
      <c r="AB37" s="5">
        <v>23.502925000000001</v>
      </c>
      <c r="AC37" s="5">
        <v>24.322754</v>
      </c>
      <c r="AD37" s="5">
        <v>21.908829000000001</v>
      </c>
      <c r="AE37" s="5">
        <v>25.649011000000002</v>
      </c>
      <c r="AF37" s="6">
        <v>23.824712999999999</v>
      </c>
      <c r="AG37" s="5">
        <v>25.650532999999999</v>
      </c>
    </row>
    <row r="38" spans="1:33" ht="15.75" x14ac:dyDescent="0.25">
      <c r="A38" s="7" t="s">
        <v>157</v>
      </c>
      <c r="B38" s="8">
        <v>8.3573330000000006</v>
      </c>
      <c r="C38" s="8">
        <v>8.1857260000000007</v>
      </c>
      <c r="D38" s="8">
        <v>6.6578280000000003</v>
      </c>
      <c r="E38" s="8">
        <v>4.7486969999999999</v>
      </c>
      <c r="F38" s="8">
        <v>9.4890709999999991</v>
      </c>
      <c r="G38" s="8">
        <v>10.604479</v>
      </c>
      <c r="H38" s="8">
        <v>8.2663620000000009</v>
      </c>
      <c r="I38" s="8">
        <v>7.5165090000000001</v>
      </c>
      <c r="J38" s="8">
        <v>5.7605709999999997</v>
      </c>
      <c r="K38" s="8">
        <v>5.121283</v>
      </c>
      <c r="L38" s="8">
        <v>5.5219300000000002</v>
      </c>
      <c r="M38" s="8">
        <v>5.1370849999999999</v>
      </c>
      <c r="N38" s="8">
        <v>4.1647530000000001</v>
      </c>
      <c r="O38" s="8">
        <v>3.8647559999999999</v>
      </c>
      <c r="P38" s="8">
        <v>3.7473079999999999</v>
      </c>
      <c r="Q38" s="8">
        <v>3.8185310000000001</v>
      </c>
      <c r="R38" s="8">
        <v>3.953967</v>
      </c>
      <c r="S38" s="8">
        <v>4.1569789999999998</v>
      </c>
      <c r="T38" s="8">
        <v>3.433386</v>
      </c>
      <c r="U38" s="8">
        <v>4.2615660000000002</v>
      </c>
      <c r="V38" s="8">
        <v>3.0890179999999998</v>
      </c>
      <c r="W38" s="8">
        <v>3.1865960000000002</v>
      </c>
      <c r="X38" s="8">
        <v>2.8026580000000001</v>
      </c>
      <c r="Y38" s="8">
        <v>2.8526919999999998</v>
      </c>
      <c r="Z38" s="8">
        <v>2.7412369999999999</v>
      </c>
      <c r="AA38" s="8">
        <v>2.7095159999999998</v>
      </c>
      <c r="AB38" s="8">
        <v>2.9107150000000002</v>
      </c>
      <c r="AC38" s="8">
        <v>2.118109</v>
      </c>
      <c r="AD38" s="8">
        <v>1.5237830000000001</v>
      </c>
      <c r="AE38" s="8">
        <v>1.3256509999999999</v>
      </c>
      <c r="AF38" s="9">
        <v>1.737125</v>
      </c>
      <c r="AG38" s="8">
        <v>1.086579</v>
      </c>
    </row>
    <row r="39" spans="1:33" ht="15.75" x14ac:dyDescent="0.25">
      <c r="A39" s="7" t="s">
        <v>158</v>
      </c>
      <c r="B39" s="8">
        <v>63.585192999999997</v>
      </c>
      <c r="C39" s="8">
        <v>65.190118999999996</v>
      </c>
      <c r="D39" s="8">
        <v>60.152479</v>
      </c>
      <c r="E39" s="8">
        <v>67.115504999999999</v>
      </c>
      <c r="F39" s="8">
        <v>69.558854999999994</v>
      </c>
      <c r="G39" s="8">
        <v>64.410329000000004</v>
      </c>
      <c r="H39" s="8">
        <v>57.293635999999999</v>
      </c>
      <c r="I39" s="8">
        <v>50.575558999999998</v>
      </c>
      <c r="J39" s="8">
        <v>39.498989000000002</v>
      </c>
      <c r="K39" s="8">
        <v>38.077418999999999</v>
      </c>
      <c r="L39" s="8">
        <v>35.266052999999999</v>
      </c>
      <c r="M39" s="8">
        <v>32.706690000000002</v>
      </c>
      <c r="N39" s="8">
        <v>32.117435999999998</v>
      </c>
      <c r="O39" s="8">
        <v>34.701495000000001</v>
      </c>
      <c r="P39" s="8">
        <v>30.483153999999999</v>
      </c>
      <c r="Q39" s="8">
        <v>33.509920999999999</v>
      </c>
      <c r="R39" s="8">
        <v>34.007514999999998</v>
      </c>
      <c r="S39" s="8">
        <v>36.273716</v>
      </c>
      <c r="T39" s="8">
        <v>44.504767000000001</v>
      </c>
      <c r="U39" s="8">
        <v>38.796736000000003</v>
      </c>
      <c r="V39" s="8">
        <v>29.481857999999999</v>
      </c>
      <c r="W39" s="8">
        <v>28.486903999999999</v>
      </c>
      <c r="X39" s="8">
        <v>24.893243999999999</v>
      </c>
      <c r="Y39" s="8">
        <v>21.116185000000002</v>
      </c>
      <c r="Z39" s="8">
        <v>21.222456999999999</v>
      </c>
      <c r="AA39" s="8">
        <v>23.806222999999999</v>
      </c>
      <c r="AB39" s="8">
        <v>20.592210000000001</v>
      </c>
      <c r="AC39" s="8">
        <v>22.204644999999999</v>
      </c>
      <c r="AD39" s="8">
        <v>20.385045999999999</v>
      </c>
      <c r="AE39" s="8">
        <v>24.323359</v>
      </c>
      <c r="AF39" s="9">
        <v>22.087588</v>
      </c>
      <c r="AG39" s="8">
        <v>24.563953999999999</v>
      </c>
    </row>
    <row r="40" spans="1:33" ht="30" customHeight="1" x14ac:dyDescent="0.25">
      <c r="A40" s="4" t="s">
        <v>232</v>
      </c>
      <c r="B40" s="5">
        <v>95.538506999999996</v>
      </c>
      <c r="C40" s="5">
        <v>113.787346</v>
      </c>
      <c r="D40" s="5">
        <v>152.11833300000001</v>
      </c>
      <c r="E40" s="5">
        <v>188.528051</v>
      </c>
      <c r="F40" s="5">
        <v>211.32566299999999</v>
      </c>
      <c r="G40" s="5">
        <v>207.09939199999999</v>
      </c>
      <c r="H40" s="5">
        <v>164.04476700000001</v>
      </c>
      <c r="I40" s="5">
        <v>137.700266</v>
      </c>
      <c r="J40" s="5">
        <v>114.69171900000001</v>
      </c>
      <c r="K40" s="5">
        <v>105.471782</v>
      </c>
      <c r="L40" s="5">
        <v>93.598534000000001</v>
      </c>
      <c r="M40" s="5">
        <v>82.485149000000007</v>
      </c>
      <c r="N40" s="5">
        <v>74.940393</v>
      </c>
      <c r="O40" s="5">
        <v>72.382337000000007</v>
      </c>
      <c r="P40" s="5">
        <v>63.395369000000002</v>
      </c>
      <c r="Q40" s="5">
        <v>63.343845000000002</v>
      </c>
      <c r="R40" s="5">
        <v>51.972683000000004</v>
      </c>
      <c r="S40" s="5">
        <v>50.409984000000001</v>
      </c>
      <c r="T40" s="5">
        <v>51.317945000000002</v>
      </c>
      <c r="U40" s="5">
        <v>43.225425000000001</v>
      </c>
      <c r="V40" s="5">
        <v>39.199443000000002</v>
      </c>
      <c r="W40" s="5">
        <v>38.313063</v>
      </c>
      <c r="X40" s="5">
        <v>36.198582999999999</v>
      </c>
      <c r="Y40" s="5">
        <v>32.122343000000001</v>
      </c>
      <c r="Z40" s="5">
        <v>37.091786999999997</v>
      </c>
      <c r="AA40" s="5">
        <v>36.671253</v>
      </c>
      <c r="AB40" s="5">
        <v>35.875169999999997</v>
      </c>
      <c r="AC40" s="5">
        <v>28.784794000000002</v>
      </c>
      <c r="AD40" s="5">
        <v>28.845870999999999</v>
      </c>
      <c r="AE40" s="5">
        <v>26.052572000000001</v>
      </c>
      <c r="AF40" s="6">
        <v>29.388888000000001</v>
      </c>
      <c r="AG40" s="5">
        <v>25.354085999999999</v>
      </c>
    </row>
    <row r="41" spans="1:33" ht="15.75" x14ac:dyDescent="0.25">
      <c r="A41" s="7" t="s">
        <v>160</v>
      </c>
      <c r="B41" s="8">
        <v>70.178323000000006</v>
      </c>
      <c r="C41" s="8">
        <v>82.719702999999996</v>
      </c>
      <c r="D41" s="8">
        <v>109.459715</v>
      </c>
      <c r="E41" s="8">
        <v>119.552813</v>
      </c>
      <c r="F41" s="8">
        <v>124.7535</v>
      </c>
      <c r="G41" s="8">
        <v>121.426199</v>
      </c>
      <c r="H41" s="8">
        <v>101.442441</v>
      </c>
      <c r="I41" s="8">
        <v>84.385337000000007</v>
      </c>
      <c r="J41" s="8">
        <v>68.925730999999999</v>
      </c>
      <c r="K41" s="8">
        <v>63.634844999999999</v>
      </c>
      <c r="L41" s="8">
        <v>58.892144999999999</v>
      </c>
      <c r="M41" s="8">
        <v>52.939298000000001</v>
      </c>
      <c r="N41" s="8">
        <v>48.595708000000002</v>
      </c>
      <c r="O41" s="8">
        <v>48.322004999999997</v>
      </c>
      <c r="P41" s="8">
        <v>42.002257999999998</v>
      </c>
      <c r="Q41" s="8">
        <v>44.418182999999999</v>
      </c>
      <c r="R41" s="8">
        <v>35.887971</v>
      </c>
      <c r="S41" s="8">
        <v>36.484274999999997</v>
      </c>
      <c r="T41" s="8">
        <v>37.681663</v>
      </c>
      <c r="U41" s="8">
        <v>32.025979</v>
      </c>
      <c r="V41" s="8">
        <v>30.224945000000002</v>
      </c>
      <c r="W41" s="8">
        <v>27.669466</v>
      </c>
      <c r="X41" s="8">
        <v>26.547891</v>
      </c>
      <c r="Y41" s="8">
        <v>23.362938</v>
      </c>
      <c r="Z41" s="8">
        <v>26.321351</v>
      </c>
      <c r="AA41" s="8">
        <v>26.399784</v>
      </c>
      <c r="AB41" s="8">
        <v>25.645091000000001</v>
      </c>
      <c r="AC41" s="8">
        <v>19.814584</v>
      </c>
      <c r="AD41" s="8">
        <v>18.328047000000002</v>
      </c>
      <c r="AE41" s="8">
        <v>17.089016999999998</v>
      </c>
      <c r="AF41" s="9">
        <v>18.807628999999999</v>
      </c>
      <c r="AG41" s="8">
        <v>16.555454999999998</v>
      </c>
    </row>
    <row r="42" spans="1:33" ht="15.75" x14ac:dyDescent="0.25">
      <c r="A42" s="7" t="s">
        <v>161</v>
      </c>
      <c r="B42" s="8">
        <v>15.580404</v>
      </c>
      <c r="C42" s="8">
        <v>15.280438</v>
      </c>
      <c r="D42" s="8">
        <v>20.483837000000001</v>
      </c>
      <c r="E42" s="8">
        <v>25.453139</v>
      </c>
      <c r="F42" s="8">
        <v>26.809327</v>
      </c>
      <c r="G42" s="8">
        <v>23.935986</v>
      </c>
      <c r="H42" s="8">
        <v>17.694609</v>
      </c>
      <c r="I42" s="8">
        <v>15.315575000000001</v>
      </c>
      <c r="J42" s="8">
        <v>14.471380999999999</v>
      </c>
      <c r="K42" s="8">
        <v>12.429</v>
      </c>
      <c r="L42" s="8">
        <v>10.630976</v>
      </c>
      <c r="M42" s="8">
        <v>9.3675200000000007</v>
      </c>
      <c r="N42" s="8">
        <v>7.9751250000000002</v>
      </c>
      <c r="O42" s="8">
        <v>7.6308030000000002</v>
      </c>
      <c r="P42" s="8">
        <v>6.7751130000000002</v>
      </c>
      <c r="Q42" s="8">
        <v>6.1735059999999997</v>
      </c>
      <c r="R42" s="8">
        <v>4.8227549999999999</v>
      </c>
      <c r="S42" s="8">
        <v>4.0202660000000003</v>
      </c>
      <c r="T42" s="8">
        <v>3.9734530000000001</v>
      </c>
      <c r="U42" s="8">
        <v>3.7662770000000001</v>
      </c>
      <c r="V42" s="8">
        <v>2.5971660000000001</v>
      </c>
      <c r="W42" s="8">
        <v>2.572905</v>
      </c>
      <c r="X42" s="8">
        <v>3.2720739999999999</v>
      </c>
      <c r="Y42" s="8">
        <v>2.380563</v>
      </c>
      <c r="Z42" s="8">
        <v>3.2999100000000001</v>
      </c>
      <c r="AA42" s="8">
        <v>3.3139449999999999</v>
      </c>
      <c r="AB42" s="8">
        <v>3.2408239999999999</v>
      </c>
      <c r="AC42" s="8">
        <v>3.8963420000000002</v>
      </c>
      <c r="AD42" s="8">
        <v>3.6478470000000001</v>
      </c>
      <c r="AE42" s="8">
        <v>4.004327</v>
      </c>
      <c r="AF42" s="9">
        <v>3.9242400000000002</v>
      </c>
      <c r="AG42" s="8">
        <v>3.7562139999999999</v>
      </c>
    </row>
    <row r="43" spans="1:33" ht="15.75" x14ac:dyDescent="0.25">
      <c r="A43" s="7" t="s">
        <v>162</v>
      </c>
      <c r="B43" s="8">
        <v>9.7797789999999996</v>
      </c>
      <c r="C43" s="8">
        <v>15.787205</v>
      </c>
      <c r="D43" s="8">
        <v>22.174780999999999</v>
      </c>
      <c r="E43" s="8">
        <v>43.522098999999997</v>
      </c>
      <c r="F43" s="8">
        <v>59.762836</v>
      </c>
      <c r="G43" s="8">
        <v>61.737208000000003</v>
      </c>
      <c r="H43" s="8">
        <v>44.907716000000001</v>
      </c>
      <c r="I43" s="8">
        <v>37.999352999999999</v>
      </c>
      <c r="J43" s="8">
        <v>31.294608</v>
      </c>
      <c r="K43" s="8">
        <v>29.407938000000001</v>
      </c>
      <c r="L43" s="8">
        <v>24.075413999999999</v>
      </c>
      <c r="M43" s="8">
        <v>20.178329999999999</v>
      </c>
      <c r="N43" s="8">
        <v>18.36956</v>
      </c>
      <c r="O43" s="8">
        <v>16.429528999999999</v>
      </c>
      <c r="P43" s="8">
        <v>14.617998</v>
      </c>
      <c r="Q43" s="8">
        <v>12.752155999999999</v>
      </c>
      <c r="R43" s="8">
        <v>11.261957000000001</v>
      </c>
      <c r="S43" s="8">
        <v>9.905443</v>
      </c>
      <c r="T43" s="8">
        <v>9.6628290000000003</v>
      </c>
      <c r="U43" s="8">
        <v>7.4331699999999996</v>
      </c>
      <c r="V43" s="8">
        <v>6.377332</v>
      </c>
      <c r="W43" s="8">
        <v>8.0706919999999993</v>
      </c>
      <c r="X43" s="8">
        <v>6.3786180000000003</v>
      </c>
      <c r="Y43" s="8">
        <v>6.3788419999999997</v>
      </c>
      <c r="Z43" s="8">
        <v>7.4705260000000004</v>
      </c>
      <c r="AA43" s="8">
        <v>6.9575250000000004</v>
      </c>
      <c r="AB43" s="8">
        <v>6.989255</v>
      </c>
      <c r="AC43" s="8">
        <v>5.0738690000000002</v>
      </c>
      <c r="AD43" s="8">
        <v>6.8699770000000004</v>
      </c>
      <c r="AE43" s="8">
        <v>4.9592280000000004</v>
      </c>
      <c r="AF43" s="9">
        <v>6.657019</v>
      </c>
      <c r="AG43" s="8">
        <v>5.0424170000000004</v>
      </c>
    </row>
    <row r="44" spans="1:33" ht="30" customHeight="1" x14ac:dyDescent="0.25">
      <c r="A44" s="4" t="s">
        <v>233</v>
      </c>
      <c r="B44" s="5">
        <v>11.795218999999999</v>
      </c>
      <c r="C44" s="5">
        <v>15.490209</v>
      </c>
      <c r="D44" s="5">
        <v>20.055475999999999</v>
      </c>
      <c r="E44" s="5">
        <v>29.633938000000001</v>
      </c>
      <c r="F44" s="5">
        <v>28.168958</v>
      </c>
      <c r="G44" s="5">
        <v>31.612908999999998</v>
      </c>
      <c r="H44" s="5">
        <v>25.010681999999999</v>
      </c>
      <c r="I44" s="5">
        <v>18.524287000000001</v>
      </c>
      <c r="J44" s="5">
        <v>16.567281999999999</v>
      </c>
      <c r="K44" s="5">
        <v>15.919506</v>
      </c>
      <c r="L44" s="5">
        <v>16.496789</v>
      </c>
      <c r="M44" s="5">
        <v>17.607216000000001</v>
      </c>
      <c r="N44" s="5">
        <v>18.932147000000001</v>
      </c>
      <c r="O44" s="5">
        <v>20.220921000000001</v>
      </c>
      <c r="P44" s="5">
        <v>18.814066</v>
      </c>
      <c r="Q44" s="5">
        <v>22.722474999999999</v>
      </c>
      <c r="R44" s="5">
        <v>20.224025999999999</v>
      </c>
      <c r="S44" s="5">
        <v>22.185984000000001</v>
      </c>
      <c r="T44" s="5">
        <v>18.866056</v>
      </c>
      <c r="U44" s="5">
        <v>19.152466</v>
      </c>
      <c r="V44" s="5">
        <v>15.784388</v>
      </c>
      <c r="W44" s="5">
        <v>15.829094</v>
      </c>
      <c r="X44" s="5">
        <v>13.464942000000001</v>
      </c>
      <c r="Y44" s="5">
        <v>11.909605000000001</v>
      </c>
      <c r="Z44" s="5">
        <v>11.898149</v>
      </c>
      <c r="AA44" s="5">
        <v>12.829959000000001</v>
      </c>
      <c r="AB44" s="5">
        <v>10.980463</v>
      </c>
      <c r="AC44" s="5">
        <v>9.1375499999999992</v>
      </c>
      <c r="AD44" s="5">
        <v>8.0065950000000008</v>
      </c>
      <c r="AE44" s="5">
        <v>7.1637680000000001</v>
      </c>
      <c r="AF44" s="6">
        <v>8.1457300000000004</v>
      </c>
      <c r="AG44" s="5">
        <v>7.2290089999999996</v>
      </c>
    </row>
    <row r="45" spans="1:33" ht="30" customHeight="1" x14ac:dyDescent="0.25">
      <c r="A45" s="10" t="s">
        <v>167</v>
      </c>
      <c r="B45" s="11">
        <v>9916</v>
      </c>
      <c r="C45" s="11">
        <v>11030</v>
      </c>
      <c r="D45" s="11">
        <v>10392</v>
      </c>
      <c r="E45" s="11">
        <v>10043</v>
      </c>
      <c r="F45" s="11">
        <v>14491</v>
      </c>
      <c r="G45" s="11">
        <v>16310</v>
      </c>
      <c r="H45" s="11">
        <v>14900</v>
      </c>
      <c r="I45" s="11">
        <v>19357</v>
      </c>
      <c r="J45" s="11">
        <v>32782</v>
      </c>
      <c r="K45" s="11">
        <v>36447</v>
      </c>
      <c r="L45" s="11">
        <v>37890</v>
      </c>
      <c r="M45" s="11">
        <v>45081</v>
      </c>
      <c r="N45" s="11">
        <v>47768</v>
      </c>
      <c r="O45" s="11">
        <v>47173</v>
      </c>
      <c r="P45" s="11">
        <v>46942</v>
      </c>
      <c r="Q45" s="11">
        <v>46254</v>
      </c>
      <c r="R45" s="11">
        <v>44611</v>
      </c>
      <c r="S45" s="11">
        <v>46728</v>
      </c>
      <c r="T45" s="11">
        <v>45998</v>
      </c>
      <c r="U45" s="11">
        <v>34851</v>
      </c>
      <c r="V45" s="11">
        <v>35339</v>
      </c>
      <c r="W45" s="11">
        <v>33299</v>
      </c>
      <c r="X45" s="11">
        <v>35248</v>
      </c>
      <c r="Y45" s="11">
        <v>35334</v>
      </c>
      <c r="Z45" s="11">
        <v>34636</v>
      </c>
      <c r="AA45" s="11">
        <v>34103</v>
      </c>
      <c r="AB45" s="11">
        <v>33655</v>
      </c>
      <c r="AC45" s="11">
        <v>30822</v>
      </c>
      <c r="AD45" s="11">
        <v>30704</v>
      </c>
      <c r="AE45" s="11">
        <v>31375</v>
      </c>
      <c r="AF45" s="12">
        <v>31647</v>
      </c>
      <c r="AG45" s="11">
        <v>31631</v>
      </c>
    </row>
    <row r="46" spans="1:33" ht="30" customHeight="1" x14ac:dyDescent="0.25">
      <c r="A46" s="4" t="s">
        <v>159</v>
      </c>
      <c r="B46" s="5">
        <v>139.83527000000001</v>
      </c>
      <c r="C46" s="5">
        <v>165.45244</v>
      </c>
      <c r="D46" s="5">
        <v>215.128049</v>
      </c>
      <c r="E46" s="5">
        <v>256.45469200000002</v>
      </c>
      <c r="F46" s="5">
        <v>285.51457799999997</v>
      </c>
      <c r="G46" s="5">
        <v>280.459226</v>
      </c>
      <c r="H46" s="5">
        <v>217.19708</v>
      </c>
      <c r="I46" s="5">
        <v>178.71623399999999</v>
      </c>
      <c r="J46" s="5">
        <v>151.719774</v>
      </c>
      <c r="K46" s="5">
        <v>138.95854600000001</v>
      </c>
      <c r="L46" s="5">
        <v>122.92491699999999</v>
      </c>
      <c r="M46" s="5">
        <v>107.229186</v>
      </c>
      <c r="N46" s="5">
        <v>96.201341999999997</v>
      </c>
      <c r="O46" s="5">
        <v>93.342273000000006</v>
      </c>
      <c r="P46" s="5">
        <v>81.275391999999997</v>
      </c>
      <c r="Q46" s="5">
        <v>80.692892000000001</v>
      </c>
      <c r="R46" s="5">
        <v>66.651554000000004</v>
      </c>
      <c r="S46" s="5">
        <v>64.942905999999994</v>
      </c>
      <c r="T46" s="5">
        <v>65.926367999999997</v>
      </c>
      <c r="U46" s="5">
        <v>55.768948999999999</v>
      </c>
      <c r="V46" s="5">
        <v>51.109586999999998</v>
      </c>
      <c r="W46" s="5">
        <v>49.538800000000002</v>
      </c>
      <c r="X46" s="5">
        <v>46.516652000000001</v>
      </c>
      <c r="Y46" s="5">
        <v>41.581471999999998</v>
      </c>
      <c r="Z46" s="5">
        <v>47.305342000000003</v>
      </c>
      <c r="AA46" s="5">
        <v>46.293937</v>
      </c>
      <c r="AB46" s="5">
        <v>45.107630999999998</v>
      </c>
      <c r="AC46" s="5">
        <v>36.785896000000001</v>
      </c>
      <c r="AD46" s="5">
        <v>36.904508999999997</v>
      </c>
      <c r="AE46" s="5">
        <v>33.341303000000003</v>
      </c>
      <c r="AF46" s="6">
        <v>37.652715000000001</v>
      </c>
      <c r="AG46" s="5">
        <v>32.477077000000001</v>
      </c>
    </row>
    <row r="47" spans="1:33" ht="15.75" x14ac:dyDescent="0.25">
      <c r="A47" s="7" t="s">
        <v>160</v>
      </c>
      <c r="B47" s="8">
        <v>102.45769300000001</v>
      </c>
      <c r="C47" s="8">
        <v>120.155756</v>
      </c>
      <c r="D47" s="8">
        <v>154.86391699999999</v>
      </c>
      <c r="E47" s="8">
        <v>162.69617500000001</v>
      </c>
      <c r="F47" s="8">
        <v>168.54600500000001</v>
      </c>
      <c r="G47" s="8">
        <v>164.553663</v>
      </c>
      <c r="H47" s="8">
        <v>134.31518600000001</v>
      </c>
      <c r="I47" s="8">
        <v>109.41323300000001</v>
      </c>
      <c r="J47" s="8">
        <v>91.254313999999994</v>
      </c>
      <c r="K47" s="8">
        <v>83.904531000000006</v>
      </c>
      <c r="L47" s="8">
        <v>77.229928999999998</v>
      </c>
      <c r="M47" s="8">
        <v>68.753747000000004</v>
      </c>
      <c r="N47" s="8">
        <v>62.560454999999997</v>
      </c>
      <c r="O47" s="8">
        <v>62.329977999999997</v>
      </c>
      <c r="P47" s="8">
        <v>53.974024999999997</v>
      </c>
      <c r="Q47" s="8">
        <v>56.812513000000003</v>
      </c>
      <c r="R47" s="8">
        <v>46.032465000000002</v>
      </c>
      <c r="S47" s="8">
        <v>47.024352</v>
      </c>
      <c r="T47" s="8">
        <v>48.452375000000004</v>
      </c>
      <c r="U47" s="8">
        <v>41.729345000000002</v>
      </c>
      <c r="V47" s="8">
        <v>39.439061000000002</v>
      </c>
      <c r="W47" s="8">
        <v>35.718010999999997</v>
      </c>
      <c r="X47" s="8">
        <v>34.239082000000003</v>
      </c>
      <c r="Y47" s="8">
        <v>30.229851</v>
      </c>
      <c r="Z47" s="8">
        <v>33.602164000000002</v>
      </c>
      <c r="AA47" s="8">
        <v>33.431981999999998</v>
      </c>
      <c r="AB47" s="8">
        <v>32.359772</v>
      </c>
      <c r="AC47" s="8">
        <v>25.336886</v>
      </c>
      <c r="AD47" s="8">
        <v>23.518775999999999</v>
      </c>
      <c r="AE47" s="8">
        <v>21.805384</v>
      </c>
      <c r="AF47" s="9">
        <v>24.217313000000001</v>
      </c>
      <c r="AG47" s="8">
        <v>21.140844999999999</v>
      </c>
    </row>
    <row r="48" spans="1:33" ht="15.75" x14ac:dyDescent="0.25">
      <c r="A48" s="7" t="s">
        <v>161</v>
      </c>
      <c r="B48" s="8">
        <v>23.179786</v>
      </c>
      <c r="C48" s="8">
        <v>22.353460999999999</v>
      </c>
      <c r="D48" s="8">
        <v>28.970735000000001</v>
      </c>
      <c r="E48" s="8">
        <v>34.571942</v>
      </c>
      <c r="F48" s="8">
        <v>36.144824999999997</v>
      </c>
      <c r="G48" s="8">
        <v>32.351365000000001</v>
      </c>
      <c r="H48" s="8">
        <v>23.336421000000001</v>
      </c>
      <c r="I48" s="8">
        <v>19.877827</v>
      </c>
      <c r="J48" s="8">
        <v>18.879003000000001</v>
      </c>
      <c r="K48" s="8">
        <v>16.107213000000002</v>
      </c>
      <c r="L48" s="8">
        <v>13.966141</v>
      </c>
      <c r="M48" s="8">
        <v>12.060122</v>
      </c>
      <c r="N48" s="8">
        <v>10.153867999999999</v>
      </c>
      <c r="O48" s="8">
        <v>9.7983060000000002</v>
      </c>
      <c r="P48" s="8">
        <v>8.4500790000000006</v>
      </c>
      <c r="Q48" s="8">
        <v>7.5846689999999999</v>
      </c>
      <c r="R48" s="8">
        <v>6.1600330000000003</v>
      </c>
      <c r="S48" s="8">
        <v>5.174976</v>
      </c>
      <c r="T48" s="8">
        <v>5.0289979999999996</v>
      </c>
      <c r="U48" s="8">
        <v>4.4568680000000001</v>
      </c>
      <c r="V48" s="8">
        <v>3.3339840000000001</v>
      </c>
      <c r="W48" s="8">
        <v>3.3409360000000001</v>
      </c>
      <c r="X48" s="8">
        <v>4.0301739999999997</v>
      </c>
      <c r="Y48" s="8">
        <v>3.0850550000000001</v>
      </c>
      <c r="Z48" s="8">
        <v>4.1782640000000004</v>
      </c>
      <c r="AA48" s="8">
        <v>4.0633509999999999</v>
      </c>
      <c r="AB48" s="8">
        <v>3.9186049999999999</v>
      </c>
      <c r="AC48" s="8">
        <v>4.9923840000000004</v>
      </c>
      <c r="AD48" s="8">
        <v>4.5647130000000002</v>
      </c>
      <c r="AE48" s="8">
        <v>5.1707599999999996</v>
      </c>
      <c r="AF48" s="9">
        <v>4.9103440000000003</v>
      </c>
      <c r="AG48" s="8">
        <v>4.855836</v>
      </c>
    </row>
    <row r="49" spans="1:33" ht="15.75" x14ac:dyDescent="0.25">
      <c r="A49" s="7" t="s">
        <v>162</v>
      </c>
      <c r="B49" s="8">
        <v>14.197792</v>
      </c>
      <c r="C49" s="8">
        <v>22.943223</v>
      </c>
      <c r="D49" s="8">
        <v>31.293396999999999</v>
      </c>
      <c r="E49" s="8">
        <v>59.186574999999998</v>
      </c>
      <c r="F49" s="8">
        <v>80.823747999999995</v>
      </c>
      <c r="G49" s="8">
        <v>83.554198999999997</v>
      </c>
      <c r="H49" s="8">
        <v>59.545473000000001</v>
      </c>
      <c r="I49" s="8">
        <v>49.425173999999998</v>
      </c>
      <c r="J49" s="8">
        <v>41.586457000000003</v>
      </c>
      <c r="K49" s="8">
        <v>38.946801999999998</v>
      </c>
      <c r="L49" s="8">
        <v>31.728846999999998</v>
      </c>
      <c r="M49" s="8">
        <v>26.415317000000002</v>
      </c>
      <c r="N49" s="8">
        <v>23.487019</v>
      </c>
      <c r="O49" s="8">
        <v>21.213988000000001</v>
      </c>
      <c r="P49" s="8">
        <v>18.851286999999999</v>
      </c>
      <c r="Q49" s="8">
        <v>16.29571</v>
      </c>
      <c r="R49" s="8">
        <v>14.459054999999999</v>
      </c>
      <c r="S49" s="8">
        <v>12.743577999999999</v>
      </c>
      <c r="T49" s="8">
        <v>12.444996</v>
      </c>
      <c r="U49" s="8">
        <v>9.5827369999999998</v>
      </c>
      <c r="V49" s="8">
        <v>8.3365419999999997</v>
      </c>
      <c r="W49" s="8">
        <v>10.479853</v>
      </c>
      <c r="X49" s="8">
        <v>8.2473960000000002</v>
      </c>
      <c r="Y49" s="8">
        <v>8.2665649999999999</v>
      </c>
      <c r="Z49" s="8">
        <v>9.5249140000000008</v>
      </c>
      <c r="AA49" s="8">
        <v>8.798603</v>
      </c>
      <c r="AB49" s="8">
        <v>8.8292549999999999</v>
      </c>
      <c r="AC49" s="8">
        <v>6.456626</v>
      </c>
      <c r="AD49" s="8">
        <v>8.8210189999999997</v>
      </c>
      <c r="AE49" s="8">
        <v>6.3651590000000002</v>
      </c>
      <c r="AF49" s="9">
        <v>8.5250579999999996</v>
      </c>
      <c r="AG49" s="8">
        <v>6.4803959999999998</v>
      </c>
    </row>
    <row r="50" spans="1:33" ht="30" customHeight="1" x14ac:dyDescent="0.25">
      <c r="A50" s="4" t="s">
        <v>234</v>
      </c>
      <c r="B50" s="5">
        <v>127.874004</v>
      </c>
      <c r="C50" s="5">
        <v>133.22885299999999</v>
      </c>
      <c r="D50" s="5">
        <v>119.47662699999999</v>
      </c>
      <c r="E50" s="5">
        <v>112.263054</v>
      </c>
      <c r="F50" s="5">
        <v>117.533022</v>
      </c>
      <c r="G50" s="5">
        <v>120.651293</v>
      </c>
      <c r="H50" s="5">
        <v>103.950456</v>
      </c>
      <c r="I50" s="5">
        <v>97.859397000000001</v>
      </c>
      <c r="J50" s="5">
        <v>92.826819999999998</v>
      </c>
      <c r="K50" s="5">
        <v>91.335913000000005</v>
      </c>
      <c r="L50" s="5">
        <v>84.736664000000005</v>
      </c>
      <c r="M50" s="5">
        <v>90.173816000000002</v>
      </c>
      <c r="N50" s="5">
        <v>95.008545999999996</v>
      </c>
      <c r="O50" s="5">
        <v>105.85744099999999</v>
      </c>
      <c r="P50" s="5">
        <v>95.238339999999994</v>
      </c>
      <c r="Q50" s="5">
        <v>99.686702999999994</v>
      </c>
      <c r="R50" s="5">
        <v>86.634338999999997</v>
      </c>
      <c r="S50" s="5">
        <v>80.413762000000006</v>
      </c>
      <c r="T50" s="5">
        <v>74.464140999999998</v>
      </c>
      <c r="U50" s="5">
        <v>66.540255999999999</v>
      </c>
      <c r="V50" s="5">
        <v>55.026797000000002</v>
      </c>
      <c r="W50" s="5">
        <v>47.4392</v>
      </c>
      <c r="X50" s="5">
        <v>44.052185000000001</v>
      </c>
      <c r="Y50" s="5">
        <v>41.828378999999998</v>
      </c>
      <c r="Z50" s="5">
        <v>35.799726999999997</v>
      </c>
      <c r="AA50" s="5">
        <v>41.838813000000002</v>
      </c>
      <c r="AB50" s="5">
        <v>34.458922999999999</v>
      </c>
      <c r="AC50" s="5">
        <v>22.249134000000002</v>
      </c>
      <c r="AD50" s="5">
        <v>20.374870000000001</v>
      </c>
      <c r="AE50" s="5">
        <v>18.742498000000001</v>
      </c>
      <c r="AF50" s="6">
        <v>21.332657000000001</v>
      </c>
      <c r="AG50" s="5">
        <v>18.124936999999999</v>
      </c>
    </row>
    <row r="51" spans="1:33" ht="30" customHeight="1" x14ac:dyDescent="0.25">
      <c r="A51" s="10" t="s">
        <v>235</v>
      </c>
      <c r="B51" s="11">
        <v>6864</v>
      </c>
      <c r="C51" s="11">
        <v>8074</v>
      </c>
      <c r="D51" s="11">
        <v>7842</v>
      </c>
      <c r="E51" s="11">
        <v>7247</v>
      </c>
      <c r="F51" s="11">
        <v>10465</v>
      </c>
      <c r="G51" s="11">
        <v>11721</v>
      </c>
      <c r="H51" s="11">
        <v>10930</v>
      </c>
      <c r="I51" s="11">
        <v>15042</v>
      </c>
      <c r="J51" s="11">
        <v>25071</v>
      </c>
      <c r="K51" s="11">
        <v>28151</v>
      </c>
      <c r="L51" s="11">
        <v>29457</v>
      </c>
      <c r="M51" s="11">
        <v>35458</v>
      </c>
      <c r="N51" s="11">
        <v>38144</v>
      </c>
      <c r="O51" s="11">
        <v>37638</v>
      </c>
      <c r="P51" s="11">
        <v>37621</v>
      </c>
      <c r="Q51" s="11">
        <v>36882</v>
      </c>
      <c r="R51" s="11">
        <v>35618</v>
      </c>
      <c r="S51" s="11">
        <v>37248</v>
      </c>
      <c r="T51" s="11">
        <v>36566</v>
      </c>
      <c r="U51" s="11">
        <v>27368</v>
      </c>
      <c r="V51" s="11">
        <v>27749</v>
      </c>
      <c r="W51" s="11">
        <v>26339</v>
      </c>
      <c r="X51" s="11">
        <v>28252</v>
      </c>
      <c r="Y51" s="11">
        <v>28216</v>
      </c>
      <c r="Z51" s="11">
        <v>27912</v>
      </c>
      <c r="AA51" s="11">
        <v>27455</v>
      </c>
      <c r="AB51" s="11">
        <v>27091</v>
      </c>
      <c r="AC51" s="11">
        <v>24733</v>
      </c>
      <c r="AD51" s="11">
        <v>23479</v>
      </c>
      <c r="AE51" s="11">
        <v>24003</v>
      </c>
      <c r="AF51" s="12">
        <v>24065</v>
      </c>
      <c r="AG51" s="11">
        <v>24230</v>
      </c>
    </row>
    <row r="52" spans="1:33" ht="30" customHeight="1" x14ac:dyDescent="0.25">
      <c r="A52" s="4" t="s">
        <v>233</v>
      </c>
      <c r="B52" s="5">
        <v>28.170480000000001</v>
      </c>
      <c r="C52" s="5">
        <v>34.912553000000003</v>
      </c>
      <c r="D52" s="5">
        <v>45.117998999999998</v>
      </c>
      <c r="E52" s="5">
        <v>67.034306999999998</v>
      </c>
      <c r="F52" s="5">
        <v>63.508980999999999</v>
      </c>
      <c r="G52" s="5">
        <v>70.714254999999994</v>
      </c>
      <c r="H52" s="5">
        <v>55.583764000000002</v>
      </c>
      <c r="I52" s="5">
        <v>39.641193999999999</v>
      </c>
      <c r="J52" s="5">
        <v>40.900123999999998</v>
      </c>
      <c r="K52" s="5">
        <v>38.212029000000001</v>
      </c>
      <c r="L52" s="5">
        <v>38.899293</v>
      </c>
      <c r="M52" s="5">
        <v>41.369821000000002</v>
      </c>
      <c r="N52" s="5">
        <v>44.833821999999998</v>
      </c>
      <c r="O52" s="5">
        <v>45.522174999999997</v>
      </c>
      <c r="P52" s="5">
        <v>42.475110000000001</v>
      </c>
      <c r="Q52" s="5">
        <v>51.795155000000001</v>
      </c>
      <c r="R52" s="5">
        <v>44.978895000000001</v>
      </c>
      <c r="S52" s="5">
        <v>49.203265999999999</v>
      </c>
      <c r="T52" s="5">
        <v>37.841619000000001</v>
      </c>
      <c r="U52" s="5">
        <v>36.148637000000001</v>
      </c>
      <c r="V52" s="5">
        <v>30.132465</v>
      </c>
      <c r="W52" s="5">
        <v>30.616109999999999</v>
      </c>
      <c r="X52" s="5">
        <v>25.565422000000002</v>
      </c>
      <c r="Y52" s="5">
        <v>23.212066</v>
      </c>
      <c r="Z52" s="5">
        <v>24.269552999999998</v>
      </c>
      <c r="AA52" s="5">
        <v>25.811384</v>
      </c>
      <c r="AB52" s="5">
        <v>21.933769000000002</v>
      </c>
      <c r="AC52" s="5">
        <v>19.891038999999999</v>
      </c>
      <c r="AD52" s="5">
        <v>17.836659999999998</v>
      </c>
      <c r="AE52" s="5">
        <v>15.892728999999999</v>
      </c>
      <c r="AF52" s="6">
        <v>17.778366999999999</v>
      </c>
      <c r="AG52" s="5">
        <v>16.57273</v>
      </c>
    </row>
    <row r="53" spans="1:33" ht="30" customHeight="1" x14ac:dyDescent="0.25">
      <c r="A53" s="10" t="s">
        <v>236</v>
      </c>
      <c r="B53" s="11">
        <v>4241</v>
      </c>
      <c r="C53" s="11">
        <v>5190</v>
      </c>
      <c r="D53" s="11">
        <v>4808</v>
      </c>
      <c r="E53" s="11">
        <v>4021</v>
      </c>
      <c r="F53" s="11">
        <v>6171</v>
      </c>
      <c r="G53" s="11">
        <v>6863</v>
      </c>
      <c r="H53" s="11">
        <v>6362</v>
      </c>
      <c r="I53" s="11">
        <v>8568</v>
      </c>
      <c r="J53" s="11">
        <v>13525</v>
      </c>
      <c r="K53" s="11">
        <v>15592</v>
      </c>
      <c r="L53" s="11">
        <v>16070</v>
      </c>
      <c r="M53" s="11">
        <v>19378</v>
      </c>
      <c r="N53" s="11">
        <v>20917</v>
      </c>
      <c r="O53" s="11">
        <v>21106</v>
      </c>
      <c r="P53" s="11">
        <v>20846</v>
      </c>
      <c r="Q53" s="11">
        <v>20636</v>
      </c>
      <c r="R53" s="11">
        <v>20129</v>
      </c>
      <c r="S53" s="11">
        <v>20736</v>
      </c>
      <c r="T53" s="11">
        <v>22087</v>
      </c>
      <c r="U53" s="11">
        <v>16646</v>
      </c>
      <c r="V53" s="11">
        <v>16891</v>
      </c>
      <c r="W53" s="11">
        <v>15859</v>
      </c>
      <c r="X53" s="11">
        <v>16811</v>
      </c>
      <c r="Y53" s="11">
        <v>16824</v>
      </c>
      <c r="Z53" s="11">
        <v>16259</v>
      </c>
      <c r="AA53" s="11">
        <v>15821</v>
      </c>
      <c r="AB53" s="11">
        <v>15283</v>
      </c>
      <c r="AC53" s="11">
        <v>12850</v>
      </c>
      <c r="AD53" s="11">
        <v>11825</v>
      </c>
      <c r="AE53" s="11">
        <v>11964</v>
      </c>
      <c r="AF53" s="12">
        <v>12317</v>
      </c>
      <c r="AG53" s="11">
        <v>11867</v>
      </c>
    </row>
    <row r="54" spans="1:33" ht="30" customHeight="1" x14ac:dyDescent="0.25">
      <c r="A54" s="4" t="s">
        <v>237</v>
      </c>
      <c r="B54" s="5">
        <v>151.422169</v>
      </c>
      <c r="C54" s="5">
        <v>152.18504899999999</v>
      </c>
      <c r="D54" s="5">
        <v>153.288318</v>
      </c>
      <c r="E54" s="5">
        <v>131.97808599999999</v>
      </c>
      <c r="F54" s="5">
        <v>160.843332</v>
      </c>
      <c r="G54" s="5">
        <v>162.90495100000001</v>
      </c>
      <c r="H54" s="5">
        <v>145.40841</v>
      </c>
      <c r="I54" s="5">
        <v>135.59528</v>
      </c>
      <c r="J54" s="5">
        <v>123.222756</v>
      </c>
      <c r="K54" s="5">
        <v>118.58276600000001</v>
      </c>
      <c r="L54" s="5">
        <v>112.016024</v>
      </c>
      <c r="M54" s="5">
        <v>113.786815</v>
      </c>
      <c r="N54" s="5">
        <v>119.79432</v>
      </c>
      <c r="O54" s="5">
        <v>130.296449</v>
      </c>
      <c r="P54" s="5">
        <v>115.994938</v>
      </c>
      <c r="Q54" s="5">
        <v>117.82438</v>
      </c>
      <c r="R54" s="5">
        <v>103.89979599999999</v>
      </c>
      <c r="S54" s="5">
        <v>93.603477999999996</v>
      </c>
      <c r="T54" s="5">
        <v>86.862472999999994</v>
      </c>
      <c r="U54" s="5">
        <v>73.610027000000002</v>
      </c>
      <c r="V54" s="5">
        <v>60.851087</v>
      </c>
      <c r="W54" s="5">
        <v>55.7346</v>
      </c>
      <c r="X54" s="5">
        <v>49.949168</v>
      </c>
      <c r="Y54" s="5">
        <v>47.685442000000002</v>
      </c>
      <c r="Z54" s="5">
        <v>43.735467999999997</v>
      </c>
      <c r="AA54" s="5">
        <v>46.666836000000004</v>
      </c>
      <c r="AB54" s="5">
        <v>40.364842000000003</v>
      </c>
      <c r="AC54" s="5">
        <v>26.347064</v>
      </c>
      <c r="AD54" s="5">
        <v>26.172302999999999</v>
      </c>
      <c r="AE54" s="5">
        <v>23.791032999999999</v>
      </c>
      <c r="AF54" s="6">
        <v>26.252934</v>
      </c>
      <c r="AG54" s="5">
        <v>22.925083000000001</v>
      </c>
    </row>
    <row r="55" spans="1:33" ht="15.75" x14ac:dyDescent="0.25">
      <c r="A55" s="7" t="s">
        <v>165</v>
      </c>
      <c r="B55" s="8">
        <v>86.593722</v>
      </c>
      <c r="C55" s="8">
        <v>92.363001999999994</v>
      </c>
      <c r="D55" s="8">
        <v>84.397816000000006</v>
      </c>
      <c r="E55" s="8">
        <v>82.280923999999999</v>
      </c>
      <c r="F55" s="8">
        <v>86.770325999999997</v>
      </c>
      <c r="G55" s="8">
        <v>88.892708999999996</v>
      </c>
      <c r="H55" s="8">
        <v>79.199236999999997</v>
      </c>
      <c r="I55" s="8">
        <v>74.991641999999999</v>
      </c>
      <c r="J55" s="8">
        <v>69.671571999999998</v>
      </c>
      <c r="K55" s="8">
        <v>69.559754999999996</v>
      </c>
      <c r="L55" s="8">
        <v>64.332688000000005</v>
      </c>
      <c r="M55" s="8">
        <v>69.116095999999999</v>
      </c>
      <c r="N55" s="8">
        <v>73.798450000000003</v>
      </c>
      <c r="O55" s="8">
        <v>81.918059</v>
      </c>
      <c r="P55" s="8">
        <v>74.227217999999993</v>
      </c>
      <c r="Q55" s="8">
        <v>77.616432000000003</v>
      </c>
      <c r="R55" s="8">
        <v>67.432873999999998</v>
      </c>
      <c r="S55" s="8">
        <v>62.391589000000003</v>
      </c>
      <c r="T55" s="8">
        <v>57.652437999999997</v>
      </c>
      <c r="U55" s="8">
        <v>51.075851999999998</v>
      </c>
      <c r="V55" s="8">
        <v>42.020552000000002</v>
      </c>
      <c r="W55" s="8">
        <v>36.580015000000003</v>
      </c>
      <c r="X55" s="8">
        <v>34.360466000000002</v>
      </c>
      <c r="Y55" s="8">
        <v>32.520341000000002</v>
      </c>
      <c r="Z55" s="8">
        <v>28.001611</v>
      </c>
      <c r="AA55" s="8">
        <v>33.182751000000003</v>
      </c>
      <c r="AB55" s="8">
        <v>27.308091999999998</v>
      </c>
      <c r="AC55" s="8">
        <v>17.431449000000001</v>
      </c>
      <c r="AD55" s="8">
        <v>15.818644000000001</v>
      </c>
      <c r="AE55" s="8">
        <v>14.587954999999999</v>
      </c>
      <c r="AF55" s="9">
        <v>16.599594</v>
      </c>
      <c r="AG55" s="8">
        <v>14.347466000000001</v>
      </c>
    </row>
    <row r="56" spans="1:33" ht="15.75" x14ac:dyDescent="0.25">
      <c r="A56" s="7" t="s">
        <v>166</v>
      </c>
      <c r="B56" s="8">
        <v>64.828446999999997</v>
      </c>
      <c r="C56" s="8">
        <v>59.822046999999998</v>
      </c>
      <c r="D56" s="8">
        <v>68.890501</v>
      </c>
      <c r="E56" s="8">
        <v>49.697161999999999</v>
      </c>
      <c r="F56" s="8">
        <v>74.073006000000007</v>
      </c>
      <c r="G56" s="8">
        <v>74.012242999999998</v>
      </c>
      <c r="H56" s="8">
        <v>66.209173000000007</v>
      </c>
      <c r="I56" s="8">
        <v>60.603637999999997</v>
      </c>
      <c r="J56" s="8">
        <v>53.551183999999999</v>
      </c>
      <c r="K56" s="8">
        <v>49.023010999999997</v>
      </c>
      <c r="L56" s="8">
        <v>47.683335999999997</v>
      </c>
      <c r="M56" s="8">
        <v>44.670718999999998</v>
      </c>
      <c r="N56" s="8">
        <v>45.995869999999996</v>
      </c>
      <c r="O56" s="8">
        <v>48.378390000000003</v>
      </c>
      <c r="P56" s="8">
        <v>41.767719999999997</v>
      </c>
      <c r="Q56" s="8">
        <v>40.207948000000002</v>
      </c>
      <c r="R56" s="8">
        <v>36.466921999999997</v>
      </c>
      <c r="S56" s="8">
        <v>31.21189</v>
      </c>
      <c r="T56" s="8">
        <v>29.210035999999999</v>
      </c>
      <c r="U56" s="8">
        <v>22.534175000000001</v>
      </c>
      <c r="V56" s="8">
        <v>18.830535000000001</v>
      </c>
      <c r="W56" s="8">
        <v>19.154585000000001</v>
      </c>
      <c r="X56" s="8">
        <v>15.588702</v>
      </c>
      <c r="Y56" s="8">
        <v>15.165101</v>
      </c>
      <c r="Z56" s="8">
        <v>15.733855999999999</v>
      </c>
      <c r="AA56" s="8">
        <v>13.484085</v>
      </c>
      <c r="AB56" s="8">
        <v>13.056751</v>
      </c>
      <c r="AC56" s="8">
        <v>8.9156150000000007</v>
      </c>
      <c r="AD56" s="8">
        <v>10.353659</v>
      </c>
      <c r="AE56" s="8">
        <v>9.2030779999999996</v>
      </c>
      <c r="AF56" s="9">
        <v>9.65334</v>
      </c>
      <c r="AG56" s="8">
        <v>8.5776179999999993</v>
      </c>
    </row>
    <row r="57" spans="1:33" ht="30" customHeight="1" x14ac:dyDescent="0.25">
      <c r="A57" s="10" t="s">
        <v>167</v>
      </c>
      <c r="B57" s="11">
        <v>9916</v>
      </c>
      <c r="C57" s="11">
        <v>11030</v>
      </c>
      <c r="D57" s="11">
        <v>10392</v>
      </c>
      <c r="E57" s="11">
        <v>10043</v>
      </c>
      <c r="F57" s="11">
        <v>14491</v>
      </c>
      <c r="G57" s="11">
        <v>16310</v>
      </c>
      <c r="H57" s="11">
        <v>14900</v>
      </c>
      <c r="I57" s="11">
        <v>19357</v>
      </c>
      <c r="J57" s="11">
        <v>32782</v>
      </c>
      <c r="K57" s="11">
        <v>36447</v>
      </c>
      <c r="L57" s="11">
        <v>37890</v>
      </c>
      <c r="M57" s="11">
        <v>45081</v>
      </c>
      <c r="N57" s="11">
        <v>47768</v>
      </c>
      <c r="O57" s="11">
        <v>47173</v>
      </c>
      <c r="P57" s="11">
        <v>46942</v>
      </c>
      <c r="Q57" s="11">
        <v>46254</v>
      </c>
      <c r="R57" s="11">
        <v>44611</v>
      </c>
      <c r="S57" s="11">
        <v>46728</v>
      </c>
      <c r="T57" s="11">
        <v>45998</v>
      </c>
      <c r="U57" s="11">
        <v>34851</v>
      </c>
      <c r="V57" s="11">
        <v>35339</v>
      </c>
      <c r="W57" s="11">
        <v>33299</v>
      </c>
      <c r="X57" s="11">
        <v>35248</v>
      </c>
      <c r="Y57" s="11">
        <v>35334</v>
      </c>
      <c r="Z57" s="11">
        <v>34636</v>
      </c>
      <c r="AA57" s="11">
        <v>34103</v>
      </c>
      <c r="AB57" s="11">
        <v>33655</v>
      </c>
      <c r="AC57" s="11">
        <v>30822</v>
      </c>
      <c r="AD57" s="11">
        <v>30704</v>
      </c>
      <c r="AE57" s="11">
        <v>31375</v>
      </c>
      <c r="AF57" s="12">
        <v>31647</v>
      </c>
      <c r="AG57" s="11">
        <v>31631</v>
      </c>
    </row>
    <row r="58" spans="1:33" ht="30" customHeight="1" x14ac:dyDescent="0.25">
      <c r="A58" s="4" t="s">
        <v>238</v>
      </c>
      <c r="B58" s="5" t="s">
        <v>169</v>
      </c>
      <c r="C58" s="5" t="s">
        <v>169</v>
      </c>
      <c r="D58" s="5" t="s">
        <v>169</v>
      </c>
      <c r="E58" s="5" t="s">
        <v>169</v>
      </c>
      <c r="F58" s="5" t="s">
        <v>169</v>
      </c>
      <c r="G58" s="5" t="s">
        <v>169</v>
      </c>
      <c r="H58" s="5" t="s">
        <v>169</v>
      </c>
      <c r="I58" s="5" t="s">
        <v>169</v>
      </c>
      <c r="J58" s="5" t="s">
        <v>169</v>
      </c>
      <c r="K58" s="5" t="s">
        <v>169</v>
      </c>
      <c r="L58" s="5" t="s">
        <v>169</v>
      </c>
      <c r="M58" s="5" t="s">
        <v>169</v>
      </c>
      <c r="N58" s="5" t="s">
        <v>169</v>
      </c>
      <c r="O58" s="5" t="s">
        <v>169</v>
      </c>
      <c r="P58" s="5" t="s">
        <v>169</v>
      </c>
      <c r="Q58" s="5" t="s">
        <v>169</v>
      </c>
      <c r="R58" s="5" t="s">
        <v>169</v>
      </c>
      <c r="S58" s="5" t="s">
        <v>169</v>
      </c>
      <c r="T58" s="5" t="s">
        <v>169</v>
      </c>
      <c r="U58" s="5" t="s">
        <v>169</v>
      </c>
      <c r="V58" s="5" t="s">
        <v>169</v>
      </c>
      <c r="W58" s="5" t="s">
        <v>169</v>
      </c>
      <c r="X58" s="5" t="s">
        <v>169</v>
      </c>
      <c r="Y58" s="5" t="s">
        <v>169</v>
      </c>
      <c r="Z58" s="5" t="s">
        <v>169</v>
      </c>
      <c r="AA58" s="5" t="s">
        <v>169</v>
      </c>
      <c r="AB58" s="5" t="s">
        <v>169</v>
      </c>
      <c r="AC58" s="5" t="s">
        <v>169</v>
      </c>
      <c r="AD58" s="5" t="s">
        <v>169</v>
      </c>
      <c r="AE58" s="5" t="s">
        <v>169</v>
      </c>
      <c r="AF58" s="6" t="s">
        <v>169</v>
      </c>
      <c r="AG58" s="5" t="s">
        <v>169</v>
      </c>
    </row>
    <row r="59" spans="1:33" ht="30" customHeight="1" x14ac:dyDescent="0.25">
      <c r="A59" s="10" t="s">
        <v>146</v>
      </c>
      <c r="B59" s="11">
        <v>9898</v>
      </c>
      <c r="C59" s="11">
        <v>11017</v>
      </c>
      <c r="D59" s="11">
        <v>10391</v>
      </c>
      <c r="E59" s="11">
        <v>10059</v>
      </c>
      <c r="F59" s="11">
        <v>14510</v>
      </c>
      <c r="G59" s="11">
        <v>16337</v>
      </c>
      <c r="H59" s="11">
        <v>14937</v>
      </c>
      <c r="I59" s="11">
        <v>19398</v>
      </c>
      <c r="J59" s="11">
        <v>32787</v>
      </c>
      <c r="K59" s="11">
        <v>36450</v>
      </c>
      <c r="L59" s="11">
        <v>37891</v>
      </c>
      <c r="M59" s="11">
        <v>45118</v>
      </c>
      <c r="N59" s="11">
        <v>47796</v>
      </c>
      <c r="O59" s="11">
        <v>47138</v>
      </c>
      <c r="P59" s="11">
        <v>46911</v>
      </c>
      <c r="Q59" s="11">
        <v>46220</v>
      </c>
      <c r="R59" s="11">
        <v>44559</v>
      </c>
      <c r="S59" s="11">
        <v>46754</v>
      </c>
      <c r="T59" s="11">
        <v>46031</v>
      </c>
      <c r="U59" s="11">
        <v>34880</v>
      </c>
      <c r="V59" s="11">
        <v>35371</v>
      </c>
      <c r="W59" s="11">
        <v>33350</v>
      </c>
      <c r="X59" s="11">
        <v>35324</v>
      </c>
      <c r="Y59" s="11">
        <v>35420</v>
      </c>
      <c r="Z59" s="11">
        <v>34715</v>
      </c>
      <c r="AA59" s="11">
        <v>34163</v>
      </c>
      <c r="AB59" s="11">
        <v>33734</v>
      </c>
      <c r="AC59" s="11">
        <v>31183</v>
      </c>
      <c r="AD59" s="11">
        <v>30847</v>
      </c>
      <c r="AE59" s="11">
        <v>31532</v>
      </c>
      <c r="AF59" s="12">
        <v>31799</v>
      </c>
      <c r="AG59" s="11">
        <v>31791</v>
      </c>
    </row>
    <row r="60" spans="1:33" ht="30" customHeight="1" x14ac:dyDescent="0.25">
      <c r="A60" s="4" t="s">
        <v>1475</v>
      </c>
      <c r="B60" s="5" t="s">
        <v>169</v>
      </c>
      <c r="C60" s="5" t="s">
        <v>169</v>
      </c>
      <c r="D60" s="5" t="s">
        <v>169</v>
      </c>
      <c r="E60" s="5" t="s">
        <v>169</v>
      </c>
      <c r="F60" s="5" t="s">
        <v>169</v>
      </c>
      <c r="G60" s="5" t="s">
        <v>169</v>
      </c>
      <c r="H60" s="5" t="s">
        <v>169</v>
      </c>
      <c r="I60" s="5" t="s">
        <v>169</v>
      </c>
      <c r="J60" s="5" t="s">
        <v>169</v>
      </c>
      <c r="K60" s="5" t="s">
        <v>169</v>
      </c>
      <c r="L60" s="5" t="s">
        <v>169</v>
      </c>
      <c r="M60" s="5" t="s">
        <v>169</v>
      </c>
      <c r="N60" s="5" t="s">
        <v>169</v>
      </c>
      <c r="O60" s="5" t="s">
        <v>169</v>
      </c>
      <c r="P60" s="5" t="s">
        <v>169</v>
      </c>
      <c r="Q60" s="5" t="s">
        <v>169</v>
      </c>
      <c r="R60" s="5" t="s">
        <v>169</v>
      </c>
      <c r="S60" s="5" t="s">
        <v>169</v>
      </c>
      <c r="T60" s="5" t="s">
        <v>169</v>
      </c>
      <c r="U60" s="5" t="s">
        <v>169</v>
      </c>
      <c r="V60" s="5" t="s">
        <v>169</v>
      </c>
      <c r="W60" s="5" t="s">
        <v>169</v>
      </c>
      <c r="X60" s="5" t="s">
        <v>169</v>
      </c>
      <c r="Y60" s="5">
        <v>73.453971999999993</v>
      </c>
      <c r="Z60" s="5">
        <v>69.949991999999995</v>
      </c>
      <c r="AA60" s="5">
        <v>81.345414000000005</v>
      </c>
      <c r="AB60" s="5">
        <v>78.029065000000003</v>
      </c>
      <c r="AC60" s="5">
        <v>73.675385000000006</v>
      </c>
      <c r="AD60" s="5">
        <v>65.980992000000001</v>
      </c>
      <c r="AE60" s="5">
        <v>85.837900000000005</v>
      </c>
      <c r="AF60" s="6">
        <v>73.835368000000003</v>
      </c>
      <c r="AG60" s="5">
        <v>83.910694000000007</v>
      </c>
    </row>
    <row r="61" spans="1:33" ht="15.75" x14ac:dyDescent="0.25">
      <c r="A61" s="7" t="s">
        <v>170</v>
      </c>
      <c r="B61" s="8" t="s">
        <v>169</v>
      </c>
      <c r="C61" s="8" t="s">
        <v>169</v>
      </c>
      <c r="D61" s="8" t="s">
        <v>169</v>
      </c>
      <c r="E61" s="8" t="s">
        <v>169</v>
      </c>
      <c r="F61" s="8" t="s">
        <v>169</v>
      </c>
      <c r="G61" s="8" t="s">
        <v>169</v>
      </c>
      <c r="H61" s="8" t="s">
        <v>169</v>
      </c>
      <c r="I61" s="8" t="s">
        <v>169</v>
      </c>
      <c r="J61" s="8" t="s">
        <v>169</v>
      </c>
      <c r="K61" s="8" t="s">
        <v>169</v>
      </c>
      <c r="L61" s="8" t="s">
        <v>169</v>
      </c>
      <c r="M61" s="8" t="s">
        <v>169</v>
      </c>
      <c r="N61" s="8" t="s">
        <v>169</v>
      </c>
      <c r="O61" s="8" t="s">
        <v>169</v>
      </c>
      <c r="P61" s="8" t="s">
        <v>169</v>
      </c>
      <c r="Q61" s="8" t="s">
        <v>169</v>
      </c>
      <c r="R61" s="8" t="s">
        <v>169</v>
      </c>
      <c r="S61" s="8" t="s">
        <v>169</v>
      </c>
      <c r="T61" s="8" t="s">
        <v>169</v>
      </c>
      <c r="U61" s="8" t="s">
        <v>169</v>
      </c>
      <c r="V61" s="8" t="s">
        <v>169</v>
      </c>
      <c r="W61" s="8" t="s">
        <v>169</v>
      </c>
      <c r="X61" s="8" t="s">
        <v>169</v>
      </c>
      <c r="Y61" s="8">
        <v>53.765433000000002</v>
      </c>
      <c r="Z61" s="8">
        <v>48.163282000000002</v>
      </c>
      <c r="AA61" s="8">
        <v>55.079982000000001</v>
      </c>
      <c r="AB61" s="8">
        <v>52.512157999999999</v>
      </c>
      <c r="AC61" s="8">
        <v>44.618710999999998</v>
      </c>
      <c r="AD61" s="8">
        <v>39.150480000000002</v>
      </c>
      <c r="AE61" s="8">
        <v>50.558141999999997</v>
      </c>
      <c r="AF61" s="9">
        <v>43.382325000000002</v>
      </c>
      <c r="AG61" s="8">
        <v>51.408886000000003</v>
      </c>
    </row>
    <row r="62" spans="1:33" ht="15.75" x14ac:dyDescent="0.25">
      <c r="A62" s="7" t="s">
        <v>171</v>
      </c>
      <c r="B62" s="8" t="s">
        <v>169</v>
      </c>
      <c r="C62" s="8" t="s">
        <v>169</v>
      </c>
      <c r="D62" s="8" t="s">
        <v>169</v>
      </c>
      <c r="E62" s="8" t="s">
        <v>169</v>
      </c>
      <c r="F62" s="8" t="s">
        <v>169</v>
      </c>
      <c r="G62" s="8" t="s">
        <v>169</v>
      </c>
      <c r="H62" s="8" t="s">
        <v>169</v>
      </c>
      <c r="I62" s="8" t="s">
        <v>169</v>
      </c>
      <c r="J62" s="8" t="s">
        <v>169</v>
      </c>
      <c r="K62" s="8" t="s">
        <v>169</v>
      </c>
      <c r="L62" s="8" t="s">
        <v>169</v>
      </c>
      <c r="M62" s="8" t="s">
        <v>169</v>
      </c>
      <c r="N62" s="8" t="s">
        <v>169</v>
      </c>
      <c r="O62" s="8" t="s">
        <v>169</v>
      </c>
      <c r="P62" s="8" t="s">
        <v>169</v>
      </c>
      <c r="Q62" s="8" t="s">
        <v>169</v>
      </c>
      <c r="R62" s="8" t="s">
        <v>169</v>
      </c>
      <c r="S62" s="8" t="s">
        <v>169</v>
      </c>
      <c r="T62" s="8" t="s">
        <v>169</v>
      </c>
      <c r="U62" s="8" t="s">
        <v>169</v>
      </c>
      <c r="V62" s="8" t="s">
        <v>169</v>
      </c>
      <c r="W62" s="8" t="s">
        <v>169</v>
      </c>
      <c r="X62" s="8" t="s">
        <v>169</v>
      </c>
      <c r="Y62" s="8">
        <v>15.917711000000001</v>
      </c>
      <c r="Z62" s="8">
        <v>18.767686999999999</v>
      </c>
      <c r="AA62" s="8">
        <v>21.754978000000001</v>
      </c>
      <c r="AB62" s="8">
        <v>19.411436999999999</v>
      </c>
      <c r="AC62" s="8">
        <v>17.234777999999999</v>
      </c>
      <c r="AD62" s="8">
        <v>18.348586000000001</v>
      </c>
      <c r="AE62" s="8">
        <v>22.515457999999999</v>
      </c>
      <c r="AF62" s="9">
        <v>19.965069</v>
      </c>
      <c r="AG62" s="8">
        <v>22.132964999999999</v>
      </c>
    </row>
    <row r="63" spans="1:33" ht="15.75" x14ac:dyDescent="0.25">
      <c r="A63" s="7" t="s">
        <v>172</v>
      </c>
      <c r="B63" s="8" t="s">
        <v>169</v>
      </c>
      <c r="C63" s="8" t="s">
        <v>169</v>
      </c>
      <c r="D63" s="8" t="s">
        <v>169</v>
      </c>
      <c r="E63" s="8" t="s">
        <v>169</v>
      </c>
      <c r="F63" s="8" t="s">
        <v>169</v>
      </c>
      <c r="G63" s="8" t="s">
        <v>169</v>
      </c>
      <c r="H63" s="8" t="s">
        <v>169</v>
      </c>
      <c r="I63" s="8" t="s">
        <v>169</v>
      </c>
      <c r="J63" s="8" t="s">
        <v>169</v>
      </c>
      <c r="K63" s="8" t="s">
        <v>169</v>
      </c>
      <c r="L63" s="8" t="s">
        <v>169</v>
      </c>
      <c r="M63" s="8" t="s">
        <v>169</v>
      </c>
      <c r="N63" s="8" t="s">
        <v>169</v>
      </c>
      <c r="O63" s="8" t="s">
        <v>169</v>
      </c>
      <c r="P63" s="8" t="s">
        <v>169</v>
      </c>
      <c r="Q63" s="8" t="s">
        <v>169</v>
      </c>
      <c r="R63" s="8" t="s">
        <v>169</v>
      </c>
      <c r="S63" s="8" t="s">
        <v>169</v>
      </c>
      <c r="T63" s="8" t="s">
        <v>169</v>
      </c>
      <c r="U63" s="8" t="s">
        <v>169</v>
      </c>
      <c r="V63" s="8" t="s">
        <v>169</v>
      </c>
      <c r="W63" s="8" t="s">
        <v>169</v>
      </c>
      <c r="X63" s="8" t="s">
        <v>169</v>
      </c>
      <c r="Y63" s="8">
        <v>1.6624950000000001</v>
      </c>
      <c r="Z63" s="8">
        <v>1.493182</v>
      </c>
      <c r="AA63" s="8">
        <v>1.2222090000000001</v>
      </c>
      <c r="AB63" s="8">
        <v>1.2780899999999999</v>
      </c>
      <c r="AC63" s="8">
        <v>8.1631180000000008</v>
      </c>
      <c r="AD63" s="8">
        <v>6.2720479999999998</v>
      </c>
      <c r="AE63" s="8">
        <v>7.8624340000000004</v>
      </c>
      <c r="AF63" s="9">
        <v>6.9042139999999996</v>
      </c>
      <c r="AG63" s="8">
        <v>6.1399419999999996</v>
      </c>
    </row>
    <row r="64" spans="1:33" ht="15.75" x14ac:dyDescent="0.25">
      <c r="A64" s="7" t="s">
        <v>173</v>
      </c>
      <c r="B64" s="8" t="s">
        <v>169</v>
      </c>
      <c r="C64" s="8" t="s">
        <v>169</v>
      </c>
      <c r="D64" s="8" t="s">
        <v>169</v>
      </c>
      <c r="E64" s="8" t="s">
        <v>169</v>
      </c>
      <c r="F64" s="8" t="s">
        <v>169</v>
      </c>
      <c r="G64" s="8" t="s">
        <v>169</v>
      </c>
      <c r="H64" s="8" t="s">
        <v>169</v>
      </c>
      <c r="I64" s="8" t="s">
        <v>169</v>
      </c>
      <c r="J64" s="8" t="s">
        <v>169</v>
      </c>
      <c r="K64" s="8" t="s">
        <v>169</v>
      </c>
      <c r="L64" s="8" t="s">
        <v>169</v>
      </c>
      <c r="M64" s="8" t="s">
        <v>169</v>
      </c>
      <c r="N64" s="8" t="s">
        <v>169</v>
      </c>
      <c r="O64" s="8" t="s">
        <v>169</v>
      </c>
      <c r="P64" s="8" t="s">
        <v>169</v>
      </c>
      <c r="Q64" s="8" t="s">
        <v>169</v>
      </c>
      <c r="R64" s="8" t="s">
        <v>169</v>
      </c>
      <c r="S64" s="8" t="s">
        <v>169</v>
      </c>
      <c r="T64" s="8" t="s">
        <v>169</v>
      </c>
      <c r="U64" s="8" t="s">
        <v>169</v>
      </c>
      <c r="V64" s="8" t="s">
        <v>169</v>
      </c>
      <c r="W64" s="8" t="s">
        <v>169</v>
      </c>
      <c r="X64" s="8" t="s">
        <v>169</v>
      </c>
      <c r="Y64" s="8">
        <v>2.108333</v>
      </c>
      <c r="Z64" s="8">
        <v>1.525841</v>
      </c>
      <c r="AA64" s="8">
        <v>3.288246</v>
      </c>
      <c r="AB64" s="8">
        <v>4.8273809999999999</v>
      </c>
      <c r="AC64" s="8">
        <v>3.6587779999999999</v>
      </c>
      <c r="AD64" s="8">
        <v>2.2098779999999998</v>
      </c>
      <c r="AE64" s="8">
        <v>4.9018660000000001</v>
      </c>
      <c r="AF64" s="9">
        <v>3.5837599999999998</v>
      </c>
      <c r="AG64" s="8">
        <v>4.2289009999999996</v>
      </c>
    </row>
    <row r="65" spans="1:33" ht="30" customHeight="1" x14ac:dyDescent="0.25">
      <c r="A65" s="4" t="s">
        <v>1476</v>
      </c>
      <c r="B65" s="5" t="s">
        <v>169</v>
      </c>
      <c r="C65" s="5" t="s">
        <v>169</v>
      </c>
      <c r="D65" s="5" t="s">
        <v>169</v>
      </c>
      <c r="E65" s="5" t="s">
        <v>169</v>
      </c>
      <c r="F65" s="5" t="s">
        <v>169</v>
      </c>
      <c r="G65" s="5" t="s">
        <v>169</v>
      </c>
      <c r="H65" s="5" t="s">
        <v>169</v>
      </c>
      <c r="I65" s="5" t="s">
        <v>169</v>
      </c>
      <c r="J65" s="5" t="s">
        <v>169</v>
      </c>
      <c r="K65" s="5" t="s">
        <v>169</v>
      </c>
      <c r="L65" s="5" t="s">
        <v>169</v>
      </c>
      <c r="M65" s="5" t="s">
        <v>169</v>
      </c>
      <c r="N65" s="5" t="s">
        <v>169</v>
      </c>
      <c r="O65" s="5" t="s">
        <v>169</v>
      </c>
      <c r="P65" s="5" t="s">
        <v>169</v>
      </c>
      <c r="Q65" s="5" t="s">
        <v>169</v>
      </c>
      <c r="R65" s="5" t="s">
        <v>169</v>
      </c>
      <c r="S65" s="5" t="s">
        <v>169</v>
      </c>
      <c r="T65" s="5" t="s">
        <v>169</v>
      </c>
      <c r="U65" s="5" t="s">
        <v>169</v>
      </c>
      <c r="V65" s="5" t="s">
        <v>169</v>
      </c>
      <c r="W65" s="5" t="s">
        <v>169</v>
      </c>
      <c r="X65" s="5" t="s">
        <v>169</v>
      </c>
      <c r="Y65" s="5">
        <v>38.165081000000001</v>
      </c>
      <c r="Z65" s="5">
        <v>26.378902</v>
      </c>
      <c r="AA65" s="5">
        <v>20.637656</v>
      </c>
      <c r="AB65" s="5">
        <v>18.593264999999999</v>
      </c>
      <c r="AC65" s="5">
        <v>15.565018999999999</v>
      </c>
      <c r="AD65" s="5">
        <v>21.225497000000001</v>
      </c>
      <c r="AE65" s="5">
        <v>14.277476999999999</v>
      </c>
      <c r="AF65" s="6">
        <v>19.739764999999998</v>
      </c>
      <c r="AG65" s="5">
        <v>13.671141</v>
      </c>
    </row>
    <row r="66" spans="1:33" ht="15.75" x14ac:dyDescent="0.25">
      <c r="A66" s="7" t="s">
        <v>174</v>
      </c>
      <c r="B66" s="8" t="s">
        <v>169</v>
      </c>
      <c r="C66" s="8" t="s">
        <v>169</v>
      </c>
      <c r="D66" s="8" t="s">
        <v>169</v>
      </c>
      <c r="E66" s="8" t="s">
        <v>169</v>
      </c>
      <c r="F66" s="8" t="s">
        <v>169</v>
      </c>
      <c r="G66" s="8" t="s">
        <v>169</v>
      </c>
      <c r="H66" s="8" t="s">
        <v>169</v>
      </c>
      <c r="I66" s="8" t="s">
        <v>169</v>
      </c>
      <c r="J66" s="8" t="s">
        <v>169</v>
      </c>
      <c r="K66" s="8" t="s">
        <v>169</v>
      </c>
      <c r="L66" s="8" t="s">
        <v>169</v>
      </c>
      <c r="M66" s="8" t="s">
        <v>169</v>
      </c>
      <c r="N66" s="8" t="s">
        <v>169</v>
      </c>
      <c r="O66" s="8" t="s">
        <v>169</v>
      </c>
      <c r="P66" s="8" t="s">
        <v>169</v>
      </c>
      <c r="Q66" s="8" t="s">
        <v>169</v>
      </c>
      <c r="R66" s="8" t="s">
        <v>169</v>
      </c>
      <c r="S66" s="8" t="s">
        <v>169</v>
      </c>
      <c r="T66" s="8" t="s">
        <v>169</v>
      </c>
      <c r="U66" s="8" t="s">
        <v>169</v>
      </c>
      <c r="V66" s="8" t="s">
        <v>169</v>
      </c>
      <c r="W66" s="8" t="s">
        <v>169</v>
      </c>
      <c r="X66" s="8" t="s">
        <v>169</v>
      </c>
      <c r="Y66" s="8">
        <v>25.774971000000001</v>
      </c>
      <c r="Z66" s="8">
        <v>15.295432999999999</v>
      </c>
      <c r="AA66" s="8">
        <v>9.4846409999999999</v>
      </c>
      <c r="AB66" s="8">
        <v>7.6374810000000002</v>
      </c>
      <c r="AC66" s="8">
        <v>2.573121</v>
      </c>
      <c r="AD66" s="8">
        <v>2.8885719999999999</v>
      </c>
      <c r="AE66" s="8">
        <v>2.6329150000000001</v>
      </c>
      <c r="AF66" s="9">
        <v>2.7106949999999999</v>
      </c>
      <c r="AG66" s="8">
        <v>2.6171319999999998</v>
      </c>
    </row>
    <row r="67" spans="1:33" ht="15.75" x14ac:dyDescent="0.25">
      <c r="A67" s="7" t="s">
        <v>175</v>
      </c>
      <c r="B67" s="8" t="s">
        <v>169</v>
      </c>
      <c r="C67" s="8" t="s">
        <v>169</v>
      </c>
      <c r="D67" s="8" t="s">
        <v>169</v>
      </c>
      <c r="E67" s="8" t="s">
        <v>169</v>
      </c>
      <c r="F67" s="8" t="s">
        <v>169</v>
      </c>
      <c r="G67" s="8" t="s">
        <v>169</v>
      </c>
      <c r="H67" s="8" t="s">
        <v>169</v>
      </c>
      <c r="I67" s="8" t="s">
        <v>169</v>
      </c>
      <c r="J67" s="8" t="s">
        <v>169</v>
      </c>
      <c r="K67" s="8" t="s">
        <v>169</v>
      </c>
      <c r="L67" s="8" t="s">
        <v>169</v>
      </c>
      <c r="M67" s="8" t="s">
        <v>169</v>
      </c>
      <c r="N67" s="8" t="s">
        <v>169</v>
      </c>
      <c r="O67" s="8" t="s">
        <v>169</v>
      </c>
      <c r="P67" s="8" t="s">
        <v>169</v>
      </c>
      <c r="Q67" s="8" t="s">
        <v>169</v>
      </c>
      <c r="R67" s="8" t="s">
        <v>169</v>
      </c>
      <c r="S67" s="8" t="s">
        <v>169</v>
      </c>
      <c r="T67" s="8" t="s">
        <v>169</v>
      </c>
      <c r="U67" s="8" t="s">
        <v>169</v>
      </c>
      <c r="V67" s="8" t="s">
        <v>169</v>
      </c>
      <c r="W67" s="8" t="s">
        <v>169</v>
      </c>
      <c r="X67" s="8" t="s">
        <v>169</v>
      </c>
      <c r="Y67" s="8">
        <v>12.39011</v>
      </c>
      <c r="Z67" s="8">
        <v>11.083468999999999</v>
      </c>
      <c r="AA67" s="8">
        <v>11.153015</v>
      </c>
      <c r="AB67" s="8">
        <v>10.955784</v>
      </c>
      <c r="AC67" s="8">
        <v>12.991898000000001</v>
      </c>
      <c r="AD67" s="8">
        <v>18.336925000000001</v>
      </c>
      <c r="AE67" s="8">
        <v>11.644563</v>
      </c>
      <c r="AF67" s="9">
        <v>17.029070000000001</v>
      </c>
      <c r="AG67" s="8">
        <v>11.054009000000001</v>
      </c>
    </row>
    <row r="68" spans="1:33" ht="30" customHeight="1" x14ac:dyDescent="0.25">
      <c r="A68" s="10" t="s">
        <v>146</v>
      </c>
      <c r="B68" s="11" t="s">
        <v>169</v>
      </c>
      <c r="C68" s="11" t="s">
        <v>169</v>
      </c>
      <c r="D68" s="11" t="s">
        <v>169</v>
      </c>
      <c r="E68" s="11" t="s">
        <v>169</v>
      </c>
      <c r="F68" s="11" t="s">
        <v>169</v>
      </c>
      <c r="G68" s="11" t="s">
        <v>169</v>
      </c>
      <c r="H68" s="11" t="s">
        <v>169</v>
      </c>
      <c r="I68" s="11" t="s">
        <v>169</v>
      </c>
      <c r="J68" s="11" t="s">
        <v>169</v>
      </c>
      <c r="K68" s="11" t="s">
        <v>169</v>
      </c>
      <c r="L68" s="11" t="s">
        <v>169</v>
      </c>
      <c r="M68" s="11" t="s">
        <v>169</v>
      </c>
      <c r="N68" s="11" t="s">
        <v>169</v>
      </c>
      <c r="O68" s="11" t="s">
        <v>169</v>
      </c>
      <c r="P68" s="11" t="s">
        <v>169</v>
      </c>
      <c r="Q68" s="11" t="s">
        <v>169</v>
      </c>
      <c r="R68" s="11" t="s">
        <v>169</v>
      </c>
      <c r="S68" s="11" t="s">
        <v>169</v>
      </c>
      <c r="T68" s="11" t="s">
        <v>169</v>
      </c>
      <c r="U68" s="11" t="s">
        <v>169</v>
      </c>
      <c r="V68" s="11" t="s">
        <v>169</v>
      </c>
      <c r="W68" s="11" t="s">
        <v>169</v>
      </c>
      <c r="X68" s="11" t="s">
        <v>169</v>
      </c>
      <c r="Y68" s="11">
        <v>17171</v>
      </c>
      <c r="Z68" s="11">
        <v>25725</v>
      </c>
      <c r="AA68" s="11">
        <v>34163</v>
      </c>
      <c r="AB68" s="11">
        <v>33734</v>
      </c>
      <c r="AC68" s="11">
        <v>31183</v>
      </c>
      <c r="AD68" s="11">
        <v>30847</v>
      </c>
      <c r="AE68" s="11">
        <v>31532</v>
      </c>
      <c r="AF68" s="12">
        <v>31799</v>
      </c>
      <c r="AG68" s="11">
        <v>31791</v>
      </c>
    </row>
    <row r="69" spans="1:33" ht="35.25" customHeight="1" x14ac:dyDescent="0.25">
      <c r="A69" s="4" t="s">
        <v>1477</v>
      </c>
      <c r="B69" s="5" t="s">
        <v>169</v>
      </c>
      <c r="C69" s="5" t="s">
        <v>169</v>
      </c>
      <c r="D69" s="5" t="s">
        <v>169</v>
      </c>
      <c r="E69" s="5" t="s">
        <v>169</v>
      </c>
      <c r="F69" s="5" t="s">
        <v>169</v>
      </c>
      <c r="G69" s="5" t="s">
        <v>169</v>
      </c>
      <c r="H69" s="5" t="s">
        <v>169</v>
      </c>
      <c r="I69" s="5" t="s">
        <v>169</v>
      </c>
      <c r="J69" s="5" t="s">
        <v>169</v>
      </c>
      <c r="K69" s="5" t="s">
        <v>169</v>
      </c>
      <c r="L69" s="5" t="s">
        <v>169</v>
      </c>
      <c r="M69" s="5" t="s">
        <v>169</v>
      </c>
      <c r="N69" s="5" t="s">
        <v>169</v>
      </c>
      <c r="O69" s="5" t="s">
        <v>169</v>
      </c>
      <c r="P69" s="5" t="s">
        <v>169</v>
      </c>
      <c r="Q69" s="5" t="s">
        <v>169</v>
      </c>
      <c r="R69" s="5" t="s">
        <v>169</v>
      </c>
      <c r="S69" s="5" t="s">
        <v>169</v>
      </c>
      <c r="T69" s="5" t="s">
        <v>169</v>
      </c>
      <c r="U69" s="5" t="s">
        <v>169</v>
      </c>
      <c r="V69" s="5" t="s">
        <v>169</v>
      </c>
      <c r="W69" s="5" t="s">
        <v>169</v>
      </c>
      <c r="X69" s="5" t="s">
        <v>169</v>
      </c>
      <c r="Y69" s="5" t="s">
        <v>169</v>
      </c>
      <c r="Z69" s="5" t="s">
        <v>169</v>
      </c>
      <c r="AA69" s="5" t="s">
        <v>169</v>
      </c>
      <c r="AB69" s="5" t="s">
        <v>169</v>
      </c>
      <c r="AC69" s="5" t="s">
        <v>169</v>
      </c>
      <c r="AD69" s="5" t="s">
        <v>169</v>
      </c>
      <c r="AE69" s="5" t="s">
        <v>169</v>
      </c>
      <c r="AF69" s="6" t="s">
        <v>169</v>
      </c>
      <c r="AG69" s="5" t="s">
        <v>169</v>
      </c>
    </row>
    <row r="70" spans="1:33" ht="30" customHeight="1" x14ac:dyDescent="0.25">
      <c r="A70" s="10" t="s">
        <v>146</v>
      </c>
      <c r="B70" s="11" t="s">
        <v>169</v>
      </c>
      <c r="C70" s="11" t="s">
        <v>169</v>
      </c>
      <c r="D70" s="11" t="s">
        <v>169</v>
      </c>
      <c r="E70" s="11" t="s">
        <v>169</v>
      </c>
      <c r="F70" s="11" t="s">
        <v>169</v>
      </c>
      <c r="G70" s="11" t="s">
        <v>169</v>
      </c>
      <c r="H70" s="11" t="s">
        <v>169</v>
      </c>
      <c r="I70" s="11" t="s">
        <v>169</v>
      </c>
      <c r="J70" s="11" t="s">
        <v>169</v>
      </c>
      <c r="K70" s="11" t="s">
        <v>169</v>
      </c>
      <c r="L70" s="11" t="s">
        <v>169</v>
      </c>
      <c r="M70" s="11" t="s">
        <v>169</v>
      </c>
      <c r="N70" s="11" t="s">
        <v>169</v>
      </c>
      <c r="O70" s="11" t="s">
        <v>169</v>
      </c>
      <c r="P70" s="11" t="s">
        <v>169</v>
      </c>
      <c r="Q70" s="11" t="s">
        <v>169</v>
      </c>
      <c r="R70" s="11" t="s">
        <v>169</v>
      </c>
      <c r="S70" s="11" t="s">
        <v>169</v>
      </c>
      <c r="T70" s="11" t="s">
        <v>169</v>
      </c>
      <c r="U70" s="11" t="s">
        <v>169</v>
      </c>
      <c r="V70" s="11" t="s">
        <v>169</v>
      </c>
      <c r="W70" s="11" t="s">
        <v>169</v>
      </c>
      <c r="X70" s="11" t="s">
        <v>169</v>
      </c>
      <c r="Y70" s="11">
        <v>35420</v>
      </c>
      <c r="Z70" s="11">
        <v>34715</v>
      </c>
      <c r="AA70" s="11">
        <v>34163</v>
      </c>
      <c r="AB70" s="11">
        <v>33734</v>
      </c>
      <c r="AC70" s="11">
        <v>31183</v>
      </c>
      <c r="AD70" s="11">
        <v>30847</v>
      </c>
      <c r="AE70" s="11">
        <v>31532</v>
      </c>
      <c r="AF70" s="12">
        <v>31799</v>
      </c>
      <c r="AG70" s="11">
        <v>31791</v>
      </c>
    </row>
  </sheetData>
  <hyperlinks>
    <hyperlink ref="A6" location="'Notes_A1 to A4'!A1" display="Link to Notes page." xr:uid="{00000000-0004-0000-0500-000000000000}"/>
    <hyperlink ref="A4" location=" 'Table of contents'!A1" display="Link to Table of contents." xr:uid="{00000000-0004-0000-0500-000001000000}"/>
  </hyperlink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W62"/>
  <sheetViews>
    <sheetView showGridLines="0" workbookViewId="0"/>
  </sheetViews>
  <sheetFormatPr defaultRowHeight="15" customHeight="1" x14ac:dyDescent="0.25"/>
  <cols>
    <col min="1" max="1" width="109.7109375" customWidth="1"/>
    <col min="2" max="49" width="16.7109375" customWidth="1"/>
  </cols>
  <sheetData>
    <row r="1" spans="1:49" ht="20.100000000000001" customHeight="1" x14ac:dyDescent="0.25">
      <c r="A1" s="836" t="s">
        <v>1479</v>
      </c>
    </row>
    <row r="2" spans="1:49" ht="20.100000000000001" customHeight="1" x14ac:dyDescent="0.25">
      <c r="A2" s="185" t="s">
        <v>176</v>
      </c>
    </row>
    <row r="3" spans="1:49" ht="20.100000000000001" customHeight="1" x14ac:dyDescent="0.25">
      <c r="A3" s="1" t="s">
        <v>177</v>
      </c>
    </row>
    <row r="4" spans="1:49" ht="20.100000000000001" customHeight="1" x14ac:dyDescent="0.25">
      <c r="A4" s="2" t="s">
        <v>97</v>
      </c>
    </row>
    <row r="5" spans="1:49" ht="20.100000000000001" customHeight="1" x14ac:dyDescent="0.25">
      <c r="A5" s="1" t="s">
        <v>98</v>
      </c>
    </row>
    <row r="6" spans="1:49" ht="20.100000000000001" customHeight="1" x14ac:dyDescent="0.25">
      <c r="A6" s="2" t="s">
        <v>99</v>
      </c>
    </row>
    <row r="7" spans="1:49" ht="20.100000000000001" customHeight="1" x14ac:dyDescent="0.25">
      <c r="A7" s="1" t="s">
        <v>100</v>
      </c>
    </row>
    <row r="8" spans="1:49" ht="80.099999999999994" customHeight="1" x14ac:dyDescent="0.25">
      <c r="A8" s="31" t="s">
        <v>101</v>
      </c>
      <c r="B8" s="99" t="s">
        <v>178</v>
      </c>
      <c r="C8" s="99" t="s">
        <v>179</v>
      </c>
      <c r="D8" s="99" t="s">
        <v>180</v>
      </c>
      <c r="E8" s="99" t="s">
        <v>181</v>
      </c>
      <c r="F8" s="99" t="s">
        <v>182</v>
      </c>
      <c r="G8" s="99" t="s">
        <v>183</v>
      </c>
      <c r="H8" s="99" t="s">
        <v>184</v>
      </c>
      <c r="I8" s="99" t="s">
        <v>185</v>
      </c>
      <c r="J8" s="99" t="s">
        <v>186</v>
      </c>
      <c r="K8" s="99" t="s">
        <v>187</v>
      </c>
      <c r="L8" s="99" t="s">
        <v>188</v>
      </c>
      <c r="M8" s="99" t="s">
        <v>189</v>
      </c>
      <c r="N8" s="99" t="s">
        <v>190</v>
      </c>
      <c r="O8" s="99" t="s">
        <v>191</v>
      </c>
      <c r="P8" s="99" t="s">
        <v>192</v>
      </c>
      <c r="Q8" s="99" t="s">
        <v>193</v>
      </c>
      <c r="R8" s="99" t="s">
        <v>194</v>
      </c>
      <c r="S8" s="99" t="s">
        <v>195</v>
      </c>
      <c r="T8" s="99" t="s">
        <v>196</v>
      </c>
      <c r="U8" s="99" t="s">
        <v>197</v>
      </c>
      <c r="V8" s="99" t="s">
        <v>198</v>
      </c>
      <c r="W8" s="99" t="s">
        <v>199</v>
      </c>
      <c r="X8" s="99" t="s">
        <v>200</v>
      </c>
      <c r="Y8" s="99" t="s">
        <v>201</v>
      </c>
      <c r="Z8" s="99" t="s">
        <v>202</v>
      </c>
      <c r="AA8" s="99" t="s">
        <v>203</v>
      </c>
      <c r="AB8" s="99" t="s">
        <v>204</v>
      </c>
      <c r="AC8" s="99" t="s">
        <v>205</v>
      </c>
      <c r="AD8" s="99" t="s">
        <v>206</v>
      </c>
      <c r="AE8" s="99" t="s">
        <v>207</v>
      </c>
      <c r="AF8" s="99" t="s">
        <v>208</v>
      </c>
      <c r="AG8" s="99" t="s">
        <v>209</v>
      </c>
      <c r="AH8" s="99" t="s">
        <v>210</v>
      </c>
      <c r="AI8" s="99" t="s">
        <v>211</v>
      </c>
      <c r="AJ8" s="99" t="s">
        <v>212</v>
      </c>
      <c r="AK8" s="99" t="s">
        <v>213</v>
      </c>
      <c r="AL8" s="99" t="s">
        <v>214</v>
      </c>
      <c r="AM8" s="99" t="s">
        <v>215</v>
      </c>
      <c r="AN8" s="99" t="s">
        <v>216</v>
      </c>
      <c r="AO8" s="99" t="s">
        <v>217</v>
      </c>
      <c r="AP8" s="99" t="s">
        <v>218</v>
      </c>
      <c r="AQ8" s="99" t="s">
        <v>219</v>
      </c>
      <c r="AR8" s="99" t="s">
        <v>220</v>
      </c>
      <c r="AS8" s="99" t="s">
        <v>221</v>
      </c>
      <c r="AT8" s="99" t="s">
        <v>222</v>
      </c>
      <c r="AU8" s="99" t="s">
        <v>223</v>
      </c>
      <c r="AV8" s="99" t="s">
        <v>224</v>
      </c>
      <c r="AW8" s="99" t="s">
        <v>225</v>
      </c>
    </row>
    <row r="9" spans="1:49" ht="15.75" x14ac:dyDescent="0.25">
      <c r="A9" s="4" t="s">
        <v>134</v>
      </c>
      <c r="B9" s="5">
        <v>-78.696207663903749</v>
      </c>
      <c r="C9" s="5" t="s">
        <v>226</v>
      </c>
      <c r="D9" s="5">
        <v>-74.438609638173332</v>
      </c>
      <c r="E9" s="5" t="s">
        <v>226</v>
      </c>
      <c r="F9" s="5">
        <v>-71.374242685773439</v>
      </c>
      <c r="G9" s="5" t="s">
        <v>226</v>
      </c>
      <c r="H9" s="5">
        <v>-62.51596960911079</v>
      </c>
      <c r="I9" s="5" t="s">
        <v>226</v>
      </c>
      <c r="J9" s="5">
        <v>-62.669087872342111</v>
      </c>
      <c r="K9" s="5" t="s">
        <v>226</v>
      </c>
      <c r="L9" s="5">
        <v>-58.839371290891137</v>
      </c>
      <c r="M9" s="5" t="s">
        <v>226</v>
      </c>
      <c r="N9" s="5">
        <v>-55.438531410233097</v>
      </c>
      <c r="O9" s="5" t="s">
        <v>226</v>
      </c>
      <c r="P9" s="5">
        <v>-55.626627513523736</v>
      </c>
      <c r="Q9" s="5" t="s">
        <v>226</v>
      </c>
      <c r="R9" s="5">
        <v>-56.49217275274534</v>
      </c>
      <c r="S9" s="5" t="s">
        <v>226</v>
      </c>
      <c r="T9" s="5">
        <v>-49.133134250843213</v>
      </c>
      <c r="U9" s="5" t="s">
        <v>226</v>
      </c>
      <c r="V9" s="5">
        <v>-46.297501804064893</v>
      </c>
      <c r="W9" s="5" t="s">
        <v>226</v>
      </c>
      <c r="X9" s="5">
        <v>-44.433703565207203</v>
      </c>
      <c r="Y9" s="5" t="s">
        <v>226</v>
      </c>
      <c r="Z9" s="5">
        <v>-51.488512263493632</v>
      </c>
      <c r="AA9" s="5" t="s">
        <v>226</v>
      </c>
      <c r="AB9" s="5">
        <v>-46.7989730897052</v>
      </c>
      <c r="AC9" s="5" t="s">
        <v>226</v>
      </c>
      <c r="AD9" s="5">
        <v>-45.796397857627227</v>
      </c>
      <c r="AE9" s="5" t="s">
        <v>226</v>
      </c>
      <c r="AF9" s="5">
        <v>-32.243653202460109</v>
      </c>
      <c r="AG9" s="5" t="s">
        <v>226</v>
      </c>
      <c r="AH9" s="5">
        <v>-38.379111063120462</v>
      </c>
      <c r="AI9" s="5" t="s">
        <v>226</v>
      </c>
      <c r="AJ9" s="5">
        <v>-26.966328222262892</v>
      </c>
      <c r="AK9" s="5" t="s">
        <v>226</v>
      </c>
      <c r="AL9" s="5">
        <v>-24.559457173668701</v>
      </c>
      <c r="AM9" s="5" t="s">
        <v>226</v>
      </c>
      <c r="AN9" s="5">
        <v>-23.7318286696222</v>
      </c>
      <c r="AO9" s="5" t="s">
        <v>226</v>
      </c>
      <c r="AP9" s="5">
        <v>-18.583940796597471</v>
      </c>
      <c r="AQ9" s="5"/>
      <c r="AR9" s="5">
        <v>-11.090550080708329</v>
      </c>
      <c r="AS9" s="5"/>
      <c r="AT9" s="5">
        <v>12.090909739442729</v>
      </c>
      <c r="AU9" s="5"/>
      <c r="AV9" s="6">
        <v>0.21122099270798331</v>
      </c>
      <c r="AW9" s="5"/>
    </row>
    <row r="10" spans="1:49" ht="15.75" x14ac:dyDescent="0.25">
      <c r="A10" s="7" t="s">
        <v>135</v>
      </c>
      <c r="B10" s="8">
        <v>-87.456588420203332</v>
      </c>
      <c r="C10" s="8" t="s">
        <v>226</v>
      </c>
      <c r="D10" s="8">
        <v>-85.99921243425311</v>
      </c>
      <c r="E10" s="8" t="s">
        <v>226</v>
      </c>
      <c r="F10" s="8">
        <v>-83.078192895378578</v>
      </c>
      <c r="G10" s="8" t="s">
        <v>226</v>
      </c>
      <c r="H10" s="8">
        <v>-78.065988465376563</v>
      </c>
      <c r="I10" s="8" t="s">
        <v>226</v>
      </c>
      <c r="J10" s="8">
        <v>-76.541721172390695</v>
      </c>
      <c r="K10" s="8" t="s">
        <v>226</v>
      </c>
      <c r="L10" s="8">
        <v>-73.559361741849983</v>
      </c>
      <c r="M10" s="8" t="s">
        <v>226</v>
      </c>
      <c r="N10" s="8">
        <v>-73.090483492612293</v>
      </c>
      <c r="O10" s="8" t="s">
        <v>226</v>
      </c>
      <c r="P10" s="8">
        <v>-71.668576058542115</v>
      </c>
      <c r="Q10" s="8" t="s">
        <v>226</v>
      </c>
      <c r="R10" s="8">
        <v>-70.899449264072317</v>
      </c>
      <c r="S10" s="8" t="s">
        <v>226</v>
      </c>
      <c r="T10" s="8">
        <v>-66.025986500534415</v>
      </c>
      <c r="U10" s="8" t="s">
        <v>226</v>
      </c>
      <c r="V10" s="8">
        <v>-65.349600224561684</v>
      </c>
      <c r="W10" s="8" t="s">
        <v>226</v>
      </c>
      <c r="X10" s="8">
        <v>-63.603326407983239</v>
      </c>
      <c r="Y10" s="8" t="s">
        <v>226</v>
      </c>
      <c r="Z10" s="8">
        <v>-71.050120155765526</v>
      </c>
      <c r="AA10" s="8" t="s">
        <v>226</v>
      </c>
      <c r="AB10" s="8">
        <v>-64.807086220085779</v>
      </c>
      <c r="AC10" s="8" t="s">
        <v>226</v>
      </c>
      <c r="AD10" s="8">
        <v>-68.284415309215959</v>
      </c>
      <c r="AE10" s="8" t="s">
        <v>226</v>
      </c>
      <c r="AF10" s="8">
        <v>-44.876114737425098</v>
      </c>
      <c r="AG10" s="8" t="s">
        <v>226</v>
      </c>
      <c r="AH10" s="8">
        <v>-56.11185545944808</v>
      </c>
      <c r="AI10" s="8" t="s">
        <v>226</v>
      </c>
      <c r="AJ10" s="8">
        <v>-41.204956342618587</v>
      </c>
      <c r="AK10" s="8" t="s">
        <v>226</v>
      </c>
      <c r="AL10" s="8">
        <v>-46.774187505324633</v>
      </c>
      <c r="AM10" s="8" t="s">
        <v>226</v>
      </c>
      <c r="AN10" s="8">
        <v>-43.515016122350339</v>
      </c>
      <c r="AO10" s="8" t="s">
        <v>226</v>
      </c>
      <c r="AP10" s="8">
        <v>-47.01587588255034</v>
      </c>
      <c r="AQ10" s="8" t="s">
        <v>226</v>
      </c>
      <c r="AR10" s="8">
        <v>-35.536049089870581</v>
      </c>
      <c r="AS10" s="8" t="s">
        <v>226</v>
      </c>
      <c r="AT10" s="8">
        <v>-8.5974574998435198</v>
      </c>
      <c r="AU10" s="8"/>
      <c r="AV10" s="9">
        <v>-30.67667417988967</v>
      </c>
      <c r="AW10" s="8"/>
    </row>
    <row r="11" spans="1:49" ht="15.75" x14ac:dyDescent="0.25">
      <c r="A11" s="7" t="s">
        <v>136</v>
      </c>
      <c r="B11" s="8">
        <v>-87.910242936538239</v>
      </c>
      <c r="C11" s="8" t="s">
        <v>226</v>
      </c>
      <c r="D11" s="8">
        <v>-86.056767292734079</v>
      </c>
      <c r="E11" s="8" t="s">
        <v>226</v>
      </c>
      <c r="F11" s="8">
        <v>-81.851765392247032</v>
      </c>
      <c r="G11" s="8" t="s">
        <v>226</v>
      </c>
      <c r="H11" s="8">
        <v>-81.538762108437169</v>
      </c>
      <c r="I11" s="8" t="s">
        <v>226</v>
      </c>
      <c r="J11" s="8">
        <v>-81.914231897204246</v>
      </c>
      <c r="K11" s="8" t="s">
        <v>226</v>
      </c>
      <c r="L11" s="8">
        <v>-79.572486285718909</v>
      </c>
      <c r="M11" s="8" t="s">
        <v>226</v>
      </c>
      <c r="N11" s="8">
        <v>-78.241037837946621</v>
      </c>
      <c r="O11" s="8" t="s">
        <v>226</v>
      </c>
      <c r="P11" s="8">
        <v>-77.170572650927554</v>
      </c>
      <c r="Q11" s="8" t="s">
        <v>226</v>
      </c>
      <c r="R11" s="8">
        <v>-77.746766807185793</v>
      </c>
      <c r="S11" s="8" t="s">
        <v>226</v>
      </c>
      <c r="T11" s="8">
        <v>-73.396212281772662</v>
      </c>
      <c r="U11" s="8" t="s">
        <v>226</v>
      </c>
      <c r="V11" s="8">
        <v>-69.925759496321575</v>
      </c>
      <c r="W11" s="8" t="s">
        <v>226</v>
      </c>
      <c r="X11" s="8">
        <v>-73.194081678661036</v>
      </c>
      <c r="Y11" s="8" t="s">
        <v>226</v>
      </c>
      <c r="Z11" s="8">
        <v>-75.16235072257335</v>
      </c>
      <c r="AA11" s="8" t="s">
        <v>226</v>
      </c>
      <c r="AB11" s="8">
        <v>-73.524633133445064</v>
      </c>
      <c r="AC11" s="8" t="s">
        <v>226</v>
      </c>
      <c r="AD11" s="8">
        <v>-72.640162720677807</v>
      </c>
      <c r="AE11" s="8" t="s">
        <v>226</v>
      </c>
      <c r="AF11" s="8">
        <v>-54.937763942467591</v>
      </c>
      <c r="AG11" s="8" t="s">
        <v>226</v>
      </c>
      <c r="AH11" s="8">
        <v>-66.085818316316946</v>
      </c>
      <c r="AI11" s="8" t="s">
        <v>226</v>
      </c>
      <c r="AJ11" s="8">
        <v>-55.628486694008387</v>
      </c>
      <c r="AK11" s="8" t="s">
        <v>226</v>
      </c>
      <c r="AL11" s="8">
        <v>-60.986132522797867</v>
      </c>
      <c r="AM11" s="8" t="s">
        <v>226</v>
      </c>
      <c r="AN11" s="8">
        <v>-38.589555886455329</v>
      </c>
      <c r="AO11" s="8" t="s">
        <v>226</v>
      </c>
      <c r="AP11" s="8">
        <v>-54.882639857791503</v>
      </c>
      <c r="AQ11" s="8" t="s">
        <v>226</v>
      </c>
      <c r="AR11" s="8">
        <v>-55.750337323444363</v>
      </c>
      <c r="AS11" s="8" t="s">
        <v>226</v>
      </c>
      <c r="AT11" s="8">
        <v>-3.1228816333792491</v>
      </c>
      <c r="AU11" s="8"/>
      <c r="AV11" s="9">
        <v>-37.694641042793947</v>
      </c>
      <c r="AW11" s="8"/>
    </row>
    <row r="12" spans="1:49" ht="15.75" x14ac:dyDescent="0.25">
      <c r="A12" s="7" t="s">
        <v>137</v>
      </c>
      <c r="B12" s="8">
        <v>-87.140492350082241</v>
      </c>
      <c r="C12" s="8" t="s">
        <v>226</v>
      </c>
      <c r="D12" s="8">
        <v>-85.961251793337738</v>
      </c>
      <c r="E12" s="8" t="s">
        <v>226</v>
      </c>
      <c r="F12" s="8">
        <v>-83.795538966270641</v>
      </c>
      <c r="G12" s="8" t="s">
        <v>226</v>
      </c>
      <c r="H12" s="8">
        <v>-74.983278319663484</v>
      </c>
      <c r="I12" s="8" t="s">
        <v>226</v>
      </c>
      <c r="J12" s="8">
        <v>-70.874010719826131</v>
      </c>
      <c r="K12" s="8" t="s">
        <v>226</v>
      </c>
      <c r="L12" s="8">
        <v>-67.242847716775429</v>
      </c>
      <c r="M12" s="8" t="s">
        <v>226</v>
      </c>
      <c r="N12" s="8">
        <v>-68.152123307716536</v>
      </c>
      <c r="O12" s="8" t="s">
        <v>226</v>
      </c>
      <c r="P12" s="8">
        <v>-66.357243303580006</v>
      </c>
      <c r="Q12" s="8" t="s">
        <v>226</v>
      </c>
      <c r="R12" s="8">
        <v>-64.05073194945723</v>
      </c>
      <c r="S12" s="8" t="s">
        <v>226</v>
      </c>
      <c r="T12" s="8">
        <v>-58.493463834617927</v>
      </c>
      <c r="U12" s="8" t="s">
        <v>226</v>
      </c>
      <c r="V12" s="8">
        <v>-61.513386464672386</v>
      </c>
      <c r="W12" s="8" t="s">
        <v>226</v>
      </c>
      <c r="X12" s="8">
        <v>-52.461572299029591</v>
      </c>
      <c r="Y12" s="8" t="s">
        <v>226</v>
      </c>
      <c r="Z12" s="8">
        <v>-67.528379884083463</v>
      </c>
      <c r="AA12" s="8" t="s">
        <v>226</v>
      </c>
      <c r="AB12" s="8">
        <v>-55.128567977567201</v>
      </c>
      <c r="AC12" s="8" t="s">
        <v>226</v>
      </c>
      <c r="AD12" s="8">
        <v>-64.591746864072704</v>
      </c>
      <c r="AE12" s="8" t="s">
        <v>226</v>
      </c>
      <c r="AF12" s="8">
        <v>-35.432021654689819</v>
      </c>
      <c r="AG12" s="8" t="s">
        <v>226</v>
      </c>
      <c r="AH12" s="8">
        <v>-45.63913833847365</v>
      </c>
      <c r="AI12" s="8" t="s">
        <v>226</v>
      </c>
      <c r="AJ12" s="8">
        <v>-25.29804146258061</v>
      </c>
      <c r="AK12" s="8"/>
      <c r="AL12" s="8">
        <v>-30.092260734251742</v>
      </c>
      <c r="AM12" s="8"/>
      <c r="AN12" s="8">
        <v>-46.334603503901647</v>
      </c>
      <c r="AO12" s="8" t="s">
        <v>226</v>
      </c>
      <c r="AP12" s="8">
        <v>-40.183707385531108</v>
      </c>
      <c r="AQ12" s="8" t="s">
        <v>226</v>
      </c>
      <c r="AR12" s="8">
        <v>-8.0071177633731612</v>
      </c>
      <c r="AS12" s="8"/>
      <c r="AT12" s="8">
        <v>-11.860237410265031</v>
      </c>
      <c r="AU12" s="8"/>
      <c r="AV12" s="9">
        <v>-25.154113667018169</v>
      </c>
      <c r="AW12" s="8"/>
    </row>
    <row r="13" spans="1:49" ht="15.75" x14ac:dyDescent="0.25">
      <c r="A13" s="7" t="s">
        <v>138</v>
      </c>
      <c r="B13" s="8">
        <v>-66.230961075337902</v>
      </c>
      <c r="C13" s="8" t="s">
        <v>226</v>
      </c>
      <c r="D13" s="8">
        <v>-54.644752190597579</v>
      </c>
      <c r="E13" s="8" t="s">
        <v>226</v>
      </c>
      <c r="F13" s="8">
        <v>-54.880161632444612</v>
      </c>
      <c r="G13" s="8" t="s">
        <v>226</v>
      </c>
      <c r="H13" s="8">
        <v>-40.053994883769278</v>
      </c>
      <c r="I13" s="8" t="s">
        <v>226</v>
      </c>
      <c r="J13" s="8">
        <v>-45.695511794062647</v>
      </c>
      <c r="K13" s="8" t="s">
        <v>226</v>
      </c>
      <c r="L13" s="8">
        <v>-41.678510707576343</v>
      </c>
      <c r="M13" s="8" t="s">
        <v>226</v>
      </c>
      <c r="N13" s="8">
        <v>-31.789534691165539</v>
      </c>
      <c r="O13" s="8" t="s">
        <v>226</v>
      </c>
      <c r="P13" s="8">
        <v>-36.675481596494528</v>
      </c>
      <c r="Q13" s="8" t="s">
        <v>226</v>
      </c>
      <c r="R13" s="8">
        <v>-41.072576623718078</v>
      </c>
      <c r="S13" s="8" t="s">
        <v>226</v>
      </c>
      <c r="T13" s="8">
        <v>-30.999591857252959</v>
      </c>
      <c r="U13" s="8" t="s">
        <v>226</v>
      </c>
      <c r="V13" s="8">
        <v>-24.29771880103576</v>
      </c>
      <c r="W13" s="8" t="s">
        <v>226</v>
      </c>
      <c r="X13" s="8">
        <v>-22.998615501249521</v>
      </c>
      <c r="Y13" s="8" t="s">
        <v>226</v>
      </c>
      <c r="Z13" s="8">
        <v>-24.538585513733508</v>
      </c>
      <c r="AA13" s="8" t="s">
        <v>226</v>
      </c>
      <c r="AB13" s="8">
        <v>-27.076871185169299</v>
      </c>
      <c r="AC13" s="8" t="s">
        <v>226</v>
      </c>
      <c r="AD13" s="8">
        <v>-13.30751680529707</v>
      </c>
      <c r="AE13" s="8"/>
      <c r="AF13" s="8">
        <v>-22.90585646134986</v>
      </c>
      <c r="AG13" s="8"/>
      <c r="AH13" s="8">
        <v>-21.646584172660521</v>
      </c>
      <c r="AI13" s="8"/>
      <c r="AJ13" s="8">
        <v>-16.246001942547331</v>
      </c>
      <c r="AK13" s="8"/>
      <c r="AL13" s="8">
        <v>-3.2076496785938051</v>
      </c>
      <c r="AM13" s="8"/>
      <c r="AN13" s="8">
        <v>-6.4063860835849251</v>
      </c>
      <c r="AO13" s="8"/>
      <c r="AP13" s="8">
        <v>13.6491339573706</v>
      </c>
      <c r="AQ13" s="8"/>
      <c r="AR13" s="8">
        <v>11.196195406902509</v>
      </c>
      <c r="AS13" s="8"/>
      <c r="AT13" s="8">
        <v>27.322608106937121</v>
      </c>
      <c r="AU13" s="8"/>
      <c r="AV13" s="9">
        <v>31.08007154459613</v>
      </c>
      <c r="AW13" s="8"/>
    </row>
    <row r="14" spans="1:49" ht="30" customHeight="1" x14ac:dyDescent="0.25">
      <c r="A14" s="4" t="s">
        <v>139</v>
      </c>
      <c r="B14" s="5">
        <v>-83.114970391728377</v>
      </c>
      <c r="C14" s="5" t="s">
        <v>226</v>
      </c>
      <c r="D14" s="5">
        <v>-83.803860503627007</v>
      </c>
      <c r="E14" s="5" t="s">
        <v>226</v>
      </c>
      <c r="F14" s="5">
        <v>-85.992775117408044</v>
      </c>
      <c r="G14" s="5" t="s">
        <v>226</v>
      </c>
      <c r="H14" s="5">
        <v>-83.91351642832494</v>
      </c>
      <c r="I14" s="5" t="s">
        <v>226</v>
      </c>
      <c r="J14" s="5">
        <v>-81.059160202291409</v>
      </c>
      <c r="K14" s="5" t="s">
        <v>226</v>
      </c>
      <c r="L14" s="5">
        <v>-79.400841321081003</v>
      </c>
      <c r="M14" s="5" t="s">
        <v>226</v>
      </c>
      <c r="N14" s="5">
        <v>-77.264454372426812</v>
      </c>
      <c r="O14" s="5" t="s">
        <v>226</v>
      </c>
      <c r="P14" s="5">
        <v>-81.319107123323889</v>
      </c>
      <c r="Q14" s="5" t="s">
        <v>226</v>
      </c>
      <c r="R14" s="5">
        <v>-82.112736384572415</v>
      </c>
      <c r="S14" s="5" t="s">
        <v>226</v>
      </c>
      <c r="T14" s="5">
        <v>-81.13922795914803</v>
      </c>
      <c r="U14" s="5" t="s">
        <v>226</v>
      </c>
      <c r="V14" s="5">
        <v>-78.052048513630737</v>
      </c>
      <c r="W14" s="5" t="s">
        <v>226</v>
      </c>
      <c r="X14" s="5">
        <v>-81.703166973573644</v>
      </c>
      <c r="Y14" s="5" t="s">
        <v>226</v>
      </c>
      <c r="Z14" s="5">
        <v>-75.362333550294096</v>
      </c>
      <c r="AA14" s="5" t="s">
        <v>226</v>
      </c>
      <c r="AB14" s="5">
        <v>-75.582331338424154</v>
      </c>
      <c r="AC14" s="5" t="s">
        <v>226</v>
      </c>
      <c r="AD14" s="5">
        <v>-69.944009292275695</v>
      </c>
      <c r="AE14" s="5" t="s">
        <v>226</v>
      </c>
      <c r="AF14" s="5">
        <v>-63.538462290395081</v>
      </c>
      <c r="AG14" s="5" t="s">
        <v>226</v>
      </c>
      <c r="AH14" s="5">
        <v>-31.176590703772419</v>
      </c>
      <c r="AI14" s="5"/>
      <c r="AJ14" s="5">
        <v>-59.969769658372712</v>
      </c>
      <c r="AK14" s="5" t="s">
        <v>226</v>
      </c>
      <c r="AL14" s="5">
        <v>-52.187017511147047</v>
      </c>
      <c r="AM14" s="5" t="s">
        <v>226</v>
      </c>
      <c r="AN14" s="5">
        <v>-61.213288048376057</v>
      </c>
      <c r="AO14" s="5" t="s">
        <v>226</v>
      </c>
      <c r="AP14" s="5">
        <v>-67.453996901747274</v>
      </c>
      <c r="AQ14" s="5" t="s">
        <v>226</v>
      </c>
      <c r="AR14" s="5">
        <v>-50.330794703352197</v>
      </c>
      <c r="AS14" s="5" t="s">
        <v>226</v>
      </c>
      <c r="AT14" s="5">
        <v>-11.84466601082007</v>
      </c>
      <c r="AU14" s="5"/>
      <c r="AV14" s="6">
        <v>-53.678213988531773</v>
      </c>
      <c r="AW14" s="5" t="s">
        <v>226</v>
      </c>
    </row>
    <row r="15" spans="1:49" ht="30" customHeight="1" x14ac:dyDescent="0.25">
      <c r="A15" s="4" t="s">
        <v>228</v>
      </c>
      <c r="B15" s="5" t="s">
        <v>169</v>
      </c>
      <c r="C15" s="5" t="s">
        <v>169</v>
      </c>
      <c r="D15" s="5" t="s">
        <v>169</v>
      </c>
      <c r="E15" s="5" t="s">
        <v>169</v>
      </c>
      <c r="F15" s="5" t="s">
        <v>169</v>
      </c>
      <c r="G15" s="5" t="s">
        <v>169</v>
      </c>
      <c r="H15" s="5" t="s">
        <v>169</v>
      </c>
      <c r="I15" s="5" t="s">
        <v>169</v>
      </c>
      <c r="J15" s="5" t="s">
        <v>169</v>
      </c>
      <c r="K15" s="5" t="s">
        <v>169</v>
      </c>
      <c r="L15" s="5" t="s">
        <v>169</v>
      </c>
      <c r="M15" s="5" t="s">
        <v>169</v>
      </c>
      <c r="N15" s="5" t="s">
        <v>169</v>
      </c>
      <c r="O15" s="5" t="s">
        <v>169</v>
      </c>
      <c r="P15" s="5" t="s">
        <v>169</v>
      </c>
      <c r="Q15" s="5" t="s">
        <v>169</v>
      </c>
      <c r="R15" s="5" t="s">
        <v>169</v>
      </c>
      <c r="S15" s="5" t="s">
        <v>169</v>
      </c>
      <c r="T15" s="5" t="s">
        <v>169</v>
      </c>
      <c r="U15" s="5" t="s">
        <v>169</v>
      </c>
      <c r="V15" s="5" t="s">
        <v>169</v>
      </c>
      <c r="W15" s="5" t="s">
        <v>169</v>
      </c>
      <c r="X15" s="5" t="s">
        <v>169</v>
      </c>
      <c r="Y15" s="5" t="s">
        <v>169</v>
      </c>
      <c r="Z15" s="5" t="s">
        <v>169</v>
      </c>
      <c r="AA15" s="5" t="s">
        <v>169</v>
      </c>
      <c r="AB15" s="5" t="s">
        <v>169</v>
      </c>
      <c r="AC15" s="5" t="s">
        <v>169</v>
      </c>
      <c r="AD15" s="5" t="s">
        <v>169</v>
      </c>
      <c r="AE15" s="5" t="s">
        <v>169</v>
      </c>
      <c r="AF15" s="5" t="s">
        <v>169</v>
      </c>
      <c r="AG15" s="5" t="s">
        <v>169</v>
      </c>
      <c r="AH15" s="5" t="s">
        <v>169</v>
      </c>
      <c r="AI15" s="5" t="s">
        <v>169</v>
      </c>
      <c r="AJ15" s="5" t="s">
        <v>169</v>
      </c>
      <c r="AK15" s="5" t="s">
        <v>169</v>
      </c>
      <c r="AL15" s="5" t="s">
        <v>169</v>
      </c>
      <c r="AM15" s="5" t="s">
        <v>169</v>
      </c>
      <c r="AN15" s="5" t="s">
        <v>169</v>
      </c>
      <c r="AO15" s="5" t="s">
        <v>169</v>
      </c>
      <c r="AP15" s="5" t="s">
        <v>169</v>
      </c>
      <c r="AQ15" s="5" t="s">
        <v>169</v>
      </c>
      <c r="AR15" s="5" t="s">
        <v>169</v>
      </c>
      <c r="AS15" s="5" t="s">
        <v>169</v>
      </c>
      <c r="AT15" s="5" t="s">
        <v>169</v>
      </c>
      <c r="AU15" s="5" t="s">
        <v>169</v>
      </c>
      <c r="AV15" s="6" t="s">
        <v>169</v>
      </c>
      <c r="AW15" s="5" t="s">
        <v>169</v>
      </c>
    </row>
    <row r="16" spans="1:49" ht="30" customHeight="1" x14ac:dyDescent="0.25">
      <c r="A16" s="4" t="s">
        <v>141</v>
      </c>
      <c r="B16" s="5">
        <v>-42.993440347834891</v>
      </c>
      <c r="C16" s="5" t="s">
        <v>226</v>
      </c>
      <c r="D16" s="5">
        <v>-36.389287552416206</v>
      </c>
      <c r="E16" s="5" t="s">
        <v>226</v>
      </c>
      <c r="F16" s="5">
        <v>-33.586024749985462</v>
      </c>
      <c r="G16" s="5" t="s">
        <v>226</v>
      </c>
      <c r="H16" s="5">
        <v>-33.787807745284198</v>
      </c>
      <c r="I16" s="5" t="s">
        <v>226</v>
      </c>
      <c r="J16" s="5">
        <v>-41.419026731037633</v>
      </c>
      <c r="K16" s="5" t="s">
        <v>226</v>
      </c>
      <c r="L16" s="5">
        <v>-35.023803936765461</v>
      </c>
      <c r="M16" s="5" t="s">
        <v>226</v>
      </c>
      <c r="N16" s="5">
        <v>-30.073763458314151</v>
      </c>
      <c r="O16" s="5" t="s">
        <v>226</v>
      </c>
      <c r="P16" s="5">
        <v>-28.56233308370858</v>
      </c>
      <c r="Q16" s="5" t="s">
        <v>226</v>
      </c>
      <c r="R16" s="5">
        <v>-27.41550999592593</v>
      </c>
      <c r="S16" s="5" t="s">
        <v>226</v>
      </c>
      <c r="T16" s="5">
        <v>-27.20646657240269</v>
      </c>
      <c r="U16" s="5" t="s">
        <v>226</v>
      </c>
      <c r="V16" s="5">
        <v>-41.589329041172022</v>
      </c>
      <c r="W16" s="5" t="s">
        <v>226</v>
      </c>
      <c r="X16" s="5">
        <v>-19.543719775583341</v>
      </c>
      <c r="Y16" s="5"/>
      <c r="Z16" s="5">
        <v>-22.415577224445229</v>
      </c>
      <c r="AA16" s="5"/>
      <c r="AB16" s="5">
        <v>-29.859859756538679</v>
      </c>
      <c r="AC16" s="5" t="s">
        <v>226</v>
      </c>
      <c r="AD16" s="5">
        <v>-21.29317188254613</v>
      </c>
      <c r="AE16" s="5"/>
      <c r="AF16" s="5">
        <v>-23.943093659076101</v>
      </c>
      <c r="AG16" s="5" t="s">
        <v>226</v>
      </c>
      <c r="AH16" s="5">
        <v>-3.3021844881581548</v>
      </c>
      <c r="AI16" s="5"/>
      <c r="AJ16" s="5">
        <v>20.40889509286097</v>
      </c>
      <c r="AK16" s="5"/>
      <c r="AL16" s="5">
        <v>18.809039862855119</v>
      </c>
      <c r="AM16" s="5"/>
      <c r="AN16" s="5">
        <v>4.2234676116516434</v>
      </c>
      <c r="AO16" s="5"/>
      <c r="AP16" s="5">
        <v>-0.1974091368238895</v>
      </c>
      <c r="AQ16" s="5"/>
      <c r="AR16" s="5">
        <v>22.158984830098241</v>
      </c>
      <c r="AS16" s="5"/>
      <c r="AT16" s="5">
        <v>84.648297995822873</v>
      </c>
      <c r="AU16" s="5" t="s">
        <v>226</v>
      </c>
      <c r="AV16" s="6">
        <v>26.43087864233193</v>
      </c>
      <c r="AW16" s="5"/>
    </row>
    <row r="17" spans="1:49" ht="15.75" x14ac:dyDescent="0.25">
      <c r="A17" s="7" t="s">
        <v>142</v>
      </c>
      <c r="B17" s="8">
        <v>8.0453770457618248</v>
      </c>
      <c r="C17" s="8"/>
      <c r="D17" s="8">
        <v>-3.2870100609496582</v>
      </c>
      <c r="E17" s="8"/>
      <c r="F17" s="8">
        <v>42.395508554878589</v>
      </c>
      <c r="G17" s="8"/>
      <c r="H17" s="8">
        <v>16.945750445839192</v>
      </c>
      <c r="I17" s="8"/>
      <c r="J17" s="8">
        <v>-8.7776024587790218</v>
      </c>
      <c r="K17" s="8"/>
      <c r="L17" s="8">
        <v>-28.938099936370708</v>
      </c>
      <c r="M17" s="8"/>
      <c r="N17" s="8">
        <v>-10.84931569150042</v>
      </c>
      <c r="O17" s="8"/>
      <c r="P17" s="8">
        <v>18.322773339390501</v>
      </c>
      <c r="Q17" s="8"/>
      <c r="R17" s="8">
        <v>16.44432992239388</v>
      </c>
      <c r="S17" s="8"/>
      <c r="T17" s="8">
        <v>8.9163488804351321</v>
      </c>
      <c r="U17" s="8"/>
      <c r="V17" s="8">
        <v>-14.158607283014071</v>
      </c>
      <c r="W17" s="8"/>
      <c r="X17" s="8">
        <v>33.575172983861698</v>
      </c>
      <c r="Y17" s="8"/>
      <c r="Z17" s="8">
        <v>24.008999621736258</v>
      </c>
      <c r="AA17" s="8"/>
      <c r="AB17" s="8">
        <v>6.6088911207753842</v>
      </c>
      <c r="AC17" s="8"/>
      <c r="AD17" s="8">
        <v>30.843508450048461</v>
      </c>
      <c r="AE17" s="8"/>
      <c r="AF17" s="8">
        <v>57.475861195540382</v>
      </c>
      <c r="AG17" s="8"/>
      <c r="AH17" s="8">
        <v>57.858492732371737</v>
      </c>
      <c r="AI17" s="8"/>
      <c r="AJ17" s="8">
        <v>103.51542100697129</v>
      </c>
      <c r="AK17" s="8" t="s">
        <v>226</v>
      </c>
      <c r="AL17" s="8">
        <v>119.0488293104662</v>
      </c>
      <c r="AM17" s="8" t="s">
        <v>226</v>
      </c>
      <c r="AN17" s="8">
        <v>48.845931317463041</v>
      </c>
      <c r="AO17" s="8"/>
      <c r="AP17" s="8">
        <v>55.989811340596688</v>
      </c>
      <c r="AQ17" s="8"/>
      <c r="AR17" s="8">
        <v>170.1886362178345</v>
      </c>
      <c r="AS17" s="8" t="s">
        <v>226</v>
      </c>
      <c r="AT17" s="8">
        <v>198.41936241407129</v>
      </c>
      <c r="AU17" s="8" t="s">
        <v>226</v>
      </c>
      <c r="AV17" s="9">
        <v>18.38658633314601</v>
      </c>
      <c r="AW17" s="8"/>
    </row>
    <row r="18" spans="1:49" ht="15.75" x14ac:dyDescent="0.25">
      <c r="A18" s="7" t="s">
        <v>143</v>
      </c>
      <c r="B18" s="8">
        <v>-65.416165143624156</v>
      </c>
      <c r="C18" s="8" t="s">
        <v>226</v>
      </c>
      <c r="D18" s="8">
        <v>-64.432768916488811</v>
      </c>
      <c r="E18" s="8" t="s">
        <v>226</v>
      </c>
      <c r="F18" s="8">
        <v>-60.16278130753242</v>
      </c>
      <c r="G18" s="8" t="s">
        <v>226</v>
      </c>
      <c r="H18" s="8">
        <v>-61.931515630327837</v>
      </c>
      <c r="I18" s="8" t="s">
        <v>226</v>
      </c>
      <c r="J18" s="8">
        <v>-65.715766587300607</v>
      </c>
      <c r="K18" s="8" t="s">
        <v>226</v>
      </c>
      <c r="L18" s="8">
        <v>-62.678286825057157</v>
      </c>
      <c r="M18" s="8" t="s">
        <v>226</v>
      </c>
      <c r="N18" s="8">
        <v>-54.431093722203869</v>
      </c>
      <c r="O18" s="8" t="s">
        <v>226</v>
      </c>
      <c r="P18" s="8">
        <v>-59.288387238997792</v>
      </c>
      <c r="Q18" s="8" t="s">
        <v>226</v>
      </c>
      <c r="R18" s="8">
        <v>-58.37709623855045</v>
      </c>
      <c r="S18" s="8" t="s">
        <v>226</v>
      </c>
      <c r="T18" s="8">
        <v>-58.885640912000348</v>
      </c>
      <c r="U18" s="8" t="s">
        <v>226</v>
      </c>
      <c r="V18" s="8">
        <v>-68.143412490406376</v>
      </c>
      <c r="W18" s="8" t="s">
        <v>226</v>
      </c>
      <c r="X18" s="8">
        <v>-55.002179317864872</v>
      </c>
      <c r="Y18" s="8" t="s">
        <v>226</v>
      </c>
      <c r="Z18" s="8">
        <v>-53.913503946713398</v>
      </c>
      <c r="AA18" s="8" t="s">
        <v>226</v>
      </c>
      <c r="AB18" s="8">
        <v>-56.595832662127563</v>
      </c>
      <c r="AC18" s="8" t="s">
        <v>226</v>
      </c>
      <c r="AD18" s="8">
        <v>-56.539039475139361</v>
      </c>
      <c r="AE18" s="8" t="s">
        <v>226</v>
      </c>
      <c r="AF18" s="8">
        <v>-55.088125045055762</v>
      </c>
      <c r="AG18" s="8" t="s">
        <v>226</v>
      </c>
      <c r="AH18" s="8">
        <v>-30.587968817538808</v>
      </c>
      <c r="AI18" s="8" t="s">
        <v>226</v>
      </c>
      <c r="AJ18" s="8">
        <v>-27.524467821734461</v>
      </c>
      <c r="AK18" s="8"/>
      <c r="AL18" s="8">
        <v>-25.965460332801278</v>
      </c>
      <c r="AM18" s="8"/>
      <c r="AN18" s="8">
        <v>-17.498087568608621</v>
      </c>
      <c r="AO18" s="8"/>
      <c r="AP18" s="8">
        <v>-30.5642062327635</v>
      </c>
      <c r="AQ18" s="8"/>
      <c r="AR18" s="8">
        <v>-23.326234781319179</v>
      </c>
      <c r="AS18" s="8"/>
      <c r="AT18" s="8">
        <v>33.2437965697141</v>
      </c>
      <c r="AU18" s="8"/>
      <c r="AV18" s="9">
        <v>12.68683092331462</v>
      </c>
      <c r="AW18" s="8"/>
    </row>
    <row r="19" spans="1:49" ht="15.75" x14ac:dyDescent="0.25">
      <c r="A19" s="7" t="s">
        <v>144</v>
      </c>
      <c r="B19" s="8">
        <v>-24.402719368352631</v>
      </c>
      <c r="C19" s="8"/>
      <c r="D19" s="8">
        <v>5.6889780946368429</v>
      </c>
      <c r="E19" s="8"/>
      <c r="F19" s="8">
        <v>-13.438123143262381</v>
      </c>
      <c r="G19" s="8"/>
      <c r="H19" s="8">
        <v>-1.888680911354645</v>
      </c>
      <c r="I19" s="8"/>
      <c r="J19" s="8">
        <v>-11.7175565161881</v>
      </c>
      <c r="K19" s="8"/>
      <c r="L19" s="8">
        <v>23.731752702116871</v>
      </c>
      <c r="M19" s="8"/>
      <c r="N19" s="8">
        <v>-3.2968272241328811</v>
      </c>
      <c r="O19" s="8"/>
      <c r="P19" s="8">
        <v>10.21204043719564</v>
      </c>
      <c r="Q19" s="8"/>
      <c r="R19" s="8">
        <v>12.130009264171539</v>
      </c>
      <c r="S19" s="8"/>
      <c r="T19" s="8">
        <v>19.387325881947941</v>
      </c>
      <c r="U19" s="8"/>
      <c r="V19" s="8">
        <v>4.108876679193707</v>
      </c>
      <c r="W19" s="8"/>
      <c r="X19" s="8">
        <v>28.56089493614709</v>
      </c>
      <c r="Y19" s="8"/>
      <c r="Z19" s="8">
        <v>12.76203572522012</v>
      </c>
      <c r="AA19" s="8"/>
      <c r="AB19" s="8">
        <v>-2.6954481779201012</v>
      </c>
      <c r="AC19" s="8"/>
      <c r="AD19" s="8">
        <v>28.962925948601079</v>
      </c>
      <c r="AE19" s="8"/>
      <c r="AF19" s="8">
        <v>2.5031388684981559</v>
      </c>
      <c r="AG19" s="8"/>
      <c r="AH19" s="8">
        <v>8.1616999559020353</v>
      </c>
      <c r="AI19" s="8"/>
      <c r="AJ19" s="8">
        <v>67.752004376706651</v>
      </c>
      <c r="AK19" s="8"/>
      <c r="AL19" s="8">
        <v>52.738709982100843</v>
      </c>
      <c r="AM19" s="8"/>
      <c r="AN19" s="8">
        <v>10.14884918843619</v>
      </c>
      <c r="AO19" s="8"/>
      <c r="AP19" s="8">
        <v>17.159019958337531</v>
      </c>
      <c r="AQ19" s="8"/>
      <c r="AR19" s="8">
        <v>48.189604366426373</v>
      </c>
      <c r="AS19" s="8"/>
      <c r="AT19" s="8">
        <v>105.9862225224758</v>
      </c>
      <c r="AU19" s="8" t="s">
        <v>226</v>
      </c>
      <c r="AV19" s="9">
        <v>42.565355010254621</v>
      </c>
      <c r="AW19" s="8"/>
    </row>
    <row r="20" spans="1:49" ht="30" customHeight="1" x14ac:dyDescent="0.25">
      <c r="A20" s="819" t="s">
        <v>145</v>
      </c>
      <c r="B20" s="820">
        <v>-82.907294878712975</v>
      </c>
      <c r="C20" s="820" t="s">
        <v>226</v>
      </c>
      <c r="D20" s="820">
        <v>-81.627362192621774</v>
      </c>
      <c r="E20" s="820" t="s">
        <v>226</v>
      </c>
      <c r="F20" s="820">
        <v>-77.003351666816329</v>
      </c>
      <c r="G20" s="820" t="s">
        <v>226</v>
      </c>
      <c r="H20" s="820">
        <v>-73.999811265761878</v>
      </c>
      <c r="I20" s="820" t="s">
        <v>226</v>
      </c>
      <c r="J20" s="820">
        <v>-72.480685845599183</v>
      </c>
      <c r="K20" s="820" t="s">
        <v>226</v>
      </c>
      <c r="L20" s="820">
        <v>-71.701983650947625</v>
      </c>
      <c r="M20" s="820" t="s">
        <v>226</v>
      </c>
      <c r="N20" s="820">
        <v>-67.657828153790518</v>
      </c>
      <c r="O20" s="820" t="s">
        <v>226</v>
      </c>
      <c r="P20" s="820">
        <v>-68.383136742411793</v>
      </c>
      <c r="Q20" s="820" t="s">
        <v>226</v>
      </c>
      <c r="R20" s="820">
        <v>-66.91034170271233</v>
      </c>
      <c r="S20" s="820" t="s">
        <v>226</v>
      </c>
      <c r="T20" s="820">
        <v>-60.992232468393453</v>
      </c>
      <c r="U20" s="820" t="s">
        <v>226</v>
      </c>
      <c r="V20" s="820">
        <v>-64.342950111683351</v>
      </c>
      <c r="W20" s="820" t="s">
        <v>226</v>
      </c>
      <c r="X20" s="820">
        <v>-62.429788261982623</v>
      </c>
      <c r="Y20" s="820" t="s">
        <v>226</v>
      </c>
      <c r="Z20" s="820">
        <v>-60.505374444249483</v>
      </c>
      <c r="AA20" s="820" t="s">
        <v>226</v>
      </c>
      <c r="AB20" s="820">
        <v>-63.781685576559212</v>
      </c>
      <c r="AC20" s="820" t="s">
        <v>226</v>
      </c>
      <c r="AD20" s="820">
        <v>-59.351997418366047</v>
      </c>
      <c r="AE20" s="820" t="s">
        <v>226</v>
      </c>
      <c r="AF20" s="820">
        <v>-58.482983892036152</v>
      </c>
      <c r="AG20" s="820" t="s">
        <v>226</v>
      </c>
      <c r="AH20" s="820">
        <v>-46.062131237289648</v>
      </c>
      <c r="AI20" s="820" t="s">
        <v>226</v>
      </c>
      <c r="AJ20" s="820">
        <v>-47.730238029050973</v>
      </c>
      <c r="AK20" s="820" t="s">
        <v>226</v>
      </c>
      <c r="AL20" s="820">
        <v>-37.058383514919917</v>
      </c>
      <c r="AM20" s="820" t="s">
        <v>226</v>
      </c>
      <c r="AN20" s="820">
        <v>-38.092975913290218</v>
      </c>
      <c r="AO20" s="820" t="s">
        <v>226</v>
      </c>
      <c r="AP20" s="820">
        <v>-44.825791194772712</v>
      </c>
      <c r="AQ20" s="820" t="s">
        <v>226</v>
      </c>
      <c r="AR20" s="820">
        <v>-32.92622837173829</v>
      </c>
      <c r="AS20" s="820" t="s">
        <v>226</v>
      </c>
      <c r="AT20" s="820">
        <v>-1.9296524058190161</v>
      </c>
      <c r="AU20" s="820"/>
      <c r="AV20" s="821">
        <v>-8.4276052447415655</v>
      </c>
      <c r="AW20" s="820"/>
    </row>
    <row r="21" spans="1:49" ht="30" customHeight="1" x14ac:dyDescent="0.25">
      <c r="A21" s="4" t="s">
        <v>147</v>
      </c>
      <c r="B21" s="5">
        <v>-86.959307155902579</v>
      </c>
      <c r="C21" s="5" t="s">
        <v>226</v>
      </c>
      <c r="D21" s="5">
        <v>-85.34099916828977</v>
      </c>
      <c r="E21" s="5" t="s">
        <v>226</v>
      </c>
      <c r="F21" s="5">
        <v>-83.053585537484167</v>
      </c>
      <c r="G21" s="5" t="s">
        <v>226</v>
      </c>
      <c r="H21" s="5">
        <v>-77.604161021423067</v>
      </c>
      <c r="I21" s="5" t="s">
        <v>226</v>
      </c>
      <c r="J21" s="5">
        <v>-76.325828766492236</v>
      </c>
      <c r="K21" s="5" t="s">
        <v>226</v>
      </c>
      <c r="L21" s="5">
        <v>-75.290177558120035</v>
      </c>
      <c r="M21" s="5" t="s">
        <v>226</v>
      </c>
      <c r="N21" s="5">
        <v>-69.195216292166535</v>
      </c>
      <c r="O21" s="5" t="s">
        <v>226</v>
      </c>
      <c r="P21" s="5">
        <v>-67.930009694885101</v>
      </c>
      <c r="Q21" s="5" t="s">
        <v>226</v>
      </c>
      <c r="R21" s="5">
        <v>-67.065078925461435</v>
      </c>
      <c r="S21" s="5" t="s">
        <v>226</v>
      </c>
      <c r="T21" s="5">
        <v>-65.252081265626899</v>
      </c>
      <c r="U21" s="5" t="s">
        <v>226</v>
      </c>
      <c r="V21" s="5">
        <v>-66.113029962457077</v>
      </c>
      <c r="W21" s="5" t="s">
        <v>226</v>
      </c>
      <c r="X21" s="5">
        <v>-63.069858438206531</v>
      </c>
      <c r="Y21" s="5" t="s">
        <v>226</v>
      </c>
      <c r="Z21" s="5">
        <v>-66.959433699392093</v>
      </c>
      <c r="AA21" s="5" t="s">
        <v>226</v>
      </c>
      <c r="AB21" s="5">
        <v>-62.701191566386647</v>
      </c>
      <c r="AC21" s="5" t="s">
        <v>226</v>
      </c>
      <c r="AD21" s="5">
        <v>-60.891759972386822</v>
      </c>
      <c r="AE21" s="5" t="s">
        <v>226</v>
      </c>
      <c r="AF21" s="5">
        <v>-55.278119585711579</v>
      </c>
      <c r="AG21" s="5" t="s">
        <v>226</v>
      </c>
      <c r="AH21" s="5">
        <v>-55.041660728870397</v>
      </c>
      <c r="AI21" s="5" t="s">
        <v>226</v>
      </c>
      <c r="AJ21" s="5">
        <v>-48.95696431041037</v>
      </c>
      <c r="AK21" s="5" t="s">
        <v>226</v>
      </c>
      <c r="AL21" s="5">
        <v>-44.582569764085633</v>
      </c>
      <c r="AM21" s="5" t="s">
        <v>226</v>
      </c>
      <c r="AN21" s="5">
        <v>-47.36515317565032</v>
      </c>
      <c r="AO21" s="5" t="s">
        <v>226</v>
      </c>
      <c r="AP21" s="5">
        <v>-48.424303807268352</v>
      </c>
      <c r="AQ21" s="5" t="s">
        <v>226</v>
      </c>
      <c r="AR21" s="5">
        <v>-37.596357719351097</v>
      </c>
      <c r="AS21" s="5" t="s">
        <v>226</v>
      </c>
      <c r="AT21" s="5">
        <v>-9.4916153581029565</v>
      </c>
      <c r="AU21" s="5"/>
      <c r="AV21" s="6">
        <v>-8.5437291919900566</v>
      </c>
      <c r="AW21" s="5"/>
    </row>
    <row r="22" spans="1:49" ht="15.75" x14ac:dyDescent="0.25">
      <c r="A22" s="7" t="s">
        <v>153</v>
      </c>
      <c r="B22" s="8">
        <v>-88.261111035527279</v>
      </c>
      <c r="C22" s="8" t="s">
        <v>226</v>
      </c>
      <c r="D22" s="8">
        <v>-85.895779975147718</v>
      </c>
      <c r="E22" s="8" t="s">
        <v>226</v>
      </c>
      <c r="F22" s="8">
        <v>-85.266061876611147</v>
      </c>
      <c r="G22" s="8" t="s">
        <v>226</v>
      </c>
      <c r="H22" s="8">
        <v>-79.9693630072491</v>
      </c>
      <c r="I22" s="8" t="s">
        <v>226</v>
      </c>
      <c r="J22" s="8">
        <v>-79.137009574651259</v>
      </c>
      <c r="K22" s="8" t="s">
        <v>226</v>
      </c>
      <c r="L22" s="8">
        <v>-77.339341923596564</v>
      </c>
      <c r="M22" s="8" t="s">
        <v>226</v>
      </c>
      <c r="N22" s="8">
        <v>-73.667492086470617</v>
      </c>
      <c r="O22" s="8" t="s">
        <v>226</v>
      </c>
      <c r="P22" s="8">
        <v>-72.055861605720054</v>
      </c>
      <c r="Q22" s="8" t="s">
        <v>226</v>
      </c>
      <c r="R22" s="8">
        <v>-70.572310411623945</v>
      </c>
      <c r="S22" s="8" t="s">
        <v>226</v>
      </c>
      <c r="T22" s="8">
        <v>-68.782364892463193</v>
      </c>
      <c r="U22" s="8" t="s">
        <v>226</v>
      </c>
      <c r="V22" s="8">
        <v>-70.257160679845626</v>
      </c>
      <c r="W22" s="8" t="s">
        <v>226</v>
      </c>
      <c r="X22" s="8">
        <v>-66.934425129255246</v>
      </c>
      <c r="Y22" s="8" t="s">
        <v>226</v>
      </c>
      <c r="Z22" s="8">
        <v>-70.553164644821791</v>
      </c>
      <c r="AA22" s="8" t="s">
        <v>226</v>
      </c>
      <c r="AB22" s="8">
        <v>-66.34354720781505</v>
      </c>
      <c r="AC22" s="8" t="s">
        <v>226</v>
      </c>
      <c r="AD22" s="8">
        <v>-63.591632370779728</v>
      </c>
      <c r="AE22" s="8" t="s">
        <v>226</v>
      </c>
      <c r="AF22" s="8">
        <v>-59.724003749459662</v>
      </c>
      <c r="AG22" s="8" t="s">
        <v>226</v>
      </c>
      <c r="AH22" s="8">
        <v>-57.803984522753638</v>
      </c>
      <c r="AI22" s="8" t="s">
        <v>226</v>
      </c>
      <c r="AJ22" s="8">
        <v>-51.400137371363677</v>
      </c>
      <c r="AK22" s="8" t="s">
        <v>226</v>
      </c>
      <c r="AL22" s="8">
        <v>-51.156948392464429</v>
      </c>
      <c r="AM22" s="8" t="s">
        <v>226</v>
      </c>
      <c r="AN22" s="8">
        <v>-51.121839867874712</v>
      </c>
      <c r="AO22" s="8" t="s">
        <v>226</v>
      </c>
      <c r="AP22" s="8">
        <v>-52.542831508698072</v>
      </c>
      <c r="AQ22" s="8" t="s">
        <v>226</v>
      </c>
      <c r="AR22" s="8">
        <v>-40.205725409099969</v>
      </c>
      <c r="AS22" s="8" t="s">
        <v>226</v>
      </c>
      <c r="AT22" s="8">
        <v>1.9333466696074051</v>
      </c>
      <c r="AU22" s="8"/>
      <c r="AV22" s="9">
        <v>-3.163054439312496</v>
      </c>
      <c r="AW22" s="8"/>
    </row>
    <row r="23" spans="1:49" ht="15.75" x14ac:dyDescent="0.25">
      <c r="A23" s="7" t="s">
        <v>149</v>
      </c>
      <c r="B23" s="8">
        <v>-91.010384165701069</v>
      </c>
      <c r="C23" s="8" t="s">
        <v>226</v>
      </c>
      <c r="D23" s="8">
        <v>-89.589441218091736</v>
      </c>
      <c r="E23" s="8" t="s">
        <v>226</v>
      </c>
      <c r="F23" s="8">
        <v>-88.709128921594171</v>
      </c>
      <c r="G23" s="8" t="s">
        <v>226</v>
      </c>
      <c r="H23" s="8">
        <v>-83.573752099339046</v>
      </c>
      <c r="I23" s="8" t="s">
        <v>226</v>
      </c>
      <c r="J23" s="8">
        <v>-83.207618644827051</v>
      </c>
      <c r="K23" s="8" t="s">
        <v>226</v>
      </c>
      <c r="L23" s="8">
        <v>-82.716249528627316</v>
      </c>
      <c r="M23" s="8" t="s">
        <v>226</v>
      </c>
      <c r="N23" s="8">
        <v>-78.524909327788578</v>
      </c>
      <c r="O23" s="8" t="s">
        <v>226</v>
      </c>
      <c r="P23" s="8">
        <v>-77.1864984098235</v>
      </c>
      <c r="Q23" s="8" t="s">
        <v>226</v>
      </c>
      <c r="R23" s="8">
        <v>-76.642130269726636</v>
      </c>
      <c r="S23" s="8" t="s">
        <v>226</v>
      </c>
      <c r="T23" s="8">
        <v>-75.243160789609846</v>
      </c>
      <c r="U23" s="8" t="s">
        <v>226</v>
      </c>
      <c r="V23" s="8">
        <v>-75.873601242790315</v>
      </c>
      <c r="W23" s="8" t="s">
        <v>226</v>
      </c>
      <c r="X23" s="8">
        <v>-73.251301388024331</v>
      </c>
      <c r="Y23" s="8" t="s">
        <v>226</v>
      </c>
      <c r="Z23" s="8">
        <v>-74.915571593696654</v>
      </c>
      <c r="AA23" s="8" t="s">
        <v>226</v>
      </c>
      <c r="AB23" s="8">
        <v>-72.143585732311877</v>
      </c>
      <c r="AC23" s="8" t="s">
        <v>226</v>
      </c>
      <c r="AD23" s="8">
        <v>-70.749142193621566</v>
      </c>
      <c r="AE23" s="8" t="s">
        <v>226</v>
      </c>
      <c r="AF23" s="8">
        <v>-63.702033219556448</v>
      </c>
      <c r="AG23" s="8" t="s">
        <v>226</v>
      </c>
      <c r="AH23" s="8">
        <v>-64.706408997460613</v>
      </c>
      <c r="AI23" s="8" t="s">
        <v>226</v>
      </c>
      <c r="AJ23" s="8">
        <v>-58.418646738681034</v>
      </c>
      <c r="AK23" s="8" t="s">
        <v>226</v>
      </c>
      <c r="AL23" s="8">
        <v>-54.591548110727622</v>
      </c>
      <c r="AM23" s="8" t="s">
        <v>226</v>
      </c>
      <c r="AN23" s="8">
        <v>-57.397672318446659</v>
      </c>
      <c r="AO23" s="8" t="s">
        <v>226</v>
      </c>
      <c r="AP23" s="8">
        <v>-58.407859766955049</v>
      </c>
      <c r="AQ23" s="8" t="s">
        <v>226</v>
      </c>
      <c r="AR23" s="8">
        <v>-47.509019279007312</v>
      </c>
      <c r="AS23" s="8" t="s">
        <v>226</v>
      </c>
      <c r="AT23" s="8">
        <v>-5.4098546280197386</v>
      </c>
      <c r="AU23" s="8"/>
      <c r="AV23" s="9">
        <v>3.2919667222098599</v>
      </c>
      <c r="AW23" s="8"/>
    </row>
    <row r="24" spans="1:49" ht="15.75" x14ac:dyDescent="0.25">
      <c r="A24" s="7" t="s">
        <v>150</v>
      </c>
      <c r="B24" s="8">
        <v>-78.505337514228188</v>
      </c>
      <c r="C24" s="8" t="s">
        <v>226</v>
      </c>
      <c r="D24" s="8">
        <v>-70.20986795171045</v>
      </c>
      <c r="E24" s="8" t="s">
        <v>226</v>
      </c>
      <c r="F24" s="8">
        <v>-73.08594316838375</v>
      </c>
      <c r="G24" s="8" t="s">
        <v>226</v>
      </c>
      <c r="H24" s="8">
        <v>-70.296493147702918</v>
      </c>
      <c r="I24" s="8" t="s">
        <v>226</v>
      </c>
      <c r="J24" s="8">
        <v>-67.41427969998449</v>
      </c>
      <c r="K24" s="8" t="s">
        <v>226</v>
      </c>
      <c r="L24" s="8">
        <v>-57.904198005537367</v>
      </c>
      <c r="M24" s="8" t="s">
        <v>226</v>
      </c>
      <c r="N24" s="8">
        <v>-60.36174538246464</v>
      </c>
      <c r="O24" s="8" t="s">
        <v>226</v>
      </c>
      <c r="P24" s="8">
        <v>-58.056979767966737</v>
      </c>
      <c r="Q24" s="8" t="s">
        <v>226</v>
      </c>
      <c r="R24" s="8">
        <v>-52.099225220777882</v>
      </c>
      <c r="S24" s="8" t="s">
        <v>226</v>
      </c>
      <c r="T24" s="8">
        <v>-49.049235987090732</v>
      </c>
      <c r="U24" s="8" t="s">
        <v>226</v>
      </c>
      <c r="V24" s="8">
        <v>-54.557779441434121</v>
      </c>
      <c r="W24" s="8" t="s">
        <v>226</v>
      </c>
      <c r="X24" s="8">
        <v>-49.092881074080971</v>
      </c>
      <c r="Y24" s="8" t="s">
        <v>226</v>
      </c>
      <c r="Z24" s="8">
        <v>-60.309261244569953</v>
      </c>
      <c r="AA24" s="8" t="s">
        <v>226</v>
      </c>
      <c r="AB24" s="8">
        <v>-51.293046075171219</v>
      </c>
      <c r="AC24" s="8" t="s">
        <v>226</v>
      </c>
      <c r="AD24" s="8">
        <v>-42.831173505166497</v>
      </c>
      <c r="AE24" s="8" t="s">
        <v>226</v>
      </c>
      <c r="AF24" s="8">
        <v>-51.90093881589366</v>
      </c>
      <c r="AG24" s="8" t="s">
        <v>226</v>
      </c>
      <c r="AH24" s="8">
        <v>-40.548735241838607</v>
      </c>
      <c r="AI24" s="8" t="s">
        <v>226</v>
      </c>
      <c r="AJ24" s="8">
        <v>-35.157310796511993</v>
      </c>
      <c r="AK24" s="8" t="s">
        <v>226</v>
      </c>
      <c r="AL24" s="8">
        <v>-44.98095525359448</v>
      </c>
      <c r="AM24" s="8" t="s">
        <v>226</v>
      </c>
      <c r="AN24" s="8">
        <v>-37.446265349062791</v>
      </c>
      <c r="AO24" s="8" t="s">
        <v>226</v>
      </c>
      <c r="AP24" s="8">
        <v>-39.982867060599538</v>
      </c>
      <c r="AQ24" s="8" t="s">
        <v>226</v>
      </c>
      <c r="AR24" s="8">
        <v>-24.64632524892636</v>
      </c>
      <c r="AS24" s="8"/>
      <c r="AT24" s="8">
        <v>15.20638732863422</v>
      </c>
      <c r="AU24" s="8"/>
      <c r="AV24" s="9">
        <v>-11.38184913916586</v>
      </c>
      <c r="AW24" s="8"/>
    </row>
    <row r="25" spans="1:49" ht="15.75" x14ac:dyDescent="0.25">
      <c r="A25" s="7" t="s">
        <v>154</v>
      </c>
      <c r="B25" s="8">
        <v>-84.594084057982101</v>
      </c>
      <c r="C25" s="8" t="s">
        <v>226</v>
      </c>
      <c r="D25" s="8">
        <v>-84.496769565281852</v>
      </c>
      <c r="E25" s="8" t="s">
        <v>226</v>
      </c>
      <c r="F25" s="8">
        <v>-78.60608334140467</v>
      </c>
      <c r="G25" s="8" t="s">
        <v>226</v>
      </c>
      <c r="H25" s="8">
        <v>-73.227674541017606</v>
      </c>
      <c r="I25" s="8" t="s">
        <v>226</v>
      </c>
      <c r="J25" s="8">
        <v>-70.896848525213514</v>
      </c>
      <c r="K25" s="8" t="s">
        <v>226</v>
      </c>
      <c r="L25" s="8">
        <v>-71.75406468672324</v>
      </c>
      <c r="M25" s="8" t="s">
        <v>226</v>
      </c>
      <c r="N25" s="8">
        <v>-59.725626444556838</v>
      </c>
      <c r="O25" s="8" t="s">
        <v>226</v>
      </c>
      <c r="P25" s="8">
        <v>-59.690619822126692</v>
      </c>
      <c r="Q25" s="8" t="s">
        <v>226</v>
      </c>
      <c r="R25" s="8">
        <v>-60.557154081227097</v>
      </c>
      <c r="S25" s="8" t="s">
        <v>226</v>
      </c>
      <c r="T25" s="8">
        <v>-58.80223654751655</v>
      </c>
      <c r="U25" s="8" t="s">
        <v>226</v>
      </c>
      <c r="V25" s="8">
        <v>-58.014261983661498</v>
      </c>
      <c r="W25" s="8" t="s">
        <v>226</v>
      </c>
      <c r="X25" s="8">
        <v>-55.940894354570297</v>
      </c>
      <c r="Y25" s="8" t="s">
        <v>226</v>
      </c>
      <c r="Z25" s="8">
        <v>-60.242109944810963</v>
      </c>
      <c r="AA25" s="8" t="s">
        <v>226</v>
      </c>
      <c r="AB25" s="8">
        <v>-56.12815717593471</v>
      </c>
      <c r="AC25" s="8" t="s">
        <v>226</v>
      </c>
      <c r="AD25" s="8">
        <v>-56.417511754782048</v>
      </c>
      <c r="AE25" s="8" t="s">
        <v>226</v>
      </c>
      <c r="AF25" s="8">
        <v>-47.210938336094507</v>
      </c>
      <c r="AG25" s="8" t="s">
        <v>226</v>
      </c>
      <c r="AH25" s="8">
        <v>-50.56103654181566</v>
      </c>
      <c r="AI25" s="8" t="s">
        <v>226</v>
      </c>
      <c r="AJ25" s="8">
        <v>-45.13883874877942</v>
      </c>
      <c r="AK25" s="8" t="s">
        <v>226</v>
      </c>
      <c r="AL25" s="8">
        <v>-31.890744792441279</v>
      </c>
      <c r="AM25" s="8" t="s">
        <v>226</v>
      </c>
      <c r="AN25" s="8">
        <v>-41.097743560715962</v>
      </c>
      <c r="AO25" s="8" t="s">
        <v>226</v>
      </c>
      <c r="AP25" s="8">
        <v>-41.381586621179437</v>
      </c>
      <c r="AQ25" s="8" t="s">
        <v>226</v>
      </c>
      <c r="AR25" s="8">
        <v>-33.58385476149104</v>
      </c>
      <c r="AS25" s="8" t="s">
        <v>226</v>
      </c>
      <c r="AT25" s="8">
        <v>-21.649215410494651</v>
      </c>
      <c r="AU25" s="8"/>
      <c r="AV25" s="9">
        <v>-15.07639024316463</v>
      </c>
      <c r="AW25" s="8"/>
    </row>
    <row r="26" spans="1:49" ht="30" customHeight="1" x14ac:dyDescent="0.25">
      <c r="A26" s="7" t="s">
        <v>239</v>
      </c>
      <c r="B26" s="8">
        <v>-87.184020129260318</v>
      </c>
      <c r="C26" s="8" t="s">
        <v>226</v>
      </c>
      <c r="D26" s="8">
        <v>-85.671156927312907</v>
      </c>
      <c r="E26" s="8" t="s">
        <v>226</v>
      </c>
      <c r="F26" s="8">
        <v>-81.722229448678092</v>
      </c>
      <c r="G26" s="8" t="s">
        <v>226</v>
      </c>
      <c r="H26" s="8">
        <v>-76.145428324802523</v>
      </c>
      <c r="I26" s="8" t="s">
        <v>226</v>
      </c>
      <c r="J26" s="8">
        <v>-75.924578954970372</v>
      </c>
      <c r="K26" s="8" t="s">
        <v>226</v>
      </c>
      <c r="L26" s="8">
        <v>-75.262085066918601</v>
      </c>
      <c r="M26" s="8" t="s">
        <v>226</v>
      </c>
      <c r="N26" s="8">
        <v>-68.769298393139337</v>
      </c>
      <c r="O26" s="8" t="s">
        <v>226</v>
      </c>
      <c r="P26" s="8">
        <v>-67.26742880201742</v>
      </c>
      <c r="Q26" s="8" t="s">
        <v>226</v>
      </c>
      <c r="R26" s="8">
        <v>-66.507903788794437</v>
      </c>
      <c r="S26" s="8" t="s">
        <v>226</v>
      </c>
      <c r="T26" s="8">
        <v>-66.393100352969014</v>
      </c>
      <c r="U26" s="8" t="s">
        <v>226</v>
      </c>
      <c r="V26" s="8">
        <v>-66.384570719207133</v>
      </c>
      <c r="W26" s="8" t="s">
        <v>226</v>
      </c>
      <c r="X26" s="8">
        <v>-62.614472088714457</v>
      </c>
      <c r="Y26" s="8" t="s">
        <v>226</v>
      </c>
      <c r="Z26" s="8">
        <v>-66.763334670624857</v>
      </c>
      <c r="AA26" s="8" t="s">
        <v>226</v>
      </c>
      <c r="AB26" s="8">
        <v>-64.321704973347735</v>
      </c>
      <c r="AC26" s="8" t="s">
        <v>226</v>
      </c>
      <c r="AD26" s="8">
        <v>-61.141461001219852</v>
      </c>
      <c r="AE26" s="8" t="s">
        <v>226</v>
      </c>
      <c r="AF26" s="8">
        <v>-56.053303633964973</v>
      </c>
      <c r="AG26" s="8" t="s">
        <v>226</v>
      </c>
      <c r="AH26" s="8">
        <v>-54.790322625948363</v>
      </c>
      <c r="AI26" s="8" t="s">
        <v>226</v>
      </c>
      <c r="AJ26" s="8">
        <v>-48.105998298763083</v>
      </c>
      <c r="AK26" s="8" t="s">
        <v>226</v>
      </c>
      <c r="AL26" s="8">
        <v>-44.312579495973459</v>
      </c>
      <c r="AM26" s="8" t="s">
        <v>226</v>
      </c>
      <c r="AN26" s="8">
        <v>-48.496815543016552</v>
      </c>
      <c r="AO26" s="8" t="s">
        <v>226</v>
      </c>
      <c r="AP26" s="8">
        <v>-49.991970892094571</v>
      </c>
      <c r="AQ26" s="8" t="s">
        <v>226</v>
      </c>
      <c r="AR26" s="8">
        <v>-42.16389005922538</v>
      </c>
      <c r="AS26" s="8" t="s">
        <v>226</v>
      </c>
      <c r="AT26" s="8">
        <v>-12.342893479592099</v>
      </c>
      <c r="AU26" s="8"/>
      <c r="AV26" s="9">
        <v>-7.9575935636800317</v>
      </c>
      <c r="AW26" s="8"/>
    </row>
    <row r="27" spans="1:49" ht="15.75" x14ac:dyDescent="0.25">
      <c r="A27" s="7" t="s">
        <v>153</v>
      </c>
      <c r="B27" s="8">
        <v>-88.620332893741988</v>
      </c>
      <c r="C27" s="8" t="s">
        <v>226</v>
      </c>
      <c r="D27" s="8">
        <v>-86.285463470951257</v>
      </c>
      <c r="E27" s="8" t="s">
        <v>226</v>
      </c>
      <c r="F27" s="8">
        <v>-84.426516138850531</v>
      </c>
      <c r="G27" s="8" t="s">
        <v>226</v>
      </c>
      <c r="H27" s="8">
        <v>-78.557627659184377</v>
      </c>
      <c r="I27" s="8" t="s">
        <v>226</v>
      </c>
      <c r="J27" s="8">
        <v>-78.814770577494173</v>
      </c>
      <c r="K27" s="8" t="s">
        <v>226</v>
      </c>
      <c r="L27" s="8">
        <v>-77.839030121349367</v>
      </c>
      <c r="M27" s="8" t="s">
        <v>226</v>
      </c>
      <c r="N27" s="8">
        <v>-74.462373178588052</v>
      </c>
      <c r="O27" s="8" t="s">
        <v>226</v>
      </c>
      <c r="P27" s="8">
        <v>-72.400207973465541</v>
      </c>
      <c r="Q27" s="8" t="s">
        <v>226</v>
      </c>
      <c r="R27" s="8">
        <v>-71.063050556550294</v>
      </c>
      <c r="S27" s="8" t="s">
        <v>226</v>
      </c>
      <c r="T27" s="8">
        <v>-71.560253231328545</v>
      </c>
      <c r="U27" s="8" t="s">
        <v>226</v>
      </c>
      <c r="V27" s="8">
        <v>-72.02170533596049</v>
      </c>
      <c r="W27" s="8" t="s">
        <v>226</v>
      </c>
      <c r="X27" s="8">
        <v>-68.159265145373695</v>
      </c>
      <c r="Y27" s="8" t="s">
        <v>226</v>
      </c>
      <c r="Z27" s="8">
        <v>-72.197156646448207</v>
      </c>
      <c r="AA27" s="8" t="s">
        <v>226</v>
      </c>
      <c r="AB27" s="8">
        <v>-69.749448551092655</v>
      </c>
      <c r="AC27" s="8" t="s">
        <v>226</v>
      </c>
      <c r="AD27" s="8">
        <v>-65.919812912507439</v>
      </c>
      <c r="AE27" s="8" t="s">
        <v>226</v>
      </c>
      <c r="AF27" s="8">
        <v>-62.762041931093037</v>
      </c>
      <c r="AG27" s="8" t="s">
        <v>226</v>
      </c>
      <c r="AH27" s="8">
        <v>-59.359053146833723</v>
      </c>
      <c r="AI27" s="8" t="s">
        <v>226</v>
      </c>
      <c r="AJ27" s="8">
        <v>-50.959121175859188</v>
      </c>
      <c r="AK27" s="8" t="s">
        <v>226</v>
      </c>
      <c r="AL27" s="8">
        <v>-52.760605222421063</v>
      </c>
      <c r="AM27" s="8" t="s">
        <v>226</v>
      </c>
      <c r="AN27" s="8">
        <v>-55.245213448344998</v>
      </c>
      <c r="AO27" s="8" t="s">
        <v>226</v>
      </c>
      <c r="AP27" s="8">
        <v>-56.102766578083717</v>
      </c>
      <c r="AQ27" s="8" t="s">
        <v>226</v>
      </c>
      <c r="AR27" s="8">
        <v>-45.49810226925436</v>
      </c>
      <c r="AS27" s="8" t="s">
        <v>226</v>
      </c>
      <c r="AT27" s="8">
        <v>-4.9079623694039061</v>
      </c>
      <c r="AU27" s="8"/>
      <c r="AV27" s="9">
        <v>-5.1072617652519696</v>
      </c>
      <c r="AW27" s="8"/>
    </row>
    <row r="28" spans="1:49" ht="15.75" x14ac:dyDescent="0.25">
      <c r="A28" s="7" t="s">
        <v>149</v>
      </c>
      <c r="B28" s="8">
        <v>-91.740397922920792</v>
      </c>
      <c r="C28" s="8" t="s">
        <v>226</v>
      </c>
      <c r="D28" s="8">
        <v>-89.814685034598469</v>
      </c>
      <c r="E28" s="8" t="s">
        <v>226</v>
      </c>
      <c r="F28" s="8">
        <v>-87.580971777606706</v>
      </c>
      <c r="G28" s="8" t="s">
        <v>226</v>
      </c>
      <c r="H28" s="8">
        <v>-82.931286264613234</v>
      </c>
      <c r="I28" s="8" t="s">
        <v>226</v>
      </c>
      <c r="J28" s="8">
        <v>-83.466699729195753</v>
      </c>
      <c r="K28" s="8" t="s">
        <v>226</v>
      </c>
      <c r="L28" s="8">
        <v>-83.772536216535016</v>
      </c>
      <c r="M28" s="8" t="s">
        <v>226</v>
      </c>
      <c r="N28" s="8">
        <v>-79.201863657785196</v>
      </c>
      <c r="O28" s="8" t="s">
        <v>226</v>
      </c>
      <c r="P28" s="8">
        <v>-77.943069574114517</v>
      </c>
      <c r="Q28" s="8" t="s">
        <v>226</v>
      </c>
      <c r="R28" s="8">
        <v>-77.421820680920547</v>
      </c>
      <c r="S28" s="8" t="s">
        <v>226</v>
      </c>
      <c r="T28" s="8">
        <v>-77.932142452815484</v>
      </c>
      <c r="U28" s="8" t="s">
        <v>226</v>
      </c>
      <c r="V28" s="8">
        <v>-77.239512054429099</v>
      </c>
      <c r="W28" s="8" t="s">
        <v>226</v>
      </c>
      <c r="X28" s="8">
        <v>-74.072792035048025</v>
      </c>
      <c r="Y28" s="8" t="s">
        <v>226</v>
      </c>
      <c r="Z28" s="8">
        <v>-76.067396942860512</v>
      </c>
      <c r="AA28" s="8" t="s">
        <v>226</v>
      </c>
      <c r="AB28" s="8">
        <v>-75.005637688084434</v>
      </c>
      <c r="AC28" s="8" t="s">
        <v>226</v>
      </c>
      <c r="AD28" s="8">
        <v>-72.331353875739097</v>
      </c>
      <c r="AE28" s="8" t="s">
        <v>226</v>
      </c>
      <c r="AF28" s="8">
        <v>-66.421911598803803</v>
      </c>
      <c r="AG28" s="8" t="s">
        <v>226</v>
      </c>
      <c r="AH28" s="8">
        <v>-64.999474114000108</v>
      </c>
      <c r="AI28" s="8" t="s">
        <v>226</v>
      </c>
      <c r="AJ28" s="8">
        <v>-55.996306086687063</v>
      </c>
      <c r="AK28" s="8" t="s">
        <v>226</v>
      </c>
      <c r="AL28" s="8">
        <v>-54.787909169143532</v>
      </c>
      <c r="AM28" s="8" t="s">
        <v>226</v>
      </c>
      <c r="AN28" s="8">
        <v>-60.084289815881078</v>
      </c>
      <c r="AO28" s="8" t="s">
        <v>226</v>
      </c>
      <c r="AP28" s="8">
        <v>-61.162511703682341</v>
      </c>
      <c r="AQ28" s="8" t="s">
        <v>226</v>
      </c>
      <c r="AR28" s="8">
        <v>-52.072169954795967</v>
      </c>
      <c r="AS28" s="8" t="s">
        <v>226</v>
      </c>
      <c r="AT28" s="8">
        <v>-13.54002507073927</v>
      </c>
      <c r="AU28" s="8"/>
      <c r="AV28" s="9">
        <v>1.8729666824216731</v>
      </c>
      <c r="AW28" s="8"/>
    </row>
    <row r="29" spans="1:49" ht="15.75" x14ac:dyDescent="0.25">
      <c r="A29" s="7" t="s">
        <v>150</v>
      </c>
      <c r="B29" s="8">
        <v>-77.278101049524835</v>
      </c>
      <c r="C29" s="8" t="s">
        <v>226</v>
      </c>
      <c r="D29" s="8">
        <v>-74.701921734853187</v>
      </c>
      <c r="E29" s="8" t="s">
        <v>226</v>
      </c>
      <c r="F29" s="8">
        <v>-76.558327057905132</v>
      </c>
      <c r="G29" s="8" t="s">
        <v>226</v>
      </c>
      <c r="H29" s="8">
        <v>-67.580077386176526</v>
      </c>
      <c r="I29" s="8" t="s">
        <v>226</v>
      </c>
      <c r="J29" s="8">
        <v>-66.275681470464107</v>
      </c>
      <c r="K29" s="8" t="s">
        <v>226</v>
      </c>
      <c r="L29" s="8">
        <v>-57.120417747259602</v>
      </c>
      <c r="M29" s="8" t="s">
        <v>226</v>
      </c>
      <c r="N29" s="8">
        <v>-63.458588299803672</v>
      </c>
      <c r="O29" s="8" t="s">
        <v>226</v>
      </c>
      <c r="P29" s="8">
        <v>-58.678204689433542</v>
      </c>
      <c r="Q29" s="8" t="s">
        <v>226</v>
      </c>
      <c r="R29" s="8">
        <v>-53.910067757003773</v>
      </c>
      <c r="S29" s="8" t="s">
        <v>226</v>
      </c>
      <c r="T29" s="8">
        <v>-54.014087388438739</v>
      </c>
      <c r="U29" s="8" t="s">
        <v>226</v>
      </c>
      <c r="V29" s="8">
        <v>-59.862470044836464</v>
      </c>
      <c r="W29" s="8" t="s">
        <v>226</v>
      </c>
      <c r="X29" s="8">
        <v>-54.422218085765067</v>
      </c>
      <c r="Y29" s="8" t="s">
        <v>226</v>
      </c>
      <c r="Z29" s="8">
        <v>-64.641079892109701</v>
      </c>
      <c r="AA29" s="8" t="s">
        <v>226</v>
      </c>
      <c r="AB29" s="8">
        <v>-58.107904360995853</v>
      </c>
      <c r="AC29" s="8" t="s">
        <v>226</v>
      </c>
      <c r="AD29" s="8">
        <v>-50.878012689219517</v>
      </c>
      <c r="AE29" s="8" t="s">
        <v>226</v>
      </c>
      <c r="AF29" s="8">
        <v>-56.496085618044269</v>
      </c>
      <c r="AG29" s="8" t="s">
        <v>226</v>
      </c>
      <c r="AH29" s="8">
        <v>-48.362662325277753</v>
      </c>
      <c r="AI29" s="8" t="s">
        <v>226</v>
      </c>
      <c r="AJ29" s="8">
        <v>-42.218641465044392</v>
      </c>
      <c r="AK29" s="8" t="s">
        <v>226</v>
      </c>
      <c r="AL29" s="8">
        <v>-49.785205345025382</v>
      </c>
      <c r="AM29" s="8" t="s">
        <v>226</v>
      </c>
      <c r="AN29" s="8">
        <v>-46.707675332666717</v>
      </c>
      <c r="AO29" s="8" t="s">
        <v>226</v>
      </c>
      <c r="AP29" s="8">
        <v>-46.973907430712813</v>
      </c>
      <c r="AQ29" s="8" t="s">
        <v>226</v>
      </c>
      <c r="AR29" s="8">
        <v>-33.432193864842723</v>
      </c>
      <c r="AS29" s="8"/>
      <c r="AT29" s="8">
        <v>9.5444074770475229</v>
      </c>
      <c r="AU29" s="8"/>
      <c r="AV29" s="9">
        <v>-12.98587556806946</v>
      </c>
      <c r="AW29" s="8"/>
    </row>
    <row r="30" spans="1:49" ht="15.75" x14ac:dyDescent="0.25">
      <c r="A30" s="7" t="s">
        <v>154</v>
      </c>
      <c r="B30" s="8">
        <v>-85.283599794326975</v>
      </c>
      <c r="C30" s="8" t="s">
        <v>226</v>
      </c>
      <c r="D30" s="8">
        <v>-84.982953110991872</v>
      </c>
      <c r="E30" s="8" t="s">
        <v>226</v>
      </c>
      <c r="F30" s="8">
        <v>-77.773398403084883</v>
      </c>
      <c r="G30" s="8" t="s">
        <v>226</v>
      </c>
      <c r="H30" s="8">
        <v>-73.042687603357919</v>
      </c>
      <c r="I30" s="8" t="s">
        <v>226</v>
      </c>
      <c r="J30" s="8">
        <v>-72.019000483923662</v>
      </c>
      <c r="K30" s="8" t="s">
        <v>226</v>
      </c>
      <c r="L30" s="8">
        <v>-71.921532329328087</v>
      </c>
      <c r="M30" s="8" t="s">
        <v>226</v>
      </c>
      <c r="N30" s="8">
        <v>-59.541319262046578</v>
      </c>
      <c r="O30" s="8" t="s">
        <v>226</v>
      </c>
      <c r="P30" s="8">
        <v>-59.575834532020743</v>
      </c>
      <c r="Q30" s="8" t="s">
        <v>226</v>
      </c>
      <c r="R30" s="8">
        <v>-60.078247439475703</v>
      </c>
      <c r="S30" s="8" t="s">
        <v>226</v>
      </c>
      <c r="T30" s="8">
        <v>-58.719502349649758</v>
      </c>
      <c r="U30" s="8" t="s">
        <v>226</v>
      </c>
      <c r="V30" s="8">
        <v>-57.655634256573649</v>
      </c>
      <c r="W30" s="8" t="s">
        <v>226</v>
      </c>
      <c r="X30" s="8">
        <v>-54.50950442081681</v>
      </c>
      <c r="Y30" s="8" t="s">
        <v>226</v>
      </c>
      <c r="Z30" s="8">
        <v>-58.456210613932093</v>
      </c>
      <c r="AA30" s="8" t="s">
        <v>226</v>
      </c>
      <c r="AB30" s="8">
        <v>-56.29933683180225</v>
      </c>
      <c r="AC30" s="8" t="s">
        <v>226</v>
      </c>
      <c r="AD30" s="8">
        <v>-54.633586984132698</v>
      </c>
      <c r="AE30" s="8" t="s">
        <v>226</v>
      </c>
      <c r="AF30" s="8">
        <v>-46.122315896807052</v>
      </c>
      <c r="AG30" s="8" t="s">
        <v>226</v>
      </c>
      <c r="AH30" s="8">
        <v>-48.914664646981279</v>
      </c>
      <c r="AI30" s="8" t="s">
        <v>226</v>
      </c>
      <c r="AJ30" s="8">
        <v>-44.821567429738323</v>
      </c>
      <c r="AK30" s="8" t="s">
        <v>226</v>
      </c>
      <c r="AL30" s="8">
        <v>-31.841661206945371</v>
      </c>
      <c r="AM30" s="8" t="s">
        <v>226</v>
      </c>
      <c r="AN30" s="8">
        <v>-39.101884950633611</v>
      </c>
      <c r="AO30" s="8" t="s">
        <v>226</v>
      </c>
      <c r="AP30" s="8">
        <v>-41.686633904129941</v>
      </c>
      <c r="AQ30" s="8" t="s">
        <v>226</v>
      </c>
      <c r="AR30" s="8">
        <v>-38.302177128437208</v>
      </c>
      <c r="AS30" s="8" t="s">
        <v>226</v>
      </c>
      <c r="AT30" s="8">
        <v>-18.835615781049089</v>
      </c>
      <c r="AU30" s="8"/>
      <c r="AV30" s="9">
        <v>-10.701903599772111</v>
      </c>
      <c r="AW30" s="8"/>
    </row>
    <row r="31" spans="1:49" ht="22.5" customHeight="1" x14ac:dyDescent="0.25">
      <c r="A31" s="7" t="s">
        <v>240</v>
      </c>
      <c r="B31" s="8">
        <v>-86.353186244122824</v>
      </c>
      <c r="C31" s="8" t="s">
        <v>226</v>
      </c>
      <c r="D31" s="8">
        <v>-84.432374024232388</v>
      </c>
      <c r="E31" s="8" t="s">
        <v>226</v>
      </c>
      <c r="F31" s="8">
        <v>-85.693328256154246</v>
      </c>
      <c r="G31" s="8" t="s">
        <v>226</v>
      </c>
      <c r="H31" s="8">
        <v>-80.608013054640409</v>
      </c>
      <c r="I31" s="8" t="s">
        <v>226</v>
      </c>
      <c r="J31" s="8">
        <v>-77.284808296437234</v>
      </c>
      <c r="K31" s="8" t="s">
        <v>226</v>
      </c>
      <c r="L31" s="8">
        <v>-75.361055355688237</v>
      </c>
      <c r="M31" s="8" t="s">
        <v>226</v>
      </c>
      <c r="N31" s="8">
        <v>-70.223858980556159</v>
      </c>
      <c r="O31" s="8" t="s">
        <v>226</v>
      </c>
      <c r="P31" s="8">
        <v>-69.494212318874872</v>
      </c>
      <c r="Q31" s="8" t="s">
        <v>226</v>
      </c>
      <c r="R31" s="8">
        <v>-68.396856393768729</v>
      </c>
      <c r="S31" s="8" t="s">
        <v>226</v>
      </c>
      <c r="T31" s="8">
        <v>-61.982435265988769</v>
      </c>
      <c r="U31" s="8" t="s">
        <v>226</v>
      </c>
      <c r="V31" s="8">
        <v>-65.405149708441485</v>
      </c>
      <c r="W31" s="8" t="s">
        <v>226</v>
      </c>
      <c r="X31" s="8">
        <v>-64.175238875063627</v>
      </c>
      <c r="Y31" s="8" t="s">
        <v>226</v>
      </c>
      <c r="Z31" s="8">
        <v>-67.44596943664304</v>
      </c>
      <c r="AA31" s="8" t="s">
        <v>226</v>
      </c>
      <c r="AB31" s="8">
        <v>-57.851897212088993</v>
      </c>
      <c r="AC31" s="8" t="s">
        <v>226</v>
      </c>
      <c r="AD31" s="8">
        <v>-60.244644952080037</v>
      </c>
      <c r="AE31" s="8" t="s">
        <v>226</v>
      </c>
      <c r="AF31" s="8">
        <v>-53.186399008860818</v>
      </c>
      <c r="AG31" s="8" t="s">
        <v>226</v>
      </c>
      <c r="AH31" s="8">
        <v>-55.665988425431088</v>
      </c>
      <c r="AI31" s="8" t="s">
        <v>226</v>
      </c>
      <c r="AJ31" s="8">
        <v>-50.992638877230611</v>
      </c>
      <c r="AK31" s="8" t="s">
        <v>226</v>
      </c>
      <c r="AL31" s="8">
        <v>-45.254908563745033</v>
      </c>
      <c r="AM31" s="8" t="s">
        <v>226</v>
      </c>
      <c r="AN31" s="8">
        <v>-44.262885608169363</v>
      </c>
      <c r="AO31" s="8" t="s">
        <v>226</v>
      </c>
      <c r="AP31" s="8">
        <v>-43.975490909122797</v>
      </c>
      <c r="AQ31" s="8" t="s">
        <v>226</v>
      </c>
      <c r="AR31" s="8">
        <v>-21.990766727389961</v>
      </c>
      <c r="AS31" s="8"/>
      <c r="AT31" s="8">
        <v>-1.364474315074693</v>
      </c>
      <c r="AU31" s="8"/>
      <c r="AV31" s="9">
        <v>-9.9955931049633406</v>
      </c>
      <c r="AW31" s="8"/>
    </row>
    <row r="32" spans="1:49" ht="15.75" x14ac:dyDescent="0.25">
      <c r="A32" s="7" t="s">
        <v>153</v>
      </c>
      <c r="B32" s="8">
        <v>-87.61073831927709</v>
      </c>
      <c r="C32" s="8" t="s">
        <v>226</v>
      </c>
      <c r="D32" s="8">
        <v>-85.19628384387093</v>
      </c>
      <c r="E32" s="8" t="s">
        <v>226</v>
      </c>
      <c r="F32" s="8">
        <v>-86.478263196893053</v>
      </c>
      <c r="G32" s="8" t="s">
        <v>226</v>
      </c>
      <c r="H32" s="8">
        <v>-81.946043753050617</v>
      </c>
      <c r="I32" s="8" t="s">
        <v>226</v>
      </c>
      <c r="J32" s="8">
        <v>-79.651712320589922</v>
      </c>
      <c r="K32" s="8" t="s">
        <v>226</v>
      </c>
      <c r="L32" s="8">
        <v>-76.456537811713076</v>
      </c>
      <c r="M32" s="8" t="s">
        <v>226</v>
      </c>
      <c r="N32" s="8">
        <v>-72.230087095078787</v>
      </c>
      <c r="O32" s="8" t="s">
        <v>226</v>
      </c>
      <c r="P32" s="8">
        <v>-71.463793798583396</v>
      </c>
      <c r="Q32" s="8" t="s">
        <v>226</v>
      </c>
      <c r="R32" s="8">
        <v>-69.718300771046486</v>
      </c>
      <c r="S32" s="8" t="s">
        <v>226</v>
      </c>
      <c r="T32" s="8">
        <v>-62.728218777765854</v>
      </c>
      <c r="U32" s="8" t="s">
        <v>226</v>
      </c>
      <c r="V32" s="8">
        <v>-66.77221067034516</v>
      </c>
      <c r="W32" s="8" t="s">
        <v>226</v>
      </c>
      <c r="X32" s="8">
        <v>-64.674643197956357</v>
      </c>
      <c r="Y32" s="8" t="s">
        <v>226</v>
      </c>
      <c r="Z32" s="8">
        <v>-67.341826238397402</v>
      </c>
      <c r="AA32" s="8" t="s">
        <v>226</v>
      </c>
      <c r="AB32" s="8">
        <v>-58.590285340190498</v>
      </c>
      <c r="AC32" s="8" t="s">
        <v>226</v>
      </c>
      <c r="AD32" s="8">
        <v>-58.925335076033079</v>
      </c>
      <c r="AE32" s="8" t="s">
        <v>226</v>
      </c>
      <c r="AF32" s="8">
        <v>-53.401939578294801</v>
      </c>
      <c r="AG32" s="8" t="s">
        <v>226</v>
      </c>
      <c r="AH32" s="8">
        <v>-54.936547463145253</v>
      </c>
      <c r="AI32" s="8" t="s">
        <v>226</v>
      </c>
      <c r="AJ32" s="8">
        <v>-52.116228566389218</v>
      </c>
      <c r="AK32" s="8" t="s">
        <v>226</v>
      </c>
      <c r="AL32" s="8">
        <v>-48.234611494183063</v>
      </c>
      <c r="AM32" s="8" t="s">
        <v>226</v>
      </c>
      <c r="AN32" s="8">
        <v>-42.278073302149153</v>
      </c>
      <c r="AO32" s="8" t="s">
        <v>226</v>
      </c>
      <c r="AP32" s="8">
        <v>-45.144992107808882</v>
      </c>
      <c r="AQ32" s="8" t="s">
        <v>226</v>
      </c>
      <c r="AR32" s="8">
        <v>-28.690570338804001</v>
      </c>
      <c r="AS32" s="8" t="s">
        <v>226</v>
      </c>
      <c r="AT32" s="8">
        <v>15.786066376811609</v>
      </c>
      <c r="AU32" s="8"/>
      <c r="AV32" s="9">
        <v>0.25272217407099618</v>
      </c>
      <c r="AW32" s="8"/>
    </row>
    <row r="33" spans="1:49" ht="15.75" x14ac:dyDescent="0.25">
      <c r="A33" s="7" t="s">
        <v>149</v>
      </c>
      <c r="B33" s="8">
        <v>-89.668908300832413</v>
      </c>
      <c r="C33" s="8" t="s">
        <v>226</v>
      </c>
      <c r="D33" s="8">
        <v>-89.239849086353303</v>
      </c>
      <c r="E33" s="8" t="s">
        <v>226</v>
      </c>
      <c r="F33" s="8">
        <v>-90.038568515837753</v>
      </c>
      <c r="G33" s="8" t="s">
        <v>226</v>
      </c>
      <c r="H33" s="8">
        <v>-84.434502290253235</v>
      </c>
      <c r="I33" s="8" t="s">
        <v>226</v>
      </c>
      <c r="J33" s="8">
        <v>-82.811916428759133</v>
      </c>
      <c r="K33" s="8" t="s">
        <v>226</v>
      </c>
      <c r="L33" s="8">
        <v>-80.888622176010159</v>
      </c>
      <c r="M33" s="8" t="s">
        <v>226</v>
      </c>
      <c r="N33" s="8">
        <v>-77.446421410145732</v>
      </c>
      <c r="O33" s="8" t="s">
        <v>226</v>
      </c>
      <c r="P33" s="8">
        <v>-75.975851234875194</v>
      </c>
      <c r="Q33" s="8" t="s">
        <v>226</v>
      </c>
      <c r="R33" s="8">
        <v>-75.393757107256249</v>
      </c>
      <c r="S33" s="8" t="s">
        <v>226</v>
      </c>
      <c r="T33" s="8">
        <v>-69.844908275248059</v>
      </c>
      <c r="U33" s="8" t="s">
        <v>226</v>
      </c>
      <c r="V33" s="8">
        <v>-73.54077279376321</v>
      </c>
      <c r="W33" s="8" t="s">
        <v>226</v>
      </c>
      <c r="X33" s="8">
        <v>-71.945382835660112</v>
      </c>
      <c r="Y33" s="8" t="s">
        <v>226</v>
      </c>
      <c r="Z33" s="8">
        <v>-73.006979823617613</v>
      </c>
      <c r="AA33" s="8" t="s">
        <v>226</v>
      </c>
      <c r="AB33" s="8">
        <v>-66.509523306853779</v>
      </c>
      <c r="AC33" s="8" t="s">
        <v>226</v>
      </c>
      <c r="AD33" s="8">
        <v>-68.066329242212646</v>
      </c>
      <c r="AE33" s="8" t="s">
        <v>226</v>
      </c>
      <c r="AF33" s="8">
        <v>-58.798983200545749</v>
      </c>
      <c r="AG33" s="8" t="s">
        <v>226</v>
      </c>
      <c r="AH33" s="8">
        <v>-64.26684122912387</v>
      </c>
      <c r="AI33" s="8" t="s">
        <v>226</v>
      </c>
      <c r="AJ33" s="8">
        <v>-61.529892748547141</v>
      </c>
      <c r="AK33" s="8" t="s">
        <v>226</v>
      </c>
      <c r="AL33" s="8">
        <v>-54.299951611412212</v>
      </c>
      <c r="AM33" s="8" t="s">
        <v>226</v>
      </c>
      <c r="AN33" s="8">
        <v>-52.722694341615892</v>
      </c>
      <c r="AO33" s="8" t="s">
        <v>226</v>
      </c>
      <c r="AP33" s="8">
        <v>-53.569678195927558</v>
      </c>
      <c r="AQ33" s="8" t="s">
        <v>226</v>
      </c>
      <c r="AR33" s="8">
        <v>-38.972804623604482</v>
      </c>
      <c r="AS33" s="8" t="s">
        <v>226</v>
      </c>
      <c r="AT33" s="8">
        <v>9.7523861584408511</v>
      </c>
      <c r="AU33" s="8"/>
      <c r="AV33" s="9">
        <v>5.4498821794398022</v>
      </c>
      <c r="AW33" s="8"/>
    </row>
    <row r="34" spans="1:49" ht="15.75" x14ac:dyDescent="0.25">
      <c r="A34" s="7" t="s">
        <v>150</v>
      </c>
      <c r="B34" s="8">
        <v>-80.614196969666637</v>
      </c>
      <c r="C34" s="8" t="s">
        <v>226</v>
      </c>
      <c r="D34" s="8">
        <v>-53.624433159141518</v>
      </c>
      <c r="E34" s="8" t="s">
        <v>226</v>
      </c>
      <c r="F34" s="8">
        <v>-61.642014748853491</v>
      </c>
      <c r="G34" s="8" t="s">
        <v>226</v>
      </c>
      <c r="H34" s="8">
        <v>-74.585404023315903</v>
      </c>
      <c r="I34" s="8" t="s">
        <v>226</v>
      </c>
      <c r="J34" s="8">
        <v>-69.489027949031652</v>
      </c>
      <c r="K34" s="8" t="s">
        <v>226</v>
      </c>
      <c r="L34" s="8">
        <v>-59.398923818423953</v>
      </c>
      <c r="M34" s="8" t="s">
        <v>226</v>
      </c>
      <c r="N34" s="8">
        <v>-52.203196418948941</v>
      </c>
      <c r="O34" s="8" t="s">
        <v>226</v>
      </c>
      <c r="P34" s="8">
        <v>-56.747306198370332</v>
      </c>
      <c r="Q34" s="8" t="s">
        <v>226</v>
      </c>
      <c r="R34" s="8">
        <v>-47.983013409182931</v>
      </c>
      <c r="S34" s="8" t="s">
        <v>226</v>
      </c>
      <c r="T34" s="8">
        <v>-34.891306412892341</v>
      </c>
      <c r="U34" s="8"/>
      <c r="V34" s="8">
        <v>-38.073730337014652</v>
      </c>
      <c r="W34" s="8"/>
      <c r="X34" s="8">
        <v>-33.41074616841896</v>
      </c>
      <c r="Y34" s="8"/>
      <c r="Z34" s="8">
        <v>-47.307575282521682</v>
      </c>
      <c r="AA34" s="8" t="s">
        <v>226</v>
      </c>
      <c r="AB34" s="8">
        <v>-27.55756835561338</v>
      </c>
      <c r="AC34" s="8"/>
      <c r="AD34" s="8">
        <v>-14.68155247881873</v>
      </c>
      <c r="AE34" s="8"/>
      <c r="AF34" s="8">
        <v>-38.903159462983083</v>
      </c>
      <c r="AG34" s="8"/>
      <c r="AH34" s="8">
        <v>-14.48574489690588</v>
      </c>
      <c r="AI34" s="8"/>
      <c r="AJ34" s="8">
        <v>-13.985973352529189</v>
      </c>
      <c r="AK34" s="8"/>
      <c r="AL34" s="8">
        <v>-31.84836440927911</v>
      </c>
      <c r="AM34" s="8"/>
      <c r="AN34" s="8">
        <v>-3.7606292007428039</v>
      </c>
      <c r="AO34" s="8"/>
      <c r="AP34" s="8">
        <v>-18.283834036667351</v>
      </c>
      <c r="AQ34" s="8"/>
      <c r="AR34" s="8">
        <v>2.6376267164235578</v>
      </c>
      <c r="AS34" s="8"/>
      <c r="AT34" s="8">
        <v>28.593170452117821</v>
      </c>
      <c r="AU34" s="8"/>
      <c r="AV34" s="9">
        <v>-7.9647614634822173</v>
      </c>
      <c r="AW34" s="8"/>
    </row>
    <row r="35" spans="1:49" ht="15.75" x14ac:dyDescent="0.25">
      <c r="A35" s="7" t="s">
        <v>154</v>
      </c>
      <c r="B35" s="8">
        <v>-79.309184212449551</v>
      </c>
      <c r="C35" s="8" t="s">
        <v>226</v>
      </c>
      <c r="D35" s="8">
        <v>-81.17409447876976</v>
      </c>
      <c r="E35" s="8" t="s">
        <v>226</v>
      </c>
      <c r="F35" s="8">
        <v>-82.234393740508764</v>
      </c>
      <c r="G35" s="8" t="s">
        <v>226</v>
      </c>
      <c r="H35" s="8">
        <v>-74.193102351820031</v>
      </c>
      <c r="I35" s="8" t="s">
        <v>226</v>
      </c>
      <c r="J35" s="8">
        <v>-62.753793237786446</v>
      </c>
      <c r="K35" s="8" t="s">
        <v>226</v>
      </c>
      <c r="L35" s="8">
        <v>-70.804804713393438</v>
      </c>
      <c r="M35" s="8" t="s">
        <v>226</v>
      </c>
      <c r="N35" s="8">
        <v>-60.701564130207089</v>
      </c>
      <c r="O35" s="8" t="s">
        <v>226</v>
      </c>
      <c r="P35" s="8">
        <v>-60.305083681811581</v>
      </c>
      <c r="Q35" s="8" t="s">
        <v>226</v>
      </c>
      <c r="R35" s="8">
        <v>-62.978263030687273</v>
      </c>
      <c r="S35" s="8" t="s">
        <v>226</v>
      </c>
      <c r="T35" s="8">
        <v>-59.247493533260041</v>
      </c>
      <c r="U35" s="8" t="s">
        <v>226</v>
      </c>
      <c r="V35" s="8">
        <v>-59.867229428058963</v>
      </c>
      <c r="W35" s="8" t="s">
        <v>226</v>
      </c>
      <c r="X35" s="8">
        <v>-62.39199562802159</v>
      </c>
      <c r="Y35" s="8" t="s">
        <v>226</v>
      </c>
      <c r="Z35" s="8">
        <v>-67.790454893012324</v>
      </c>
      <c r="AA35" s="8" t="s">
        <v>226</v>
      </c>
      <c r="AB35" s="8">
        <v>-55.170873442748238</v>
      </c>
      <c r="AC35" s="8" t="s">
        <v>226</v>
      </c>
      <c r="AD35" s="8">
        <v>-64.1109480245524</v>
      </c>
      <c r="AE35" s="8" t="s">
        <v>226</v>
      </c>
      <c r="AF35" s="8">
        <v>-52.448690502969008</v>
      </c>
      <c r="AG35" s="8" t="s">
        <v>226</v>
      </c>
      <c r="AH35" s="8">
        <v>-57.948975190925957</v>
      </c>
      <c r="AI35" s="8" t="s">
        <v>226</v>
      </c>
      <c r="AJ35" s="8">
        <v>-46.806233677511052</v>
      </c>
      <c r="AK35" s="8" t="s">
        <v>226</v>
      </c>
      <c r="AL35" s="8">
        <v>-32.157085812191021</v>
      </c>
      <c r="AM35" s="8"/>
      <c r="AN35" s="8">
        <v>-50.026342894222083</v>
      </c>
      <c r="AO35" s="8" t="s">
        <v>226</v>
      </c>
      <c r="AP35" s="8">
        <v>-39.660849524802991</v>
      </c>
      <c r="AQ35" s="8"/>
      <c r="AR35" s="8">
        <v>13.902078087897809</v>
      </c>
      <c r="AS35" s="8"/>
      <c r="AT35" s="8">
        <v>-34.102454376351552</v>
      </c>
      <c r="AU35" s="8"/>
      <c r="AV35" s="9">
        <v>-32.97560819005335</v>
      </c>
      <c r="AW35" s="8"/>
    </row>
    <row r="36" spans="1:49" ht="30" customHeight="1" x14ac:dyDescent="0.25">
      <c r="A36" s="4" t="s">
        <v>231</v>
      </c>
      <c r="B36" s="5">
        <v>-65.806040054395211</v>
      </c>
      <c r="C36" s="5" t="s">
        <v>226</v>
      </c>
      <c r="D36" s="5">
        <v>-60.874719061473513</v>
      </c>
      <c r="E36" s="5" t="s">
        <v>226</v>
      </c>
      <c r="F36" s="5">
        <v>-55.845033093343567</v>
      </c>
      <c r="G36" s="5" t="s">
        <v>226</v>
      </c>
      <c r="H36" s="5">
        <v>-43.325711958330253</v>
      </c>
      <c r="I36" s="5" t="s">
        <v>226</v>
      </c>
      <c r="J36" s="5">
        <v>-40.62198118639688</v>
      </c>
      <c r="K36" s="5" t="s">
        <v>226</v>
      </c>
      <c r="L36" s="5">
        <v>-37.112524608246531</v>
      </c>
      <c r="M36" s="5" t="s">
        <v>226</v>
      </c>
      <c r="N36" s="5">
        <v>-32.219941792298037</v>
      </c>
      <c r="O36" s="5" t="s">
        <v>226</v>
      </c>
      <c r="P36" s="5">
        <v>-29.302685125221242</v>
      </c>
      <c r="Q36" s="5" t="s">
        <v>226</v>
      </c>
      <c r="R36" s="5">
        <v>-33.489689208338291</v>
      </c>
      <c r="S36" s="5" t="s">
        <v>226</v>
      </c>
      <c r="T36" s="5">
        <v>-25.065184919816911</v>
      </c>
      <c r="U36" s="5" t="s">
        <v>226</v>
      </c>
      <c r="V36" s="5">
        <v>-31.284229518029981</v>
      </c>
      <c r="W36" s="5" t="s">
        <v>226</v>
      </c>
      <c r="X36" s="5">
        <v>-32.430105334685443</v>
      </c>
      <c r="Y36" s="5" t="s">
        <v>226</v>
      </c>
      <c r="Z36" s="5">
        <v>-36.556783402332449</v>
      </c>
      <c r="AA36" s="5" t="s">
        <v>226</v>
      </c>
      <c r="AB36" s="5">
        <v>-46.492445378960788</v>
      </c>
      <c r="AC36" s="5" t="s">
        <v>226</v>
      </c>
      <c r="AD36" s="5">
        <v>-40.428367563606329</v>
      </c>
      <c r="AE36" s="5" t="s">
        <v>226</v>
      </c>
      <c r="AF36" s="5">
        <v>-21.24702632869824</v>
      </c>
      <c r="AG36" s="5" t="s">
        <v>226</v>
      </c>
      <c r="AH36" s="5">
        <v>-19.015791116256981</v>
      </c>
      <c r="AI36" s="5" t="s">
        <v>226</v>
      </c>
      <c r="AJ36" s="5">
        <v>-7.3850947306488006</v>
      </c>
      <c r="AK36" s="5"/>
      <c r="AL36" s="5">
        <v>7.0159999602498857</v>
      </c>
      <c r="AM36" s="5"/>
      <c r="AN36" s="5">
        <v>7.0391504380912684</v>
      </c>
      <c r="AO36" s="5"/>
      <c r="AP36" s="5">
        <v>-3.2629888203668629</v>
      </c>
      <c r="AQ36" s="5"/>
      <c r="AR36" s="5">
        <v>9.1376218100187145</v>
      </c>
      <c r="AS36" s="5"/>
      <c r="AT36" s="5">
        <v>5.4590022827083917</v>
      </c>
      <c r="AU36" s="5"/>
      <c r="AV36" s="6">
        <v>7.6635567198795274</v>
      </c>
      <c r="AW36" s="5"/>
    </row>
    <row r="37" spans="1:49" ht="15.75" x14ac:dyDescent="0.25">
      <c r="A37" s="7" t="s">
        <v>157</v>
      </c>
      <c r="B37" s="8">
        <v>-89.753579949585429</v>
      </c>
      <c r="C37" s="8" t="s">
        <v>226</v>
      </c>
      <c r="D37" s="8">
        <v>-86.855409157039063</v>
      </c>
      <c r="E37" s="8" t="s">
        <v>226</v>
      </c>
      <c r="F37" s="8">
        <v>-85.544094173265776</v>
      </c>
      <c r="G37" s="8" t="s">
        <v>226</v>
      </c>
      <c r="H37" s="8">
        <v>-81.137643082638817</v>
      </c>
      <c r="I37" s="8" t="s">
        <v>226</v>
      </c>
      <c r="J37" s="8">
        <v>-78.783061539500892</v>
      </c>
      <c r="K37" s="8" t="s">
        <v>226</v>
      </c>
      <c r="L37" s="8">
        <v>-80.322469453651124</v>
      </c>
      <c r="M37" s="8" t="s">
        <v>226</v>
      </c>
      <c r="N37" s="8">
        <v>-78.848326190864995</v>
      </c>
      <c r="O37" s="8" t="s">
        <v>226</v>
      </c>
      <c r="P37" s="8">
        <v>-73.910110335522845</v>
      </c>
      <c r="Q37" s="8" t="s">
        <v>226</v>
      </c>
      <c r="R37" s="8">
        <v>-71.884914274070539</v>
      </c>
      <c r="S37" s="8" t="s">
        <v>226</v>
      </c>
      <c r="T37" s="8">
        <v>-71.003732212617621</v>
      </c>
      <c r="U37" s="8" t="s">
        <v>226</v>
      </c>
      <c r="V37" s="8">
        <v>-71.544568775322162</v>
      </c>
      <c r="W37" s="8" t="s">
        <v>226</v>
      </c>
      <c r="X37" s="8">
        <v>-72.519258190622153</v>
      </c>
      <c r="Y37" s="8" t="s">
        <v>226</v>
      </c>
      <c r="Z37" s="8">
        <v>-73.861319422157223</v>
      </c>
      <c r="AA37" s="8" t="s">
        <v>226</v>
      </c>
      <c r="AB37" s="8">
        <v>-68.352539956241372</v>
      </c>
      <c r="AC37" s="8" t="s">
        <v>226</v>
      </c>
      <c r="AD37" s="8">
        <v>-74.502812757141328</v>
      </c>
      <c r="AE37" s="8" t="s">
        <v>226</v>
      </c>
      <c r="AF37" s="8">
        <v>-64.824437329338863</v>
      </c>
      <c r="AG37" s="8" t="s">
        <v>226</v>
      </c>
      <c r="AH37" s="8">
        <v>-65.901561964616704</v>
      </c>
      <c r="AI37" s="8" t="s">
        <v>226</v>
      </c>
      <c r="AJ37" s="8">
        <v>-61.230394058140433</v>
      </c>
      <c r="AK37" s="8" t="s">
        <v>226</v>
      </c>
      <c r="AL37" s="8">
        <v>-61.910382806906497</v>
      </c>
      <c r="AM37" s="8" t="s">
        <v>226</v>
      </c>
      <c r="AN37" s="8">
        <v>-60.361710333765267</v>
      </c>
      <c r="AO37" s="8" t="s">
        <v>226</v>
      </c>
      <c r="AP37" s="8">
        <v>-59.897654691907967</v>
      </c>
      <c r="AQ37" s="8" t="s">
        <v>226</v>
      </c>
      <c r="AR37" s="8">
        <v>-62.669671798922167</v>
      </c>
      <c r="AS37" s="8" t="s">
        <v>226</v>
      </c>
      <c r="AT37" s="8">
        <v>-48.700493528709202</v>
      </c>
      <c r="AU37" s="8" t="s">
        <v>226</v>
      </c>
      <c r="AV37" s="9">
        <v>-37.449550097283783</v>
      </c>
      <c r="AW37" s="8"/>
    </row>
    <row r="38" spans="1:49" ht="15.75" x14ac:dyDescent="0.25">
      <c r="A38" s="7" t="s">
        <v>158</v>
      </c>
      <c r="B38" s="8">
        <v>-61.863331053169532</v>
      </c>
      <c r="C38" s="8" t="s">
        <v>226</v>
      </c>
      <c r="D38" s="8">
        <v>-57.126208679975662</v>
      </c>
      <c r="E38" s="8" t="s">
        <v>226</v>
      </c>
      <c r="F38" s="8">
        <v>-51.431176592048459</v>
      </c>
      <c r="G38" s="8" t="s">
        <v>226</v>
      </c>
      <c r="H38" s="8">
        <v>-37.811183120929151</v>
      </c>
      <c r="I38" s="8" t="s">
        <v>226</v>
      </c>
      <c r="J38" s="8">
        <v>-35.48944601971489</v>
      </c>
      <c r="K38" s="8" t="s">
        <v>226</v>
      </c>
      <c r="L38" s="8">
        <v>-30.346744677397439</v>
      </c>
      <c r="M38" s="8" t="s">
        <v>226</v>
      </c>
      <c r="N38" s="8">
        <v>-24.896240071085341</v>
      </c>
      <c r="O38" s="8" t="s">
        <v>226</v>
      </c>
      <c r="P38" s="8">
        <v>-23.51832214036531</v>
      </c>
      <c r="Q38" s="8" t="s">
        <v>226</v>
      </c>
      <c r="R38" s="8">
        <v>-29.213557115350969</v>
      </c>
      <c r="S38" s="8" t="s">
        <v>226</v>
      </c>
      <c r="T38" s="8">
        <v>-19.417938385593761</v>
      </c>
      <c r="U38" s="8" t="s">
        <v>226</v>
      </c>
      <c r="V38" s="8">
        <v>-26.696473148073551</v>
      </c>
      <c r="W38" s="8" t="s">
        <v>226</v>
      </c>
      <c r="X38" s="8">
        <v>-27.769041818273578</v>
      </c>
      <c r="Y38" s="8" t="s">
        <v>226</v>
      </c>
      <c r="Z38" s="8">
        <v>-32.281672111304118</v>
      </c>
      <c r="AA38" s="8" t="s">
        <v>226</v>
      </c>
      <c r="AB38" s="8">
        <v>-44.806016087457913</v>
      </c>
      <c r="AC38" s="8" t="s">
        <v>226</v>
      </c>
      <c r="AD38" s="8">
        <v>-36.685514115686587</v>
      </c>
      <c r="AE38" s="8" t="s">
        <v>226</v>
      </c>
      <c r="AF38" s="8">
        <v>-16.681119832086761</v>
      </c>
      <c r="AG38" s="8" t="s">
        <v>226</v>
      </c>
      <c r="AH38" s="8">
        <v>-13.771064983775201</v>
      </c>
      <c r="AI38" s="8" t="s">
        <v>226</v>
      </c>
      <c r="AJ38" s="8">
        <v>-1.3228089585497931</v>
      </c>
      <c r="AK38" s="8"/>
      <c r="AL38" s="8">
        <v>16.32761286328159</v>
      </c>
      <c r="AM38" s="8"/>
      <c r="AN38" s="8">
        <v>15.74509934591617</v>
      </c>
      <c r="AO38" s="8"/>
      <c r="AP38" s="8">
        <v>3.1829112005476108</v>
      </c>
      <c r="AQ38" s="8"/>
      <c r="AR38" s="8">
        <v>19.287604090548509</v>
      </c>
      <c r="AS38" s="8" t="s">
        <v>226</v>
      </c>
      <c r="AT38" s="8">
        <v>10.62529590985417</v>
      </c>
      <c r="AU38" s="8"/>
      <c r="AV38" s="9">
        <v>11.21157212639579</v>
      </c>
      <c r="AW38" s="8"/>
    </row>
    <row r="39" spans="1:49" ht="30" customHeight="1" x14ac:dyDescent="0.25">
      <c r="A39" s="4" t="s">
        <v>232</v>
      </c>
      <c r="B39" s="5">
        <v>-87.757527398177231</v>
      </c>
      <c r="C39" s="5" t="s">
        <v>226</v>
      </c>
      <c r="D39" s="5">
        <v>-84.544410170583788</v>
      </c>
      <c r="E39" s="5" t="s">
        <v>226</v>
      </c>
      <c r="F39" s="5">
        <v>-81.58748195581444</v>
      </c>
      <c r="G39" s="5" t="s">
        <v>226</v>
      </c>
      <c r="H39" s="5">
        <v>-77.893707980659428</v>
      </c>
      <c r="I39" s="5" t="s">
        <v>226</v>
      </c>
      <c r="J39" s="5">
        <v>-75.961261065882525</v>
      </c>
      <c r="K39" s="5" t="s">
        <v>226</v>
      </c>
      <c r="L39" s="5">
        <v>-72.91187667090864</v>
      </c>
      <c r="M39" s="5" t="s">
        <v>226</v>
      </c>
      <c r="N39" s="5">
        <v>-69.262240983353848</v>
      </c>
      <c r="O39" s="5" t="s">
        <v>226</v>
      </c>
      <c r="P39" s="5">
        <v>-66.167662979641023</v>
      </c>
      <c r="Q39" s="5" t="s">
        <v>226</v>
      </c>
      <c r="R39" s="5">
        <v>-64.971998176652534</v>
      </c>
      <c r="S39" s="5" t="s">
        <v>226</v>
      </c>
      <c r="T39" s="5">
        <v>-60.006406265824388</v>
      </c>
      <c r="U39" s="5" t="s">
        <v>226</v>
      </c>
      <c r="V39" s="5">
        <v>-59.973875403140568</v>
      </c>
      <c r="W39" s="5" t="s">
        <v>226</v>
      </c>
      <c r="X39" s="5">
        <v>-51.216514405959167</v>
      </c>
      <c r="Y39" s="5" t="s">
        <v>226</v>
      </c>
      <c r="Z39" s="5">
        <v>-49.704236517628118</v>
      </c>
      <c r="AA39" s="5" t="s">
        <v>226</v>
      </c>
      <c r="AB39" s="5">
        <v>-50.594112207451978</v>
      </c>
      <c r="AC39" s="5" t="s">
        <v>226</v>
      </c>
      <c r="AD39" s="5">
        <v>-41.344506562650317</v>
      </c>
      <c r="AE39" s="5" t="s">
        <v>226</v>
      </c>
      <c r="AF39" s="5">
        <v>-35.32028931089274</v>
      </c>
      <c r="AG39" s="5" t="s">
        <v>226</v>
      </c>
      <c r="AH39" s="5">
        <v>-33.823911901427692</v>
      </c>
      <c r="AI39" s="5" t="s">
        <v>226</v>
      </c>
      <c r="AJ39" s="5">
        <v>-29.95834581662627</v>
      </c>
      <c r="AK39" s="5" t="s">
        <v>226</v>
      </c>
      <c r="AL39" s="5">
        <v>-21.07024595266445</v>
      </c>
      <c r="AM39" s="5" t="s">
        <v>226</v>
      </c>
      <c r="AN39" s="5">
        <v>-31.6450126165625</v>
      </c>
      <c r="AO39" s="5" t="s">
        <v>226</v>
      </c>
      <c r="AP39" s="5">
        <v>-30.86113985758406</v>
      </c>
      <c r="AQ39" s="5" t="s">
        <v>226</v>
      </c>
      <c r="AR39" s="5">
        <v>-29.326923540316301</v>
      </c>
      <c r="AS39" s="5" t="s">
        <v>226</v>
      </c>
      <c r="AT39" s="5">
        <v>-11.91847335006163</v>
      </c>
      <c r="AU39" s="5"/>
      <c r="AV39" s="6">
        <v>-13.72900504546376</v>
      </c>
      <c r="AW39" s="5" t="s">
        <v>226</v>
      </c>
    </row>
    <row r="40" spans="1:49" ht="15.75" x14ac:dyDescent="0.25">
      <c r="A40" s="7" t="s">
        <v>160</v>
      </c>
      <c r="B40" s="8">
        <v>-86.365829308890852</v>
      </c>
      <c r="C40" s="8" t="s">
        <v>226</v>
      </c>
      <c r="D40" s="8">
        <v>-83.67995183062888</v>
      </c>
      <c r="E40" s="8" t="s">
        <v>226</v>
      </c>
      <c r="F40" s="8">
        <v>-80.381123280474824</v>
      </c>
      <c r="G40" s="8" t="s">
        <v>226</v>
      </c>
      <c r="H40" s="8">
        <v>-75.980733181653349</v>
      </c>
      <c r="I40" s="8" t="s">
        <v>226</v>
      </c>
      <c r="J40" s="8">
        <v>-73.983663768826858</v>
      </c>
      <c r="K40" s="8" t="s">
        <v>226</v>
      </c>
      <c r="L40" s="8">
        <v>-71.888517160674198</v>
      </c>
      <c r="M40" s="8" t="s">
        <v>226</v>
      </c>
      <c r="N40" s="8">
        <v>-68.727474936698485</v>
      </c>
      <c r="O40" s="8" t="s">
        <v>226</v>
      </c>
      <c r="P40" s="8">
        <v>-65.932268678160071</v>
      </c>
      <c r="Q40" s="8" t="s">
        <v>226</v>
      </c>
      <c r="R40" s="8">
        <v>-65.739303997452353</v>
      </c>
      <c r="S40" s="8" t="s">
        <v>226</v>
      </c>
      <c r="T40" s="8">
        <v>-60.584368498984318</v>
      </c>
      <c r="U40" s="8" t="s">
        <v>226</v>
      </c>
      <c r="V40" s="8">
        <v>-62.728202467476272</v>
      </c>
      <c r="W40" s="8" t="s">
        <v>226</v>
      </c>
      <c r="X40" s="8">
        <v>-53.869068732289513</v>
      </c>
      <c r="Y40" s="8" t="s">
        <v>226</v>
      </c>
      <c r="Z40" s="8">
        <v>-54.623039006843698</v>
      </c>
      <c r="AA40" s="8" t="s">
        <v>226</v>
      </c>
      <c r="AB40" s="8">
        <v>-56.064955956466477</v>
      </c>
      <c r="AC40" s="8" t="s">
        <v>226</v>
      </c>
      <c r="AD40" s="8">
        <v>-48.306169702459748</v>
      </c>
      <c r="AE40" s="8" t="s">
        <v>226</v>
      </c>
      <c r="AF40" s="8">
        <v>-45.225854884480768</v>
      </c>
      <c r="AG40" s="8" t="s">
        <v>226</v>
      </c>
      <c r="AH40" s="8">
        <v>-40.167059113515691</v>
      </c>
      <c r="AI40" s="8" t="s">
        <v>226</v>
      </c>
      <c r="AJ40" s="8">
        <v>-37.639282776225528</v>
      </c>
      <c r="AK40" s="8" t="s">
        <v>226</v>
      </c>
      <c r="AL40" s="8">
        <v>-29.137956727078269</v>
      </c>
      <c r="AM40" s="8" t="s">
        <v>226</v>
      </c>
      <c r="AN40" s="8">
        <v>-37.102562724132682</v>
      </c>
      <c r="AO40" s="8" t="s">
        <v>226</v>
      </c>
      <c r="AP40" s="8">
        <v>-37.289429203716693</v>
      </c>
      <c r="AQ40" s="8" t="s">
        <v>226</v>
      </c>
      <c r="AR40" s="8">
        <v>-35.443959877600463</v>
      </c>
      <c r="AS40" s="8" t="s">
        <v>226</v>
      </c>
      <c r="AT40" s="8">
        <v>-16.448131536906381</v>
      </c>
      <c r="AU40" s="8" t="s">
        <v>226</v>
      </c>
      <c r="AV40" s="9">
        <v>-11.97478801288876</v>
      </c>
      <c r="AW40" s="8"/>
    </row>
    <row r="41" spans="1:49" ht="15.75" x14ac:dyDescent="0.25">
      <c r="A41" s="7" t="s">
        <v>161</v>
      </c>
      <c r="B41" s="8">
        <v>-84.307250440161425</v>
      </c>
      <c r="C41" s="8" t="s">
        <v>226</v>
      </c>
      <c r="D41" s="8">
        <v>-78.771984519929077</v>
      </c>
      <c r="E41" s="8" t="s">
        <v>226</v>
      </c>
      <c r="F41" s="8">
        <v>-75.47454576365547</v>
      </c>
      <c r="G41" s="8" t="s">
        <v>226</v>
      </c>
      <c r="H41" s="8">
        <v>-74.04384324026833</v>
      </c>
      <c r="I41" s="8" t="s">
        <v>226</v>
      </c>
      <c r="J41" s="8">
        <v>-69.77862790523757</v>
      </c>
      <c r="K41" s="8" t="s">
        <v>226</v>
      </c>
      <c r="L41" s="8">
        <v>-64.667267260710375</v>
      </c>
      <c r="M41" s="8" t="s">
        <v>226</v>
      </c>
      <c r="N41" s="8">
        <v>-59.901720651164638</v>
      </c>
      <c r="O41" s="8" t="s">
        <v>226</v>
      </c>
      <c r="P41" s="8">
        <v>-52.900871927925607</v>
      </c>
      <c r="Q41" s="8" t="s">
        <v>226</v>
      </c>
      <c r="R41" s="8">
        <v>-50.775634783678427</v>
      </c>
      <c r="S41" s="8" t="s">
        <v>226</v>
      </c>
      <c r="T41" s="8">
        <v>-44.558646657878278</v>
      </c>
      <c r="U41" s="8" t="s">
        <v>226</v>
      </c>
      <c r="V41" s="8">
        <v>-39.155897189408698</v>
      </c>
      <c r="W41" s="8" t="s">
        <v>226</v>
      </c>
      <c r="X41" s="8">
        <v>-22.114759351075829</v>
      </c>
      <c r="Y41" s="8"/>
      <c r="Z41" s="8">
        <v>-6.5680147120110384</v>
      </c>
      <c r="AA41" s="8"/>
      <c r="AB41" s="8">
        <v>-5.4672513388726918</v>
      </c>
      <c r="AC41" s="8"/>
      <c r="AD41" s="8">
        <v>-0.26717796757852458</v>
      </c>
      <c r="AE41" s="8"/>
      <c r="AF41" s="8">
        <v>44.627426112078417</v>
      </c>
      <c r="AG41" s="8" t="s">
        <v>226</v>
      </c>
      <c r="AH41" s="8">
        <v>45.991178751567688</v>
      </c>
      <c r="AI41" s="8" t="s">
        <v>226</v>
      </c>
      <c r="AJ41" s="8">
        <v>14.79613045603563</v>
      </c>
      <c r="AK41" s="8"/>
      <c r="AL41" s="8">
        <v>57.786806635994203</v>
      </c>
      <c r="AM41" s="8" t="s">
        <v>226</v>
      </c>
      <c r="AN41" s="8">
        <v>13.827781292763211</v>
      </c>
      <c r="AO41" s="8"/>
      <c r="AP41" s="8">
        <v>13.34570542534721</v>
      </c>
      <c r="AQ41" s="8"/>
      <c r="AR41" s="8">
        <v>15.90306470385381</v>
      </c>
      <c r="AS41" s="8"/>
      <c r="AT41" s="8">
        <v>-3.5963836808070249</v>
      </c>
      <c r="AU41" s="8"/>
      <c r="AV41" s="9">
        <v>-4.2817397736784502</v>
      </c>
      <c r="AW41" s="8"/>
    </row>
    <row r="42" spans="1:49" ht="15.75" x14ac:dyDescent="0.25">
      <c r="A42" s="7" t="s">
        <v>162</v>
      </c>
      <c r="B42" s="8">
        <v>-91.83245094093401</v>
      </c>
      <c r="C42" s="8" t="s">
        <v>226</v>
      </c>
      <c r="D42" s="8">
        <v>-88.771602743952485</v>
      </c>
      <c r="E42" s="8" t="s">
        <v>226</v>
      </c>
      <c r="F42" s="8">
        <v>-86.730256299106955</v>
      </c>
      <c r="G42" s="8" t="s">
        <v>226</v>
      </c>
      <c r="H42" s="8">
        <v>-83.887266614435262</v>
      </c>
      <c r="I42" s="8" t="s">
        <v>226</v>
      </c>
      <c r="J42" s="8">
        <v>-82.853552156232055</v>
      </c>
      <c r="K42" s="8" t="s">
        <v>226</v>
      </c>
      <c r="L42" s="8">
        <v>-79.055742297525541</v>
      </c>
      <c r="M42" s="8" t="s">
        <v>226</v>
      </c>
      <c r="N42" s="8">
        <v>-75.010733043331072</v>
      </c>
      <c r="O42" s="8" t="s">
        <v>226</v>
      </c>
      <c r="P42" s="8">
        <v>-72.550149534895709</v>
      </c>
      <c r="Q42" s="8" t="s">
        <v>226</v>
      </c>
      <c r="R42" s="8">
        <v>-69.308817367207467</v>
      </c>
      <c r="S42" s="8" t="s">
        <v>226</v>
      </c>
      <c r="T42" s="8">
        <v>-65.505421801962129</v>
      </c>
      <c r="U42" s="8" t="s">
        <v>226</v>
      </c>
      <c r="V42" s="8">
        <v>-60.458319745322967</v>
      </c>
      <c r="W42" s="8" t="s">
        <v>226</v>
      </c>
      <c r="X42" s="8">
        <v>-55.226105453096537</v>
      </c>
      <c r="Y42" s="8" t="s">
        <v>226</v>
      </c>
      <c r="Z42" s="8">
        <v>-49.094485212851033</v>
      </c>
      <c r="AA42" s="8" t="s">
        <v>226</v>
      </c>
      <c r="AB42" s="8">
        <v>-47.816351183513518</v>
      </c>
      <c r="AC42" s="8" t="s">
        <v>226</v>
      </c>
      <c r="AD42" s="8">
        <v>-32.163306488380961</v>
      </c>
      <c r="AE42" s="8" t="s">
        <v>226</v>
      </c>
      <c r="AF42" s="8">
        <v>-20.932189964430069</v>
      </c>
      <c r="AG42" s="8"/>
      <c r="AH42" s="8">
        <v>-37.521878531635053</v>
      </c>
      <c r="AI42" s="8" t="s">
        <v>226</v>
      </c>
      <c r="AJ42" s="8">
        <v>-20.948130910212651</v>
      </c>
      <c r="AK42" s="8"/>
      <c r="AL42" s="8">
        <v>-20.95090690288907</v>
      </c>
      <c r="AM42" s="8"/>
      <c r="AN42" s="8">
        <v>-32.502520557486683</v>
      </c>
      <c r="AO42" s="8" t="s">
        <v>226</v>
      </c>
      <c r="AP42" s="8">
        <v>-27.525711354287441</v>
      </c>
      <c r="AQ42" s="8" t="s">
        <v>226</v>
      </c>
      <c r="AR42" s="8">
        <v>-27.85473199793665</v>
      </c>
      <c r="AS42" s="8" t="s">
        <v>226</v>
      </c>
      <c r="AT42" s="8">
        <v>-0.61987788320561066</v>
      </c>
      <c r="AU42" s="8"/>
      <c r="AV42" s="9">
        <v>-24.254136088895351</v>
      </c>
      <c r="AW42" s="8"/>
    </row>
    <row r="43" spans="1:49" ht="30" customHeight="1" x14ac:dyDescent="0.25">
      <c r="A43" s="819" t="s">
        <v>233</v>
      </c>
      <c r="B43" s="820">
        <v>-77.132731780774549</v>
      </c>
      <c r="C43" s="820" t="s">
        <v>226</v>
      </c>
      <c r="D43" s="820">
        <v>-71.096315194724951</v>
      </c>
      <c r="E43" s="820" t="s">
        <v>226</v>
      </c>
      <c r="F43" s="820">
        <v>-60.975509109043372</v>
      </c>
      <c r="G43" s="820" t="s">
        <v>226</v>
      </c>
      <c r="H43" s="820">
        <v>-56.365753338841799</v>
      </c>
      <c r="I43" s="820" t="s">
        <v>226</v>
      </c>
      <c r="J43" s="820">
        <v>-54.590244867336573</v>
      </c>
      <c r="K43" s="820" t="s">
        <v>226</v>
      </c>
      <c r="L43" s="820">
        <v>-56.179298329331459</v>
      </c>
      <c r="M43" s="820" t="s">
        <v>226</v>
      </c>
      <c r="N43" s="820">
        <v>-58.942920374636962</v>
      </c>
      <c r="O43" s="820" t="s">
        <v>226</v>
      </c>
      <c r="P43" s="820">
        <v>-61.816223522193958</v>
      </c>
      <c r="Q43" s="820" t="s">
        <v>226</v>
      </c>
      <c r="R43" s="820">
        <v>-64.249854430816171</v>
      </c>
      <c r="S43" s="820" t="s">
        <v>226</v>
      </c>
      <c r="T43" s="820">
        <v>-61.576574181627393</v>
      </c>
      <c r="U43" s="820" t="s">
        <v>226</v>
      </c>
      <c r="V43" s="820">
        <v>-68.185645740925381</v>
      </c>
      <c r="W43" s="820" t="s">
        <v>226</v>
      </c>
      <c r="X43" s="820">
        <v>-64.255343160013425</v>
      </c>
      <c r="Y43" s="820" t="s">
        <v>226</v>
      </c>
      <c r="Z43" s="820">
        <v>-67.416326033005063</v>
      </c>
      <c r="AA43" s="820" t="s">
        <v>226</v>
      </c>
      <c r="AB43" s="820">
        <v>-61.682459264778693</v>
      </c>
      <c r="AC43" s="820" t="s">
        <v>226</v>
      </c>
      <c r="AD43" s="820">
        <v>-62.255467818453972</v>
      </c>
      <c r="AE43" s="820" t="s">
        <v>226</v>
      </c>
      <c r="AF43" s="820">
        <v>-54.201526895248243</v>
      </c>
      <c r="AG43" s="820" t="s">
        <v>226</v>
      </c>
      <c r="AH43" s="820">
        <v>-54.330875204040957</v>
      </c>
      <c r="AI43" s="820" t="s">
        <v>226</v>
      </c>
      <c r="AJ43" s="820">
        <v>-46.312366641240168</v>
      </c>
      <c r="AK43" s="820" t="s">
        <v>226</v>
      </c>
      <c r="AL43" s="820">
        <v>-39.301020538215482</v>
      </c>
      <c r="AM43" s="820" t="s">
        <v>226</v>
      </c>
      <c r="AN43" s="820">
        <v>-39.242577203145942</v>
      </c>
      <c r="AO43" s="820" t="s">
        <v>226</v>
      </c>
      <c r="AP43" s="820">
        <v>-43.655247121758819</v>
      </c>
      <c r="AQ43" s="820" t="s">
        <v>226</v>
      </c>
      <c r="AR43" s="820">
        <v>-34.164809872501159</v>
      </c>
      <c r="AS43" s="820" t="s">
        <v>226</v>
      </c>
      <c r="AT43" s="820">
        <v>-20.88679337897495</v>
      </c>
      <c r="AU43" s="820"/>
      <c r="AV43" s="821">
        <v>-11.25401290510961</v>
      </c>
      <c r="AW43" s="820"/>
    </row>
    <row r="44" spans="1:49" ht="30" customHeight="1" x14ac:dyDescent="0.25">
      <c r="A44" s="4" t="s">
        <v>159</v>
      </c>
      <c r="B44" s="5">
        <v>-88.420036159669351</v>
      </c>
      <c r="C44" s="5" t="s">
        <v>226</v>
      </c>
      <c r="D44" s="5">
        <v>-85.047185276307019</v>
      </c>
      <c r="E44" s="5" t="s">
        <v>226</v>
      </c>
      <c r="F44" s="5">
        <v>-81.827573113659497</v>
      </c>
      <c r="G44" s="5" t="s">
        <v>226</v>
      </c>
      <c r="H44" s="5">
        <v>-78.594038139240027</v>
      </c>
      <c r="I44" s="5" t="s">
        <v>226</v>
      </c>
      <c r="J44" s="5">
        <v>-76.628226264204557</v>
      </c>
      <c r="K44" s="5" t="s">
        <v>226</v>
      </c>
      <c r="L44" s="5">
        <v>-73.579744652037292</v>
      </c>
      <c r="M44" s="5" t="s">
        <v>226</v>
      </c>
      <c r="N44" s="5">
        <v>-69.71246526326216</v>
      </c>
      <c r="O44" s="5" t="s">
        <v>226</v>
      </c>
      <c r="P44" s="5">
        <v>-66.240515690860917</v>
      </c>
      <c r="Q44" s="5" t="s">
        <v>226</v>
      </c>
      <c r="R44" s="5">
        <v>-65.206464430460969</v>
      </c>
      <c r="S44" s="5" t="s">
        <v>226</v>
      </c>
      <c r="T44" s="5">
        <v>-60.040700932366803</v>
      </c>
      <c r="U44" s="5" t="s">
        <v>226</v>
      </c>
      <c r="V44" s="5">
        <v>-59.752245640581059</v>
      </c>
      <c r="W44" s="5" t="s">
        <v>226</v>
      </c>
      <c r="X44" s="5">
        <v>-51.27333871664684</v>
      </c>
      <c r="Y44" s="5" t="s">
        <v>226</v>
      </c>
      <c r="Z44" s="5">
        <v>-49.991340150883879</v>
      </c>
      <c r="AA44" s="5" t="s">
        <v>226</v>
      </c>
      <c r="AB44" s="5">
        <v>-50.737348434436392</v>
      </c>
      <c r="AC44" s="5" t="s">
        <v>226</v>
      </c>
      <c r="AD44" s="5">
        <v>-41.764947089694623</v>
      </c>
      <c r="AE44" s="5" t="s">
        <v>226</v>
      </c>
      <c r="AF44" s="5">
        <v>-36.455998054393937</v>
      </c>
      <c r="AG44" s="5" t="s">
        <v>226</v>
      </c>
      <c r="AH44" s="5">
        <v>-34.441131077718431</v>
      </c>
      <c r="AI44" s="5" t="s">
        <v>226</v>
      </c>
      <c r="AJ44" s="5">
        <v>-30.18182616050866</v>
      </c>
      <c r="AK44" s="5" t="s">
        <v>226</v>
      </c>
      <c r="AL44" s="5">
        <v>-21.895316842868809</v>
      </c>
      <c r="AM44" s="5" t="s">
        <v>226</v>
      </c>
      <c r="AN44" s="5">
        <v>-31.345857392445819</v>
      </c>
      <c r="AO44" s="5" t="s">
        <v>226</v>
      </c>
      <c r="AP44" s="5">
        <v>-29.84593866434124</v>
      </c>
      <c r="AQ44" s="5" t="s">
        <v>226</v>
      </c>
      <c r="AR44" s="5">
        <v>-28.000925258807712</v>
      </c>
      <c r="AS44" s="5" t="s">
        <v>226</v>
      </c>
      <c r="AT44" s="5">
        <v>-11.7132371028894</v>
      </c>
      <c r="AU44" s="5"/>
      <c r="AV44" s="6">
        <v>-13.74572374574322</v>
      </c>
      <c r="AW44" s="5" t="s">
        <v>226</v>
      </c>
    </row>
    <row r="45" spans="1:49" ht="15.75" x14ac:dyDescent="0.25">
      <c r="A45" s="7" t="s">
        <v>160</v>
      </c>
      <c r="B45" s="8">
        <v>-87.152613553058259</v>
      </c>
      <c r="C45" s="8" t="s">
        <v>226</v>
      </c>
      <c r="D45" s="8">
        <v>-84.260271955988514</v>
      </c>
      <c r="E45" s="8" t="s">
        <v>226</v>
      </c>
      <c r="F45" s="8">
        <v>-80.677981612874731</v>
      </c>
      <c r="G45" s="8" t="s">
        <v>226</v>
      </c>
      <c r="H45" s="8">
        <v>-76.833045944317547</v>
      </c>
      <c r="I45" s="8" t="s">
        <v>226</v>
      </c>
      <c r="J45" s="8">
        <v>-74.803690877900024</v>
      </c>
      <c r="K45" s="8" t="s">
        <v>226</v>
      </c>
      <c r="L45" s="8">
        <v>-72.626098104779828</v>
      </c>
      <c r="M45" s="8" t="s">
        <v>226</v>
      </c>
      <c r="N45" s="8">
        <v>-69.251355859618528</v>
      </c>
      <c r="O45" s="8" t="s">
        <v>226</v>
      </c>
      <c r="P45" s="8">
        <v>-66.207334971895264</v>
      </c>
      <c r="Q45" s="8" t="s">
        <v>226</v>
      </c>
      <c r="R45" s="8">
        <v>-66.082380137839607</v>
      </c>
      <c r="S45" s="8" t="s">
        <v>226</v>
      </c>
      <c r="T45" s="8">
        <v>-60.831446240653349</v>
      </c>
      <c r="U45" s="8" t="s">
        <v>226</v>
      </c>
      <c r="V45" s="8">
        <v>-62.788400157183318</v>
      </c>
      <c r="W45" s="8" t="s">
        <v>226</v>
      </c>
      <c r="X45" s="8">
        <v>-54.074054043796707</v>
      </c>
      <c r="Y45" s="8" t="s">
        <v>226</v>
      </c>
      <c r="Z45" s="8">
        <v>-55.042772310380371</v>
      </c>
      <c r="AA45" s="8" t="s">
        <v>226</v>
      </c>
      <c r="AB45" s="8">
        <v>-56.367783832664138</v>
      </c>
      <c r="AC45" s="8" t="s">
        <v>226</v>
      </c>
      <c r="AD45" s="8">
        <v>-49.33818156453642</v>
      </c>
      <c r="AE45" s="8" t="s">
        <v>226</v>
      </c>
      <c r="AF45" s="8">
        <v>-46.396175613288051</v>
      </c>
      <c r="AG45" s="8" t="s">
        <v>226</v>
      </c>
      <c r="AH45" s="8">
        <v>-40.811807806968297</v>
      </c>
      <c r="AI45" s="8" t="s">
        <v>226</v>
      </c>
      <c r="AJ45" s="8">
        <v>-38.255222502144768</v>
      </c>
      <c r="AK45" s="8" t="s">
        <v>226</v>
      </c>
      <c r="AL45" s="8">
        <v>-30.066327491299241</v>
      </c>
      <c r="AM45" s="8" t="s">
        <v>226</v>
      </c>
      <c r="AN45" s="8">
        <v>-37.08487049164988</v>
      </c>
      <c r="AO45" s="8" t="s">
        <v>226</v>
      </c>
      <c r="AP45" s="8">
        <v>-36.764607619709167</v>
      </c>
      <c r="AQ45" s="8" t="s">
        <v>226</v>
      </c>
      <c r="AR45" s="8">
        <v>-34.669363559767348</v>
      </c>
      <c r="AS45" s="8" t="s">
        <v>226</v>
      </c>
      <c r="AT45" s="8">
        <v>-16.560997413681381</v>
      </c>
      <c r="AU45" s="8" t="s">
        <v>226</v>
      </c>
      <c r="AV45" s="9">
        <v>-12.70358821519036</v>
      </c>
      <c r="AW45" s="8"/>
    </row>
    <row r="46" spans="1:49" ht="15.75" x14ac:dyDescent="0.25">
      <c r="A46" s="7" t="s">
        <v>161</v>
      </c>
      <c r="B46" s="8">
        <v>-84.990321005669642</v>
      </c>
      <c r="C46" s="8" t="s">
        <v>226</v>
      </c>
      <c r="D46" s="8">
        <v>-79.192027617327682</v>
      </c>
      <c r="E46" s="8" t="s">
        <v>226</v>
      </c>
      <c r="F46" s="8">
        <v>-75.571595241350352</v>
      </c>
      <c r="G46" s="8" t="s">
        <v>226</v>
      </c>
      <c r="H46" s="8">
        <v>-74.279171221148999</v>
      </c>
      <c r="I46" s="8" t="s">
        <v>226</v>
      </c>
      <c r="J46" s="8">
        <v>-69.853033937130263</v>
      </c>
      <c r="K46" s="8" t="s">
        <v>226</v>
      </c>
      <c r="L46" s="8">
        <v>-65.23136894590894</v>
      </c>
      <c r="M46" s="8" t="s">
        <v>226</v>
      </c>
      <c r="N46" s="8">
        <v>-59.736426905265603</v>
      </c>
      <c r="O46" s="8" t="s">
        <v>226</v>
      </c>
      <c r="P46" s="8">
        <v>-52.177475255891203</v>
      </c>
      <c r="Q46" s="8" t="s">
        <v>226</v>
      </c>
      <c r="R46" s="8">
        <v>-50.442086246498697</v>
      </c>
      <c r="S46" s="8" t="s">
        <v>226</v>
      </c>
      <c r="T46" s="8">
        <v>-42.535022018324987</v>
      </c>
      <c r="U46" s="8" t="s">
        <v>226</v>
      </c>
      <c r="V46" s="8">
        <v>-35.978273583406953</v>
      </c>
      <c r="W46" s="8" t="s">
        <v>226</v>
      </c>
      <c r="X46" s="8">
        <v>-21.171915202659729</v>
      </c>
      <c r="Y46" s="8"/>
      <c r="Z46" s="8">
        <v>-6.1669844114418337</v>
      </c>
      <c r="AA46" s="8"/>
      <c r="AB46" s="8">
        <v>-3.44326967749552</v>
      </c>
      <c r="AC46" s="8"/>
      <c r="AD46" s="8">
        <v>8.9517579785657553</v>
      </c>
      <c r="AE46" s="8"/>
      <c r="AF46" s="8">
        <v>45.646650877273068</v>
      </c>
      <c r="AG46" s="8" t="s">
        <v>226</v>
      </c>
      <c r="AH46" s="8">
        <v>45.34358146292368</v>
      </c>
      <c r="AI46" s="8" t="s">
        <v>226</v>
      </c>
      <c r="AJ46" s="8">
        <v>20.487007180934231</v>
      </c>
      <c r="AK46" s="8"/>
      <c r="AL46" s="8">
        <v>57.398686142844888</v>
      </c>
      <c r="AM46" s="8" t="s">
        <v>226</v>
      </c>
      <c r="AN46" s="8">
        <v>16.216592268562799</v>
      </c>
      <c r="AO46" s="8"/>
      <c r="AP46" s="8">
        <v>19.50323850398707</v>
      </c>
      <c r="AQ46" s="8"/>
      <c r="AR46" s="8">
        <v>23.91746646534019</v>
      </c>
      <c r="AS46" s="8"/>
      <c r="AT46" s="8">
        <v>-2.7351300247256178</v>
      </c>
      <c r="AU46" s="8"/>
      <c r="AV46" s="9">
        <v>-1.11007392742527</v>
      </c>
      <c r="AW46" s="8"/>
    </row>
    <row r="47" spans="1:49" ht="15.75" x14ac:dyDescent="0.25">
      <c r="A47" s="7" t="s">
        <v>162</v>
      </c>
      <c r="B47" s="8">
        <v>-92.244081087200797</v>
      </c>
      <c r="C47" s="8" t="s">
        <v>226</v>
      </c>
      <c r="D47" s="8">
        <v>-89.116895716524269</v>
      </c>
      <c r="E47" s="8" t="s">
        <v>226</v>
      </c>
      <c r="F47" s="8">
        <v>-86.888471201580629</v>
      </c>
      <c r="G47" s="8" t="s">
        <v>226</v>
      </c>
      <c r="H47" s="8">
        <v>-84.417052112232398</v>
      </c>
      <c r="I47" s="8" t="s">
        <v>226</v>
      </c>
      <c r="J47" s="8">
        <v>-83.360903617506565</v>
      </c>
      <c r="K47" s="8" t="s">
        <v>226</v>
      </c>
      <c r="L47" s="8">
        <v>-79.575696769949175</v>
      </c>
      <c r="M47" s="8" t="s">
        <v>226</v>
      </c>
      <c r="N47" s="8">
        <v>-75.467279371741469</v>
      </c>
      <c r="O47" s="8" t="s">
        <v>226</v>
      </c>
      <c r="P47" s="8">
        <v>-72.408606121198773</v>
      </c>
      <c r="Q47" s="8" t="s">
        <v>226</v>
      </c>
      <c r="R47" s="8">
        <v>-69.452250455318051</v>
      </c>
      <c r="S47" s="8" t="s">
        <v>226</v>
      </c>
      <c r="T47" s="8">
        <v>-65.623588868606774</v>
      </c>
      <c r="U47" s="8" t="s">
        <v>226</v>
      </c>
      <c r="V47" s="8">
        <v>-60.232503384762722</v>
      </c>
      <c r="W47" s="8" t="s">
        <v>226</v>
      </c>
      <c r="X47" s="8">
        <v>-55.181054898270453</v>
      </c>
      <c r="Y47" s="8" t="s">
        <v>226</v>
      </c>
      <c r="Z47" s="8">
        <v>-49.147751732842359</v>
      </c>
      <c r="AA47" s="8" t="s">
        <v>226</v>
      </c>
      <c r="AB47" s="8">
        <v>-47.927697825866048</v>
      </c>
      <c r="AC47" s="8" t="s">
        <v>226</v>
      </c>
      <c r="AD47" s="8">
        <v>-32.374269243965657</v>
      </c>
      <c r="AE47" s="8" t="s">
        <v>226</v>
      </c>
      <c r="AF47" s="8">
        <v>-22.265179942968171</v>
      </c>
      <c r="AG47" s="8" t="s">
        <v>226</v>
      </c>
      <c r="AH47" s="8">
        <v>-38.163293677126177</v>
      </c>
      <c r="AI47" s="8" t="s">
        <v>226</v>
      </c>
      <c r="AJ47" s="8">
        <v>-21.424945247216431</v>
      </c>
      <c r="AK47" s="8"/>
      <c r="AL47" s="8">
        <v>-21.6071497329437</v>
      </c>
      <c r="AM47" s="8"/>
      <c r="AN47" s="8">
        <v>-31.963732977758308</v>
      </c>
      <c r="AO47" s="8" t="s">
        <v>226</v>
      </c>
      <c r="AP47" s="8">
        <v>-26.347444899163179</v>
      </c>
      <c r="AQ47" s="8" t="s">
        <v>226</v>
      </c>
      <c r="AR47" s="8">
        <v>-26.603140098695949</v>
      </c>
      <c r="AS47" s="8" t="s">
        <v>226</v>
      </c>
      <c r="AT47" s="8">
        <v>0.36814893664829368</v>
      </c>
      <c r="AU47" s="8"/>
      <c r="AV47" s="9">
        <v>-23.98414270750645</v>
      </c>
      <c r="AW47" s="8"/>
    </row>
    <row r="48" spans="1:49" ht="30" customHeight="1" x14ac:dyDescent="0.25">
      <c r="A48" s="819" t="s">
        <v>234</v>
      </c>
      <c r="B48" s="820">
        <v>-84.97742011239653</v>
      </c>
      <c r="C48" s="820" t="s">
        <v>226</v>
      </c>
      <c r="D48" s="820">
        <v>-82.563869776240779</v>
      </c>
      <c r="E48" s="820" t="s">
        <v>226</v>
      </c>
      <c r="F48" s="820">
        <v>-81.478593336977625</v>
      </c>
      <c r="G48" s="820" t="s">
        <v>226</v>
      </c>
      <c r="H48" s="820">
        <v>-80.47446107024723</v>
      </c>
      <c r="I48" s="820" t="s">
        <v>226</v>
      </c>
      <c r="J48" s="820">
        <v>-80.155739094268952</v>
      </c>
      <c r="K48" s="820" t="s">
        <v>226</v>
      </c>
      <c r="L48" s="820">
        <v>-78.610277982678753</v>
      </c>
      <c r="M48" s="820" t="s">
        <v>226</v>
      </c>
      <c r="N48" s="820">
        <v>-79.900000154865879</v>
      </c>
      <c r="O48" s="820" t="s">
        <v>226</v>
      </c>
      <c r="P48" s="820">
        <v>-80.922835219105949</v>
      </c>
      <c r="Q48" s="820" t="s">
        <v>226</v>
      </c>
      <c r="R48" s="820">
        <v>-82.877975600835157</v>
      </c>
      <c r="S48" s="820" t="s">
        <v>226</v>
      </c>
      <c r="T48" s="820">
        <v>-80.968865189847364</v>
      </c>
      <c r="U48" s="820" t="s">
        <v>226</v>
      </c>
      <c r="V48" s="820">
        <v>-81.818099775702763</v>
      </c>
      <c r="W48" s="820" t="s">
        <v>226</v>
      </c>
      <c r="X48" s="820">
        <v>-79.078807450298044</v>
      </c>
      <c r="Y48" s="820" t="s">
        <v>226</v>
      </c>
      <c r="Z48" s="820">
        <v>-77.460404257232085</v>
      </c>
      <c r="AA48" s="820" t="s">
        <v>226</v>
      </c>
      <c r="AB48" s="820">
        <v>-75.659509888992702</v>
      </c>
      <c r="AC48" s="820" t="s">
        <v>226</v>
      </c>
      <c r="AD48" s="820">
        <v>-72.760945079093887</v>
      </c>
      <c r="AE48" s="820" t="s">
        <v>226</v>
      </c>
      <c r="AF48" s="820">
        <v>-67.061617494560835</v>
      </c>
      <c r="AG48" s="820" t="s">
        <v>226</v>
      </c>
      <c r="AH48" s="820">
        <v>-61.79333362208569</v>
      </c>
      <c r="AI48" s="820" t="s">
        <v>226</v>
      </c>
      <c r="AJ48" s="820">
        <v>-58.855759648808522</v>
      </c>
      <c r="AK48" s="820" t="s">
        <v>226</v>
      </c>
      <c r="AL48" s="820">
        <v>-56.668325883841852</v>
      </c>
      <c r="AM48" s="820" t="s">
        <v>226</v>
      </c>
      <c r="AN48" s="820">
        <v>-49.371298623725458</v>
      </c>
      <c r="AO48" s="820" t="s">
        <v>226</v>
      </c>
      <c r="AP48" s="820">
        <v>-56.679132181996827</v>
      </c>
      <c r="AQ48" s="820" t="s">
        <v>226</v>
      </c>
      <c r="AR48" s="820">
        <v>-47.401325118746371</v>
      </c>
      <c r="AS48" s="820" t="s">
        <v>226</v>
      </c>
      <c r="AT48" s="820">
        <v>-18.536439568520901</v>
      </c>
      <c r="AU48" s="820" t="s">
        <v>226</v>
      </c>
      <c r="AV48" s="821">
        <v>-15.03666439282431</v>
      </c>
      <c r="AW48" s="820"/>
    </row>
    <row r="49" spans="1:49" ht="30" customHeight="1" x14ac:dyDescent="0.25">
      <c r="A49" s="819" t="s">
        <v>233</v>
      </c>
      <c r="B49" s="820">
        <v>-76.563806088432301</v>
      </c>
      <c r="C49" s="820" t="s">
        <v>226</v>
      </c>
      <c r="D49" s="820">
        <v>-70.184225154452548</v>
      </c>
      <c r="E49" s="820" t="s">
        <v>226</v>
      </c>
      <c r="F49" s="820">
        <v>-58.193161576009892</v>
      </c>
      <c r="G49" s="820" t="s">
        <v>226</v>
      </c>
      <c r="H49" s="820">
        <v>-59.480000782099182</v>
      </c>
      <c r="I49" s="820" t="s">
        <v>226</v>
      </c>
      <c r="J49" s="820">
        <v>-56.629547400059643</v>
      </c>
      <c r="K49" s="820" t="s">
        <v>226</v>
      </c>
      <c r="L49" s="820">
        <v>-57.395806846873889</v>
      </c>
      <c r="M49" s="820" t="s">
        <v>226</v>
      </c>
      <c r="N49" s="820">
        <v>-59.940049233182663</v>
      </c>
      <c r="O49" s="820" t="s">
        <v>226</v>
      </c>
      <c r="P49" s="820">
        <v>-63.035206043953913</v>
      </c>
      <c r="Q49" s="820" t="s">
        <v>226</v>
      </c>
      <c r="R49" s="820">
        <v>-63.594160593336177</v>
      </c>
      <c r="S49" s="820" t="s">
        <v>226</v>
      </c>
      <c r="T49" s="820">
        <v>-60.982490863660011</v>
      </c>
      <c r="U49" s="820" t="s">
        <v>226</v>
      </c>
      <c r="V49" s="820">
        <v>-68.003320146603556</v>
      </c>
      <c r="W49" s="820" t="s">
        <v>226</v>
      </c>
      <c r="X49" s="820">
        <v>-63.154430705955619</v>
      </c>
      <c r="Y49" s="820" t="s">
        <v>226</v>
      </c>
      <c r="Z49" s="820">
        <v>-66.317825477437893</v>
      </c>
      <c r="AA49" s="820" t="s">
        <v>226</v>
      </c>
      <c r="AB49" s="820">
        <v>-56.205018805034577</v>
      </c>
      <c r="AC49" s="820" t="s">
        <v>226</v>
      </c>
      <c r="AD49" s="820">
        <v>-54.153928611691597</v>
      </c>
      <c r="AE49" s="820" t="s">
        <v>226</v>
      </c>
      <c r="AF49" s="820">
        <v>-45.000417573137597</v>
      </c>
      <c r="AG49" s="820" t="s">
        <v>226</v>
      </c>
      <c r="AH49" s="820">
        <v>-45.869250127072107</v>
      </c>
      <c r="AI49" s="820" t="s">
        <v>226</v>
      </c>
      <c r="AJ49" s="820">
        <v>-35.175214690684697</v>
      </c>
      <c r="AK49" s="820" t="s">
        <v>226</v>
      </c>
      <c r="AL49" s="820">
        <v>-28.602951909061169</v>
      </c>
      <c r="AM49" s="820" t="s">
        <v>226</v>
      </c>
      <c r="AN49" s="820">
        <v>-31.71390538210381</v>
      </c>
      <c r="AO49" s="820" t="s">
        <v>226</v>
      </c>
      <c r="AP49" s="820">
        <v>-35.792943435654358</v>
      </c>
      <c r="AQ49" s="820" t="s">
        <v>226</v>
      </c>
      <c r="AR49" s="820">
        <v>-24.441941898264439</v>
      </c>
      <c r="AS49" s="820" t="s">
        <v>226</v>
      </c>
      <c r="AT49" s="820">
        <v>-16.682432686015702</v>
      </c>
      <c r="AU49" s="820"/>
      <c r="AV49" s="821">
        <v>-6.7814831647175726</v>
      </c>
      <c r="AW49" s="820"/>
    </row>
    <row r="50" spans="1:49" ht="30" customHeight="1" x14ac:dyDescent="0.25">
      <c r="A50" s="4" t="s">
        <v>237</v>
      </c>
      <c r="B50" s="5">
        <v>-85.927325768107565</v>
      </c>
      <c r="C50" s="5" t="s">
        <v>226</v>
      </c>
      <c r="D50" s="5">
        <v>-84.234004716883987</v>
      </c>
      <c r="E50" s="5" t="s">
        <v>226</v>
      </c>
      <c r="F50" s="5">
        <v>-83.093008059090252</v>
      </c>
      <c r="G50" s="5" t="s">
        <v>226</v>
      </c>
      <c r="H50" s="5">
        <v>-81.395414446132023</v>
      </c>
      <c r="I50" s="5" t="s">
        <v>226</v>
      </c>
      <c r="J50" s="5">
        <v>-80.66744111715694</v>
      </c>
      <c r="K50" s="5" t="s">
        <v>226</v>
      </c>
      <c r="L50" s="5">
        <v>-79.534103922619153</v>
      </c>
      <c r="M50" s="5" t="s">
        <v>226</v>
      </c>
      <c r="N50" s="5">
        <v>-79.852601497059212</v>
      </c>
      <c r="O50" s="5" t="s">
        <v>226</v>
      </c>
      <c r="P50" s="5">
        <v>-80.862963234104939</v>
      </c>
      <c r="Q50" s="5" t="s">
        <v>226</v>
      </c>
      <c r="R50" s="5">
        <v>-82.405442943534098</v>
      </c>
      <c r="S50" s="5" t="s">
        <v>226</v>
      </c>
      <c r="T50" s="5">
        <v>-80.236134906288754</v>
      </c>
      <c r="U50" s="5" t="s">
        <v>226</v>
      </c>
      <c r="V50" s="5">
        <v>-80.543005563149165</v>
      </c>
      <c r="W50" s="5" t="s">
        <v>226</v>
      </c>
      <c r="X50" s="5">
        <v>-77.935391651920099</v>
      </c>
      <c r="Y50" s="5" t="s">
        <v>226</v>
      </c>
      <c r="Z50" s="5">
        <v>-75.508299956702473</v>
      </c>
      <c r="AA50" s="5" t="s">
        <v>226</v>
      </c>
      <c r="AB50" s="5">
        <v>-73.607609511815312</v>
      </c>
      <c r="AC50" s="5" t="s">
        <v>226</v>
      </c>
      <c r="AD50" s="5">
        <v>-68.85603226058592</v>
      </c>
      <c r="AE50" s="5" t="s">
        <v>226</v>
      </c>
      <c r="AF50" s="5">
        <v>-62.325926795927259</v>
      </c>
      <c r="AG50" s="5" t="s">
        <v>226</v>
      </c>
      <c r="AH50" s="5">
        <v>-58.867412591363369</v>
      </c>
      <c r="AI50" s="5" t="s">
        <v>226</v>
      </c>
      <c r="AJ50" s="5">
        <v>-54.103173326422578</v>
      </c>
      <c r="AK50" s="5" t="s">
        <v>226</v>
      </c>
      <c r="AL50" s="5">
        <v>-51.924356574373377</v>
      </c>
      <c r="AM50" s="5" t="s">
        <v>226</v>
      </c>
      <c r="AN50" s="5">
        <v>-47.582399114023453</v>
      </c>
      <c r="AO50" s="5" t="s">
        <v>226</v>
      </c>
      <c r="AP50" s="5">
        <v>-50.875000263883337</v>
      </c>
      <c r="AQ50" s="5" t="s">
        <v>226</v>
      </c>
      <c r="AR50" s="5">
        <v>-43.205319466247403</v>
      </c>
      <c r="AS50" s="5" t="s">
        <v>226</v>
      </c>
      <c r="AT50" s="5">
        <v>-12.988092463961481</v>
      </c>
      <c r="AU50" s="5"/>
      <c r="AV50" s="6">
        <v>-12.676111230529459</v>
      </c>
      <c r="AW50" s="5"/>
    </row>
    <row r="51" spans="1:49" ht="15.75" x14ac:dyDescent="0.25">
      <c r="A51" s="7" t="s">
        <v>165</v>
      </c>
      <c r="B51" s="8">
        <v>-83.859794936102034</v>
      </c>
      <c r="C51" s="8" t="s">
        <v>226</v>
      </c>
      <c r="D51" s="8">
        <v>-81.884338709659431</v>
      </c>
      <c r="E51" s="8" t="s">
        <v>226</v>
      </c>
      <c r="F51" s="8">
        <v>-80.867913894385609</v>
      </c>
      <c r="G51" s="8" t="s">
        <v>226</v>
      </c>
      <c r="H51" s="8">
        <v>-79.407001869494081</v>
      </c>
      <c r="I51" s="8" t="s">
        <v>226</v>
      </c>
      <c r="J51" s="8">
        <v>-79.373898715637964</v>
      </c>
      <c r="K51" s="8" t="s">
        <v>226</v>
      </c>
      <c r="L51" s="8">
        <v>-77.698016412039124</v>
      </c>
      <c r="M51" s="8" t="s">
        <v>226</v>
      </c>
      <c r="N51" s="8">
        <v>-79.241498941933756</v>
      </c>
      <c r="O51" s="8" t="s">
        <v>226</v>
      </c>
      <c r="P51" s="8">
        <v>-80.558581488562325</v>
      </c>
      <c r="Q51" s="8" t="s">
        <v>226</v>
      </c>
      <c r="R51" s="8">
        <v>-82.485589020787131</v>
      </c>
      <c r="S51" s="8" t="s">
        <v>226</v>
      </c>
      <c r="T51" s="8">
        <v>-80.670883395557027</v>
      </c>
      <c r="U51" s="8" t="s">
        <v>226</v>
      </c>
      <c r="V51" s="8">
        <v>-81.514912306901607</v>
      </c>
      <c r="W51" s="8" t="s">
        <v>226</v>
      </c>
      <c r="X51" s="8">
        <v>-78.72333675196154</v>
      </c>
      <c r="Y51" s="8" t="s">
        <v>226</v>
      </c>
      <c r="Z51" s="8">
        <v>-77.004167149110302</v>
      </c>
      <c r="AA51" s="8" t="s">
        <v>226</v>
      </c>
      <c r="AB51" s="8">
        <v>-75.113861586470847</v>
      </c>
      <c r="AC51" s="8" t="s">
        <v>226</v>
      </c>
      <c r="AD51" s="8">
        <v>-71.909493512797241</v>
      </c>
      <c r="AE51" s="8" t="s">
        <v>226</v>
      </c>
      <c r="AF51" s="8">
        <v>-65.856075571177456</v>
      </c>
      <c r="AG51" s="8" t="s">
        <v>226</v>
      </c>
      <c r="AH51" s="8">
        <v>-60.777857747040073</v>
      </c>
      <c r="AI51" s="8" t="s">
        <v>226</v>
      </c>
      <c r="AJ51" s="8">
        <v>-58.244263859942762</v>
      </c>
      <c r="AK51" s="8" t="s">
        <v>226</v>
      </c>
      <c r="AL51" s="8">
        <v>-55.881564958208529</v>
      </c>
      <c r="AM51" s="8" t="s">
        <v>226</v>
      </c>
      <c r="AN51" s="8">
        <v>-48.761999731179458</v>
      </c>
      <c r="AO51" s="8" t="s">
        <v>226</v>
      </c>
      <c r="AP51" s="8">
        <v>-56.76227833113029</v>
      </c>
      <c r="AQ51" s="8" t="s">
        <v>226</v>
      </c>
      <c r="AR51" s="8">
        <v>-47.460754418675307</v>
      </c>
      <c r="AS51" s="8" t="s">
        <v>226</v>
      </c>
      <c r="AT51" s="8">
        <v>-17.692067665528519</v>
      </c>
      <c r="AU51" s="8" t="s">
        <v>226</v>
      </c>
      <c r="AV51" s="9">
        <v>-13.567371464562701</v>
      </c>
      <c r="AW51" s="8"/>
    </row>
    <row r="52" spans="1:49" ht="15.75" x14ac:dyDescent="0.25">
      <c r="A52" s="7" t="s">
        <v>166</v>
      </c>
      <c r="B52" s="8">
        <v>-88.41054237148316</v>
      </c>
      <c r="C52" s="8" t="s">
        <v>226</v>
      </c>
      <c r="D52" s="8">
        <v>-87.04466895788002</v>
      </c>
      <c r="E52" s="8" t="s">
        <v>226</v>
      </c>
      <c r="F52" s="8">
        <v>-85.846365291799941</v>
      </c>
      <c r="G52" s="8" t="s">
        <v>226</v>
      </c>
      <c r="H52" s="8">
        <v>-83.982394222320238</v>
      </c>
      <c r="I52" s="8" t="s">
        <v>226</v>
      </c>
      <c r="J52" s="8">
        <v>-82.502874940913117</v>
      </c>
      <c r="K52" s="8" t="s">
        <v>226</v>
      </c>
      <c r="L52" s="8">
        <v>-82.011288928274823</v>
      </c>
      <c r="M52" s="8" t="s">
        <v>226</v>
      </c>
      <c r="N52" s="8">
        <v>-80.798120705422448</v>
      </c>
      <c r="O52" s="8" t="s">
        <v>226</v>
      </c>
      <c r="P52" s="8">
        <v>-81.351331016458829</v>
      </c>
      <c r="Q52" s="8" t="s">
        <v>226</v>
      </c>
      <c r="R52" s="8">
        <v>-82.269733361527912</v>
      </c>
      <c r="S52" s="8" t="s">
        <v>226</v>
      </c>
      <c r="T52" s="8">
        <v>-79.463524601295163</v>
      </c>
      <c r="U52" s="8" t="s">
        <v>226</v>
      </c>
      <c r="V52" s="8">
        <v>-78.666860735096662</v>
      </c>
      <c r="W52" s="8" t="s">
        <v>226</v>
      </c>
      <c r="X52" s="8">
        <v>-76.47836156174651</v>
      </c>
      <c r="Y52" s="8" t="s">
        <v>226</v>
      </c>
      <c r="Z52" s="8">
        <v>-72.518109148789392</v>
      </c>
      <c r="AA52" s="8" t="s">
        <v>226</v>
      </c>
      <c r="AB52" s="8">
        <v>-70.634690274260819</v>
      </c>
      <c r="AC52" s="8" t="s">
        <v>226</v>
      </c>
      <c r="AD52" s="8">
        <v>-61.935071763666002</v>
      </c>
      <c r="AE52" s="8" t="s">
        <v>226</v>
      </c>
      <c r="AF52" s="8">
        <v>-54.448359845326117</v>
      </c>
      <c r="AG52" s="8" t="s">
        <v>226</v>
      </c>
      <c r="AH52" s="8">
        <v>-55.218985206936523</v>
      </c>
      <c r="AI52" s="8" t="s">
        <v>226</v>
      </c>
      <c r="AJ52" s="8">
        <v>-44.975421671413571</v>
      </c>
      <c r="AK52" s="8" t="s">
        <v>226</v>
      </c>
      <c r="AL52" s="8">
        <v>-43.438441046980699</v>
      </c>
      <c r="AM52" s="8" t="s">
        <v>226</v>
      </c>
      <c r="AN52" s="8">
        <v>-45.483055505275253</v>
      </c>
      <c r="AO52" s="8" t="s">
        <v>226</v>
      </c>
      <c r="AP52" s="8">
        <v>-36.387099737209319</v>
      </c>
      <c r="AQ52" s="8" t="s">
        <v>226</v>
      </c>
      <c r="AR52" s="8">
        <v>-34.305115090270789</v>
      </c>
      <c r="AS52" s="8" t="s">
        <v>226</v>
      </c>
      <c r="AT52" s="8">
        <v>-3.7910704958524328</v>
      </c>
      <c r="AU52" s="8"/>
      <c r="AV52" s="9">
        <v>-11.143526860720529</v>
      </c>
      <c r="AW52" s="8"/>
    </row>
    <row r="53" spans="1:49" ht="30" customHeight="1" x14ac:dyDescent="0.25">
      <c r="A53" s="816" t="s">
        <v>238</v>
      </c>
      <c r="B53" s="817" t="s">
        <v>169</v>
      </c>
      <c r="C53" s="817" t="s">
        <v>169</v>
      </c>
      <c r="D53" s="817" t="s">
        <v>169</v>
      </c>
      <c r="E53" s="817" t="s">
        <v>169</v>
      </c>
      <c r="F53" s="817" t="s">
        <v>169</v>
      </c>
      <c r="G53" s="817" t="s">
        <v>169</v>
      </c>
      <c r="H53" s="817" t="s">
        <v>169</v>
      </c>
      <c r="I53" s="817" t="s">
        <v>169</v>
      </c>
      <c r="J53" s="817" t="s">
        <v>169</v>
      </c>
      <c r="K53" s="817" t="s">
        <v>169</v>
      </c>
      <c r="L53" s="817" t="s">
        <v>169</v>
      </c>
      <c r="M53" s="817" t="s">
        <v>169</v>
      </c>
      <c r="N53" s="817" t="s">
        <v>169</v>
      </c>
      <c r="O53" s="817" t="s">
        <v>169</v>
      </c>
      <c r="P53" s="817" t="s">
        <v>169</v>
      </c>
      <c r="Q53" s="817" t="s">
        <v>169</v>
      </c>
      <c r="R53" s="817" t="s">
        <v>169</v>
      </c>
      <c r="S53" s="817" t="s">
        <v>169</v>
      </c>
      <c r="T53" s="817" t="s">
        <v>169</v>
      </c>
      <c r="U53" s="817" t="s">
        <v>169</v>
      </c>
      <c r="V53" s="817" t="s">
        <v>169</v>
      </c>
      <c r="W53" s="817" t="s">
        <v>169</v>
      </c>
      <c r="X53" s="817" t="s">
        <v>169</v>
      </c>
      <c r="Y53" s="817" t="s">
        <v>169</v>
      </c>
      <c r="Z53" s="817" t="s">
        <v>169</v>
      </c>
      <c r="AA53" s="817" t="s">
        <v>169</v>
      </c>
      <c r="AB53" s="817" t="s">
        <v>169</v>
      </c>
      <c r="AC53" s="817" t="s">
        <v>169</v>
      </c>
      <c r="AD53" s="817" t="s">
        <v>169</v>
      </c>
      <c r="AE53" s="817" t="s">
        <v>169</v>
      </c>
      <c r="AF53" s="817" t="s">
        <v>169</v>
      </c>
      <c r="AG53" s="817" t="s">
        <v>169</v>
      </c>
      <c r="AH53" s="817" t="s">
        <v>169</v>
      </c>
      <c r="AI53" s="817" t="s">
        <v>169</v>
      </c>
      <c r="AJ53" s="817" t="s">
        <v>169</v>
      </c>
      <c r="AK53" s="817" t="s">
        <v>169</v>
      </c>
      <c r="AL53" s="817" t="s">
        <v>169</v>
      </c>
      <c r="AM53" s="817" t="s">
        <v>169</v>
      </c>
      <c r="AN53" s="817" t="s">
        <v>169</v>
      </c>
      <c r="AO53" s="817" t="s">
        <v>169</v>
      </c>
      <c r="AP53" s="817" t="s">
        <v>169</v>
      </c>
      <c r="AQ53" s="817" t="s">
        <v>169</v>
      </c>
      <c r="AR53" s="817" t="s">
        <v>169</v>
      </c>
      <c r="AS53" s="817" t="s">
        <v>169</v>
      </c>
      <c r="AT53" s="817" t="s">
        <v>169</v>
      </c>
      <c r="AU53" s="817" t="s">
        <v>169</v>
      </c>
      <c r="AV53" s="818" t="s">
        <v>169</v>
      </c>
      <c r="AW53" s="817" t="s">
        <v>169</v>
      </c>
    </row>
    <row r="54" spans="1:49" ht="30" customHeight="1" x14ac:dyDescent="0.25">
      <c r="A54" s="4" t="s">
        <v>1475</v>
      </c>
      <c r="B54" s="5" t="s">
        <v>169</v>
      </c>
      <c r="C54" s="5" t="s">
        <v>169</v>
      </c>
      <c r="D54" s="5" t="s">
        <v>169</v>
      </c>
      <c r="E54" s="5" t="s">
        <v>169</v>
      </c>
      <c r="F54" s="5" t="s">
        <v>169</v>
      </c>
      <c r="G54" s="5" t="s">
        <v>169</v>
      </c>
      <c r="H54" s="5" t="s">
        <v>169</v>
      </c>
      <c r="I54" s="5" t="s">
        <v>169</v>
      </c>
      <c r="J54" s="5" t="s">
        <v>169</v>
      </c>
      <c r="K54" s="5" t="s">
        <v>169</v>
      </c>
      <c r="L54" s="5" t="s">
        <v>169</v>
      </c>
      <c r="M54" s="5" t="s">
        <v>169</v>
      </c>
      <c r="N54" s="5" t="s">
        <v>169</v>
      </c>
      <c r="O54" s="5" t="s">
        <v>169</v>
      </c>
      <c r="P54" s="5" t="s">
        <v>169</v>
      </c>
      <c r="Q54" s="5" t="s">
        <v>169</v>
      </c>
      <c r="R54" s="5" t="s">
        <v>169</v>
      </c>
      <c r="S54" s="5" t="s">
        <v>169</v>
      </c>
      <c r="T54" s="5" t="s">
        <v>169</v>
      </c>
      <c r="U54" s="5" t="s">
        <v>169</v>
      </c>
      <c r="V54" s="5" t="s">
        <v>169</v>
      </c>
      <c r="W54" s="5" t="s">
        <v>169</v>
      </c>
      <c r="X54" s="5" t="s">
        <v>169</v>
      </c>
      <c r="Y54" s="5" t="s">
        <v>169</v>
      </c>
      <c r="Z54" s="5" t="s">
        <v>169</v>
      </c>
      <c r="AA54" s="5" t="s">
        <v>169</v>
      </c>
      <c r="AB54" s="5" t="s">
        <v>169</v>
      </c>
      <c r="AC54" s="5" t="s">
        <v>169</v>
      </c>
      <c r="AD54" s="5" t="s">
        <v>169</v>
      </c>
      <c r="AE54" s="5" t="s">
        <v>169</v>
      </c>
      <c r="AF54" s="5" t="s">
        <v>169</v>
      </c>
      <c r="AG54" s="5" t="s">
        <v>169</v>
      </c>
      <c r="AH54" s="5" t="s">
        <v>169</v>
      </c>
      <c r="AI54" s="5" t="s">
        <v>169</v>
      </c>
      <c r="AJ54" s="5" t="s">
        <v>169</v>
      </c>
      <c r="AK54" s="5" t="s">
        <v>169</v>
      </c>
      <c r="AL54" s="5">
        <v>14.23574707227249</v>
      </c>
      <c r="AM54" s="5" t="s">
        <v>226</v>
      </c>
      <c r="AN54" s="5">
        <v>19.958117605585791</v>
      </c>
      <c r="AO54" s="5" t="s">
        <v>226</v>
      </c>
      <c r="AP54" s="5">
        <v>3.1535639716061099</v>
      </c>
      <c r="AQ54" s="5"/>
      <c r="AR54" s="5">
        <v>7.5377408001208623</v>
      </c>
      <c r="AS54" s="5"/>
      <c r="AT54" s="5">
        <v>13.89244057356553</v>
      </c>
      <c r="AU54" s="5" t="s">
        <v>226</v>
      </c>
      <c r="AV54" s="6">
        <v>13.64566331545252</v>
      </c>
      <c r="AW54" s="5" t="s">
        <v>226</v>
      </c>
    </row>
    <row r="55" spans="1:49" ht="15.75" x14ac:dyDescent="0.25">
      <c r="A55" s="7" t="s">
        <v>170</v>
      </c>
      <c r="B55" s="8" t="s">
        <v>169</v>
      </c>
      <c r="C55" s="8" t="s">
        <v>169</v>
      </c>
      <c r="D55" s="8" t="s">
        <v>169</v>
      </c>
      <c r="E55" s="8" t="s">
        <v>169</v>
      </c>
      <c r="F55" s="8" t="s">
        <v>169</v>
      </c>
      <c r="G55" s="8" t="s">
        <v>169</v>
      </c>
      <c r="H55" s="8" t="s">
        <v>169</v>
      </c>
      <c r="I55" s="8" t="s">
        <v>169</v>
      </c>
      <c r="J55" s="8" t="s">
        <v>169</v>
      </c>
      <c r="K55" s="8" t="s">
        <v>169</v>
      </c>
      <c r="L55" s="8" t="s">
        <v>169</v>
      </c>
      <c r="M55" s="8" t="s">
        <v>169</v>
      </c>
      <c r="N55" s="8" t="s">
        <v>169</v>
      </c>
      <c r="O55" s="8" t="s">
        <v>169</v>
      </c>
      <c r="P55" s="8" t="s">
        <v>169</v>
      </c>
      <c r="Q55" s="8" t="s">
        <v>169</v>
      </c>
      <c r="R55" s="8" t="s">
        <v>169</v>
      </c>
      <c r="S55" s="8" t="s">
        <v>169</v>
      </c>
      <c r="T55" s="8" t="s">
        <v>169</v>
      </c>
      <c r="U55" s="8" t="s">
        <v>169</v>
      </c>
      <c r="V55" s="8" t="s">
        <v>169</v>
      </c>
      <c r="W55" s="8" t="s">
        <v>169</v>
      </c>
      <c r="X55" s="8" t="s">
        <v>169</v>
      </c>
      <c r="Y55" s="8" t="s">
        <v>169</v>
      </c>
      <c r="Z55" s="8" t="s">
        <v>169</v>
      </c>
      <c r="AA55" s="8" t="s">
        <v>169</v>
      </c>
      <c r="AB55" s="8" t="s">
        <v>169</v>
      </c>
      <c r="AC55" s="8" t="s">
        <v>169</v>
      </c>
      <c r="AD55" s="8" t="s">
        <v>169</v>
      </c>
      <c r="AE55" s="8" t="s">
        <v>169</v>
      </c>
      <c r="AF55" s="8" t="s">
        <v>169</v>
      </c>
      <c r="AG55" s="8" t="s">
        <v>169</v>
      </c>
      <c r="AH55" s="8" t="s">
        <v>169</v>
      </c>
      <c r="AI55" s="8" t="s">
        <v>169</v>
      </c>
      <c r="AJ55" s="8" t="s">
        <v>169</v>
      </c>
      <c r="AK55" s="8" t="s">
        <v>169</v>
      </c>
      <c r="AL55" s="8">
        <v>-4.3830146654868063</v>
      </c>
      <c r="AM55" s="8"/>
      <c r="AN55" s="8">
        <v>6.7387521196074607</v>
      </c>
      <c r="AO55" s="8"/>
      <c r="AP55" s="8">
        <v>-6.6650272568216877</v>
      </c>
      <c r="AQ55" s="8"/>
      <c r="AR55" s="8">
        <v>-2.100983572894644</v>
      </c>
      <c r="AS55" s="8"/>
      <c r="AT55" s="8">
        <v>15.21822456054052</v>
      </c>
      <c r="AU55" s="8" t="s">
        <v>226</v>
      </c>
      <c r="AV55" s="9">
        <v>18.50191626866506</v>
      </c>
      <c r="AW55" s="8" t="s">
        <v>226</v>
      </c>
    </row>
    <row r="56" spans="1:49" ht="15.75" x14ac:dyDescent="0.25">
      <c r="A56" s="7" t="s">
        <v>171</v>
      </c>
      <c r="B56" s="8" t="s">
        <v>169</v>
      </c>
      <c r="C56" s="8" t="s">
        <v>169</v>
      </c>
      <c r="D56" s="8" t="s">
        <v>169</v>
      </c>
      <c r="E56" s="8" t="s">
        <v>169</v>
      </c>
      <c r="F56" s="8" t="s">
        <v>169</v>
      </c>
      <c r="G56" s="8" t="s">
        <v>169</v>
      </c>
      <c r="H56" s="8" t="s">
        <v>169</v>
      </c>
      <c r="I56" s="8" t="s">
        <v>169</v>
      </c>
      <c r="J56" s="8" t="s">
        <v>169</v>
      </c>
      <c r="K56" s="8" t="s">
        <v>169</v>
      </c>
      <c r="L56" s="8" t="s">
        <v>169</v>
      </c>
      <c r="M56" s="8" t="s">
        <v>169</v>
      </c>
      <c r="N56" s="8" t="s">
        <v>169</v>
      </c>
      <c r="O56" s="8" t="s">
        <v>169</v>
      </c>
      <c r="P56" s="8" t="s">
        <v>169</v>
      </c>
      <c r="Q56" s="8" t="s">
        <v>169</v>
      </c>
      <c r="R56" s="8" t="s">
        <v>169</v>
      </c>
      <c r="S56" s="8" t="s">
        <v>169</v>
      </c>
      <c r="T56" s="8" t="s">
        <v>169</v>
      </c>
      <c r="U56" s="8" t="s">
        <v>169</v>
      </c>
      <c r="V56" s="8" t="s">
        <v>169</v>
      </c>
      <c r="W56" s="8" t="s">
        <v>169</v>
      </c>
      <c r="X56" s="8" t="s">
        <v>169</v>
      </c>
      <c r="Y56" s="8" t="s">
        <v>169</v>
      </c>
      <c r="Z56" s="8" t="s">
        <v>169</v>
      </c>
      <c r="AA56" s="8" t="s">
        <v>169</v>
      </c>
      <c r="AB56" s="8" t="s">
        <v>169</v>
      </c>
      <c r="AC56" s="8" t="s">
        <v>169</v>
      </c>
      <c r="AD56" s="8" t="s">
        <v>169</v>
      </c>
      <c r="AE56" s="8" t="s">
        <v>169</v>
      </c>
      <c r="AF56" s="8" t="s">
        <v>169</v>
      </c>
      <c r="AG56" s="8" t="s">
        <v>169</v>
      </c>
      <c r="AH56" s="8" t="s">
        <v>169</v>
      </c>
      <c r="AI56" s="8" t="s">
        <v>169</v>
      </c>
      <c r="AJ56" s="8" t="s">
        <v>169</v>
      </c>
      <c r="AK56" s="8" t="s">
        <v>169</v>
      </c>
      <c r="AL56" s="8">
        <v>39.046154706966931</v>
      </c>
      <c r="AM56" s="8" t="s">
        <v>226</v>
      </c>
      <c r="AN56" s="8">
        <v>17.93123501509746</v>
      </c>
      <c r="AO56" s="8" t="s">
        <v>226</v>
      </c>
      <c r="AP56" s="8">
        <v>1.737473891575037</v>
      </c>
      <c r="AQ56" s="8"/>
      <c r="AR56" s="8">
        <v>14.02022973810695</v>
      </c>
      <c r="AS56" s="8"/>
      <c r="AT56" s="8">
        <v>28.420365025120709</v>
      </c>
      <c r="AU56" s="8" t="s">
        <v>226</v>
      </c>
      <c r="AV56" s="9">
        <v>10.85844626836696</v>
      </c>
      <c r="AW56" s="8"/>
    </row>
    <row r="57" spans="1:49" ht="15.75" x14ac:dyDescent="0.25">
      <c r="A57" s="7" t="s">
        <v>172</v>
      </c>
      <c r="B57" s="8" t="s">
        <v>169</v>
      </c>
      <c r="C57" s="8" t="s">
        <v>169</v>
      </c>
      <c r="D57" s="8" t="s">
        <v>169</v>
      </c>
      <c r="E57" s="8" t="s">
        <v>169</v>
      </c>
      <c r="F57" s="8" t="s">
        <v>169</v>
      </c>
      <c r="G57" s="8" t="s">
        <v>169</v>
      </c>
      <c r="H57" s="8" t="s">
        <v>169</v>
      </c>
      <c r="I57" s="8" t="s">
        <v>169</v>
      </c>
      <c r="J57" s="8" t="s">
        <v>169</v>
      </c>
      <c r="K57" s="8" t="s">
        <v>169</v>
      </c>
      <c r="L57" s="8" t="s">
        <v>169</v>
      </c>
      <c r="M57" s="8" t="s">
        <v>169</v>
      </c>
      <c r="N57" s="8" t="s">
        <v>169</v>
      </c>
      <c r="O57" s="8" t="s">
        <v>169</v>
      </c>
      <c r="P57" s="8" t="s">
        <v>169</v>
      </c>
      <c r="Q57" s="8" t="s">
        <v>169</v>
      </c>
      <c r="R57" s="8" t="s">
        <v>169</v>
      </c>
      <c r="S57" s="8" t="s">
        <v>169</v>
      </c>
      <c r="T57" s="8" t="s">
        <v>169</v>
      </c>
      <c r="U57" s="8" t="s">
        <v>169</v>
      </c>
      <c r="V57" s="8" t="s">
        <v>169</v>
      </c>
      <c r="W57" s="8" t="s">
        <v>169</v>
      </c>
      <c r="X57" s="8" t="s">
        <v>169</v>
      </c>
      <c r="Y57" s="8" t="s">
        <v>169</v>
      </c>
      <c r="Z57" s="8" t="s">
        <v>169</v>
      </c>
      <c r="AA57" s="8" t="s">
        <v>169</v>
      </c>
      <c r="AB57" s="8" t="s">
        <v>169</v>
      </c>
      <c r="AC57" s="8" t="s">
        <v>169</v>
      </c>
      <c r="AD57" s="8" t="s">
        <v>169</v>
      </c>
      <c r="AE57" s="8" t="s">
        <v>169</v>
      </c>
      <c r="AF57" s="8" t="s">
        <v>169</v>
      </c>
      <c r="AG57" s="8" t="s">
        <v>169</v>
      </c>
      <c r="AH57" s="8" t="s">
        <v>169</v>
      </c>
      <c r="AI57" s="8" t="s">
        <v>169</v>
      </c>
      <c r="AJ57" s="8" t="s">
        <v>169</v>
      </c>
      <c r="AK57" s="8" t="s">
        <v>169</v>
      </c>
      <c r="AL57" s="8">
        <v>269.32092086141421</v>
      </c>
      <c r="AM57" s="8" t="s">
        <v>226</v>
      </c>
      <c r="AN57" s="8">
        <v>311.19849042346931</v>
      </c>
      <c r="AO57" s="8" t="s">
        <v>226</v>
      </c>
      <c r="AP57" s="8">
        <v>402.36431275460802</v>
      </c>
      <c r="AQ57" s="8" t="s">
        <v>226</v>
      </c>
      <c r="AR57" s="8">
        <v>380.39980308702582</v>
      </c>
      <c r="AS57" s="8" t="s">
        <v>226</v>
      </c>
      <c r="AT57" s="8">
        <v>-24.784356710750359</v>
      </c>
      <c r="AU57" s="8" t="s">
        <v>226</v>
      </c>
      <c r="AV57" s="9">
        <v>-11.069647260358121</v>
      </c>
      <c r="AW57" s="8"/>
    </row>
    <row r="58" spans="1:49" ht="15.75" x14ac:dyDescent="0.25">
      <c r="A58" s="7" t="s">
        <v>173</v>
      </c>
      <c r="B58" s="8" t="s">
        <v>169</v>
      </c>
      <c r="C58" s="8" t="s">
        <v>169</v>
      </c>
      <c r="D58" s="8" t="s">
        <v>169</v>
      </c>
      <c r="E58" s="8" t="s">
        <v>169</v>
      </c>
      <c r="F58" s="8" t="s">
        <v>169</v>
      </c>
      <c r="G58" s="8" t="s">
        <v>169</v>
      </c>
      <c r="H58" s="8" t="s">
        <v>169</v>
      </c>
      <c r="I58" s="8" t="s">
        <v>169</v>
      </c>
      <c r="J58" s="8" t="s">
        <v>169</v>
      </c>
      <c r="K58" s="8" t="s">
        <v>169</v>
      </c>
      <c r="L58" s="8" t="s">
        <v>169</v>
      </c>
      <c r="M58" s="8" t="s">
        <v>169</v>
      </c>
      <c r="N58" s="8" t="s">
        <v>169</v>
      </c>
      <c r="O58" s="8" t="s">
        <v>169</v>
      </c>
      <c r="P58" s="8" t="s">
        <v>169</v>
      </c>
      <c r="Q58" s="8" t="s">
        <v>169</v>
      </c>
      <c r="R58" s="8" t="s">
        <v>169</v>
      </c>
      <c r="S58" s="8" t="s">
        <v>169</v>
      </c>
      <c r="T58" s="8" t="s">
        <v>169</v>
      </c>
      <c r="U58" s="8" t="s">
        <v>169</v>
      </c>
      <c r="V58" s="8" t="s">
        <v>169</v>
      </c>
      <c r="W58" s="8" t="s">
        <v>169</v>
      </c>
      <c r="X58" s="8" t="s">
        <v>169</v>
      </c>
      <c r="Y58" s="8" t="s">
        <v>169</v>
      </c>
      <c r="Z58" s="8" t="s">
        <v>169</v>
      </c>
      <c r="AA58" s="8" t="s">
        <v>169</v>
      </c>
      <c r="AB58" s="8" t="s">
        <v>169</v>
      </c>
      <c r="AC58" s="8" t="s">
        <v>169</v>
      </c>
      <c r="AD58" s="8" t="s">
        <v>169</v>
      </c>
      <c r="AE58" s="8" t="s">
        <v>169</v>
      </c>
      <c r="AF58" s="8" t="s">
        <v>169</v>
      </c>
      <c r="AG58" s="8" t="s">
        <v>169</v>
      </c>
      <c r="AH58" s="8" t="s">
        <v>169</v>
      </c>
      <c r="AI58" s="8" t="s">
        <v>169</v>
      </c>
      <c r="AJ58" s="8" t="s">
        <v>169</v>
      </c>
      <c r="AK58" s="8" t="s">
        <v>169</v>
      </c>
      <c r="AL58" s="8">
        <v>100.5802961708356</v>
      </c>
      <c r="AM58" s="8" t="s">
        <v>226</v>
      </c>
      <c r="AN58" s="8">
        <v>177.15211320625559</v>
      </c>
      <c r="AO58" s="8" t="s">
        <v>226</v>
      </c>
      <c r="AP58" s="8">
        <v>28.606575531984621</v>
      </c>
      <c r="AQ58" s="8"/>
      <c r="AR58" s="8">
        <v>-12.397621491498951</v>
      </c>
      <c r="AS58" s="8"/>
      <c r="AT58" s="8">
        <v>15.58233225342185</v>
      </c>
      <c r="AU58" s="8"/>
      <c r="AV58" s="9">
        <v>18.001766469663831</v>
      </c>
      <c r="AW58" s="8"/>
    </row>
    <row r="59" spans="1:49" ht="30" customHeight="1" x14ac:dyDescent="0.25">
      <c r="A59" s="4" t="s">
        <v>1476</v>
      </c>
      <c r="B59" s="5" t="s">
        <v>169</v>
      </c>
      <c r="C59" s="5" t="s">
        <v>169</v>
      </c>
      <c r="D59" s="5" t="s">
        <v>169</v>
      </c>
      <c r="E59" s="5" t="s">
        <v>169</v>
      </c>
      <c r="F59" s="5" t="s">
        <v>169</v>
      </c>
      <c r="G59" s="5" t="s">
        <v>169</v>
      </c>
      <c r="H59" s="5" t="s">
        <v>169</v>
      </c>
      <c r="I59" s="5" t="s">
        <v>169</v>
      </c>
      <c r="J59" s="5" t="s">
        <v>169</v>
      </c>
      <c r="K59" s="5" t="s">
        <v>169</v>
      </c>
      <c r="L59" s="5" t="s">
        <v>169</v>
      </c>
      <c r="M59" s="5" t="s">
        <v>169</v>
      </c>
      <c r="N59" s="5" t="s">
        <v>169</v>
      </c>
      <c r="O59" s="5" t="s">
        <v>169</v>
      </c>
      <c r="P59" s="5" t="s">
        <v>169</v>
      </c>
      <c r="Q59" s="5" t="s">
        <v>169</v>
      </c>
      <c r="R59" s="5" t="s">
        <v>169</v>
      </c>
      <c r="S59" s="5" t="s">
        <v>169</v>
      </c>
      <c r="T59" s="5" t="s">
        <v>169</v>
      </c>
      <c r="U59" s="5" t="s">
        <v>169</v>
      </c>
      <c r="V59" s="5" t="s">
        <v>169</v>
      </c>
      <c r="W59" s="5" t="s">
        <v>169</v>
      </c>
      <c r="X59" s="5" t="s">
        <v>169</v>
      </c>
      <c r="Y59" s="5" t="s">
        <v>169</v>
      </c>
      <c r="Z59" s="5" t="s">
        <v>169</v>
      </c>
      <c r="AA59" s="5" t="s">
        <v>169</v>
      </c>
      <c r="AB59" s="5" t="s">
        <v>169</v>
      </c>
      <c r="AC59" s="5" t="s">
        <v>169</v>
      </c>
      <c r="AD59" s="5" t="s">
        <v>169</v>
      </c>
      <c r="AE59" s="5" t="s">
        <v>169</v>
      </c>
      <c r="AF59" s="5" t="s">
        <v>169</v>
      </c>
      <c r="AG59" s="5" t="s">
        <v>169</v>
      </c>
      <c r="AH59" s="5" t="s">
        <v>169</v>
      </c>
      <c r="AI59" s="5" t="s">
        <v>169</v>
      </c>
      <c r="AJ59" s="5" t="s">
        <v>169</v>
      </c>
      <c r="AK59" s="5" t="s">
        <v>169</v>
      </c>
      <c r="AL59" s="5">
        <v>-64.178928911858193</v>
      </c>
      <c r="AM59" s="5" t="s">
        <v>226</v>
      </c>
      <c r="AN59" s="5">
        <v>-48.17395812814005</v>
      </c>
      <c r="AO59" s="5" t="s">
        <v>226</v>
      </c>
      <c r="AP59" s="5">
        <v>-33.756329711780722</v>
      </c>
      <c r="AQ59" s="5" t="s">
        <v>226</v>
      </c>
      <c r="AR59" s="5">
        <v>-26.47261900555441</v>
      </c>
      <c r="AS59" s="5" t="s">
        <v>226</v>
      </c>
      <c r="AT59" s="5">
        <v>-12.167527272934461</v>
      </c>
      <c r="AU59" s="5"/>
      <c r="AV59" s="6">
        <v>-30.743142565724831</v>
      </c>
      <c r="AW59" s="5" t="s">
        <v>226</v>
      </c>
    </row>
    <row r="60" spans="1:49" ht="15.75" x14ac:dyDescent="0.25">
      <c r="A60" s="7" t="s">
        <v>174</v>
      </c>
      <c r="B60" s="8" t="s">
        <v>169</v>
      </c>
      <c r="C60" s="8" t="s">
        <v>169</v>
      </c>
      <c r="D60" s="8" t="s">
        <v>169</v>
      </c>
      <c r="E60" s="8" t="s">
        <v>169</v>
      </c>
      <c r="F60" s="8" t="s">
        <v>169</v>
      </c>
      <c r="G60" s="8" t="s">
        <v>169</v>
      </c>
      <c r="H60" s="8" t="s">
        <v>169</v>
      </c>
      <c r="I60" s="8" t="s">
        <v>169</v>
      </c>
      <c r="J60" s="8" t="s">
        <v>169</v>
      </c>
      <c r="K60" s="8" t="s">
        <v>169</v>
      </c>
      <c r="L60" s="8" t="s">
        <v>169</v>
      </c>
      <c r="M60" s="8" t="s">
        <v>169</v>
      </c>
      <c r="N60" s="8" t="s">
        <v>169</v>
      </c>
      <c r="O60" s="8" t="s">
        <v>169</v>
      </c>
      <c r="P60" s="8" t="s">
        <v>169</v>
      </c>
      <c r="Q60" s="8" t="s">
        <v>169</v>
      </c>
      <c r="R60" s="8" t="s">
        <v>169</v>
      </c>
      <c r="S60" s="8" t="s">
        <v>169</v>
      </c>
      <c r="T60" s="8" t="s">
        <v>169</v>
      </c>
      <c r="U60" s="8" t="s">
        <v>169</v>
      </c>
      <c r="V60" s="8" t="s">
        <v>169</v>
      </c>
      <c r="W60" s="8" t="s">
        <v>169</v>
      </c>
      <c r="X60" s="8" t="s">
        <v>169</v>
      </c>
      <c r="Y60" s="8" t="s">
        <v>169</v>
      </c>
      <c r="Z60" s="8" t="s">
        <v>169</v>
      </c>
      <c r="AA60" s="8" t="s">
        <v>169</v>
      </c>
      <c r="AB60" s="8" t="s">
        <v>169</v>
      </c>
      <c r="AC60" s="8" t="s">
        <v>169</v>
      </c>
      <c r="AD60" s="8" t="s">
        <v>169</v>
      </c>
      <c r="AE60" s="8" t="s">
        <v>169</v>
      </c>
      <c r="AF60" s="8" t="s">
        <v>169</v>
      </c>
      <c r="AG60" s="8" t="s">
        <v>169</v>
      </c>
      <c r="AH60" s="8" t="s">
        <v>169</v>
      </c>
      <c r="AI60" s="8" t="s">
        <v>169</v>
      </c>
      <c r="AJ60" s="8" t="s">
        <v>169</v>
      </c>
      <c r="AK60" s="8" t="s">
        <v>169</v>
      </c>
      <c r="AL60" s="8">
        <v>-89.846227168068253</v>
      </c>
      <c r="AM60" s="8" t="s">
        <v>226</v>
      </c>
      <c r="AN60" s="8">
        <v>-82.889454631089649</v>
      </c>
      <c r="AO60" s="8" t="s">
        <v>226</v>
      </c>
      <c r="AP60" s="8">
        <v>-72.406630858919314</v>
      </c>
      <c r="AQ60" s="8" t="s">
        <v>226</v>
      </c>
      <c r="AR60" s="8">
        <v>-65.73304728566545</v>
      </c>
      <c r="AS60" s="8" t="s">
        <v>226</v>
      </c>
      <c r="AT60" s="8">
        <v>1.7104252391890951</v>
      </c>
      <c r="AU60" s="8"/>
      <c r="AV60" s="9">
        <v>-3.4516212242202138</v>
      </c>
      <c r="AW60" s="8"/>
    </row>
    <row r="61" spans="1:49" ht="15.75" x14ac:dyDescent="0.25">
      <c r="A61" s="7" t="s">
        <v>175</v>
      </c>
      <c r="B61" s="8" t="s">
        <v>169</v>
      </c>
      <c r="C61" s="8" t="s">
        <v>169</v>
      </c>
      <c r="D61" s="8" t="s">
        <v>169</v>
      </c>
      <c r="E61" s="8" t="s">
        <v>169</v>
      </c>
      <c r="F61" s="8" t="s">
        <v>169</v>
      </c>
      <c r="G61" s="8" t="s">
        <v>169</v>
      </c>
      <c r="H61" s="8" t="s">
        <v>169</v>
      </c>
      <c r="I61" s="8" t="s">
        <v>169</v>
      </c>
      <c r="J61" s="8" t="s">
        <v>169</v>
      </c>
      <c r="K61" s="8" t="s">
        <v>169</v>
      </c>
      <c r="L61" s="8" t="s">
        <v>169</v>
      </c>
      <c r="M61" s="8" t="s">
        <v>169</v>
      </c>
      <c r="N61" s="8" t="s">
        <v>169</v>
      </c>
      <c r="O61" s="8" t="s">
        <v>169</v>
      </c>
      <c r="P61" s="8" t="s">
        <v>169</v>
      </c>
      <c r="Q61" s="8" t="s">
        <v>169</v>
      </c>
      <c r="R61" s="8" t="s">
        <v>169</v>
      </c>
      <c r="S61" s="8" t="s">
        <v>169</v>
      </c>
      <c r="T61" s="8" t="s">
        <v>169</v>
      </c>
      <c r="U61" s="8" t="s">
        <v>169</v>
      </c>
      <c r="V61" s="8" t="s">
        <v>169</v>
      </c>
      <c r="W61" s="8" t="s">
        <v>169</v>
      </c>
      <c r="X61" s="8" t="s">
        <v>169</v>
      </c>
      <c r="Y61" s="8" t="s">
        <v>169</v>
      </c>
      <c r="Z61" s="8" t="s">
        <v>169</v>
      </c>
      <c r="AA61" s="8" t="s">
        <v>169</v>
      </c>
      <c r="AB61" s="8" t="s">
        <v>169</v>
      </c>
      <c r="AC61" s="8" t="s">
        <v>169</v>
      </c>
      <c r="AD61" s="8" t="s">
        <v>169</v>
      </c>
      <c r="AE61" s="8" t="s">
        <v>169</v>
      </c>
      <c r="AF61" s="8" t="s">
        <v>169</v>
      </c>
      <c r="AG61" s="8" t="s">
        <v>169</v>
      </c>
      <c r="AH61" s="8" t="s">
        <v>169</v>
      </c>
      <c r="AI61" s="8" t="s">
        <v>169</v>
      </c>
      <c r="AJ61" s="8" t="s">
        <v>169</v>
      </c>
      <c r="AK61" s="8" t="s">
        <v>169</v>
      </c>
      <c r="AL61" s="8">
        <v>-10.78361053275056</v>
      </c>
      <c r="AM61" s="8"/>
      <c r="AN61" s="8">
        <v>-0.26580312517118232</v>
      </c>
      <c r="AO61" s="8"/>
      <c r="AP61" s="8">
        <v>-0.88770800522890436</v>
      </c>
      <c r="AQ61" s="8"/>
      <c r="AR61" s="8">
        <v>0.89655649491282574</v>
      </c>
      <c r="AS61" s="8"/>
      <c r="AT61" s="8">
        <v>-14.916136183265859</v>
      </c>
      <c r="AU61" s="8"/>
      <c r="AV61" s="9">
        <v>-35.087419071806607</v>
      </c>
      <c r="AW61" s="8" t="s">
        <v>226</v>
      </c>
    </row>
    <row r="62" spans="1:49" ht="30.75" customHeight="1" x14ac:dyDescent="0.25">
      <c r="A62" s="816" t="s">
        <v>1477</v>
      </c>
      <c r="B62" s="817" t="s">
        <v>169</v>
      </c>
      <c r="C62" s="817" t="s">
        <v>169</v>
      </c>
      <c r="D62" s="817" t="s">
        <v>169</v>
      </c>
      <c r="E62" s="817" t="s">
        <v>169</v>
      </c>
      <c r="F62" s="817" t="s">
        <v>169</v>
      </c>
      <c r="G62" s="817" t="s">
        <v>169</v>
      </c>
      <c r="H62" s="817" t="s">
        <v>169</v>
      </c>
      <c r="I62" s="817" t="s">
        <v>169</v>
      </c>
      <c r="J62" s="817" t="s">
        <v>169</v>
      </c>
      <c r="K62" s="817" t="s">
        <v>169</v>
      </c>
      <c r="L62" s="817" t="s">
        <v>169</v>
      </c>
      <c r="M62" s="817" t="s">
        <v>169</v>
      </c>
      <c r="N62" s="817" t="s">
        <v>169</v>
      </c>
      <c r="O62" s="817" t="s">
        <v>169</v>
      </c>
      <c r="P62" s="817" t="s">
        <v>169</v>
      </c>
      <c r="Q62" s="817" t="s">
        <v>169</v>
      </c>
      <c r="R62" s="817" t="s">
        <v>169</v>
      </c>
      <c r="S62" s="817" t="s">
        <v>169</v>
      </c>
      <c r="T62" s="817" t="s">
        <v>169</v>
      </c>
      <c r="U62" s="817" t="s">
        <v>169</v>
      </c>
      <c r="V62" s="817" t="s">
        <v>169</v>
      </c>
      <c r="W62" s="817" t="s">
        <v>169</v>
      </c>
      <c r="X62" s="817" t="s">
        <v>169</v>
      </c>
      <c r="Y62" s="817" t="s">
        <v>169</v>
      </c>
      <c r="Z62" s="817" t="s">
        <v>169</v>
      </c>
      <c r="AA62" s="817" t="s">
        <v>169</v>
      </c>
      <c r="AB62" s="817" t="s">
        <v>169</v>
      </c>
      <c r="AC62" s="817" t="s">
        <v>169</v>
      </c>
      <c r="AD62" s="817" t="s">
        <v>169</v>
      </c>
      <c r="AE62" s="817" t="s">
        <v>169</v>
      </c>
      <c r="AF62" s="817" t="s">
        <v>169</v>
      </c>
      <c r="AG62" s="817" t="s">
        <v>169</v>
      </c>
      <c r="AH62" s="817" t="s">
        <v>169</v>
      </c>
      <c r="AI62" s="817" t="s">
        <v>169</v>
      </c>
      <c r="AJ62" s="817" t="s">
        <v>169</v>
      </c>
      <c r="AK62" s="817" t="s">
        <v>169</v>
      </c>
      <c r="AL62" s="817" t="s">
        <v>169</v>
      </c>
      <c r="AM62" s="817" t="s">
        <v>169</v>
      </c>
      <c r="AN62" s="817" t="s">
        <v>169</v>
      </c>
      <c r="AO62" s="817" t="s">
        <v>169</v>
      </c>
      <c r="AP62" s="817" t="s">
        <v>169</v>
      </c>
      <c r="AQ62" s="817" t="s">
        <v>169</v>
      </c>
      <c r="AR62" s="817" t="s">
        <v>169</v>
      </c>
      <c r="AS62" s="817" t="s">
        <v>169</v>
      </c>
      <c r="AT62" s="817" t="s">
        <v>169</v>
      </c>
      <c r="AU62" s="817" t="s">
        <v>169</v>
      </c>
      <c r="AV62" s="818" t="s">
        <v>169</v>
      </c>
      <c r="AW62" s="817" t="s">
        <v>169</v>
      </c>
    </row>
  </sheetData>
  <hyperlinks>
    <hyperlink ref="A6" location="'Notes_A1 to A4'!A1" display="Link to Notes page." xr:uid="{00000000-0004-0000-0600-000000000000}"/>
    <hyperlink ref="A4" location=" 'Table of contents'!A1" display="Link to Table of contents." xr:uid="{00000000-0004-0000-0600-000001000000}"/>
  </hyperlinks>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G70"/>
  <sheetViews>
    <sheetView showGridLines="0" workbookViewId="0"/>
  </sheetViews>
  <sheetFormatPr defaultRowHeight="15" customHeight="1" x14ac:dyDescent="0.25"/>
  <cols>
    <col min="1" max="1" width="105.7109375" customWidth="1"/>
    <col min="2" max="33" width="16.7109375" customWidth="1"/>
  </cols>
  <sheetData>
    <row r="1" spans="1:33" ht="20.100000000000001" customHeight="1" x14ac:dyDescent="0.25">
      <c r="A1" s="836" t="s">
        <v>1480</v>
      </c>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row>
    <row r="2" spans="1:33" ht="20.100000000000001" customHeight="1" x14ac:dyDescent="0.25">
      <c r="A2" s="185" t="s">
        <v>95</v>
      </c>
      <c r="B2" s="124"/>
      <c r="C2" s="124"/>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row>
    <row r="3" spans="1:33" ht="20.100000000000001" customHeight="1" x14ac:dyDescent="0.25">
      <c r="A3" s="1" t="s">
        <v>96</v>
      </c>
      <c r="B3" s="124"/>
      <c r="C3" s="124"/>
      <c r="D3" s="124"/>
      <c r="E3" s="124"/>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row>
    <row r="4" spans="1:33" ht="20.100000000000001" customHeight="1" x14ac:dyDescent="0.25">
      <c r="A4" s="2" t="s">
        <v>97</v>
      </c>
      <c r="B4" s="124"/>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row>
    <row r="5" spans="1:33" ht="20.100000000000001" customHeight="1" x14ac:dyDescent="0.25">
      <c r="A5" s="1" t="s">
        <v>98</v>
      </c>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c r="AG5" s="124"/>
    </row>
    <row r="6" spans="1:33" ht="20.100000000000001" customHeight="1" x14ac:dyDescent="0.25">
      <c r="A6" s="2" t="s">
        <v>99</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4"/>
    </row>
    <row r="7" spans="1:33" ht="21" customHeight="1" x14ac:dyDescent="0.25">
      <c r="A7" s="1" t="s">
        <v>100</v>
      </c>
      <c r="B7" s="124"/>
      <c r="C7" s="124"/>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c r="AG7" s="124"/>
    </row>
    <row r="8" spans="1:33" ht="55.5" customHeight="1" x14ac:dyDescent="0.25">
      <c r="A8" s="31" t="s">
        <v>101</v>
      </c>
      <c r="B8" s="99" t="s">
        <v>102</v>
      </c>
      <c r="C8" s="99" t="s">
        <v>103</v>
      </c>
      <c r="D8" s="99" t="s">
        <v>104</v>
      </c>
      <c r="E8" s="99" t="s">
        <v>105</v>
      </c>
      <c r="F8" s="99" t="s">
        <v>106</v>
      </c>
      <c r="G8" s="99" t="s">
        <v>107</v>
      </c>
      <c r="H8" s="99" t="s">
        <v>108</v>
      </c>
      <c r="I8" s="99" t="s">
        <v>109</v>
      </c>
      <c r="J8" s="99" t="s">
        <v>110</v>
      </c>
      <c r="K8" s="99" t="s">
        <v>111</v>
      </c>
      <c r="L8" s="99" t="s">
        <v>112</v>
      </c>
      <c r="M8" s="99" t="s">
        <v>113</v>
      </c>
      <c r="N8" s="99" t="s">
        <v>114</v>
      </c>
      <c r="O8" s="99" t="s">
        <v>115</v>
      </c>
      <c r="P8" s="99" t="s">
        <v>116</v>
      </c>
      <c r="Q8" s="99" t="s">
        <v>117</v>
      </c>
      <c r="R8" s="99" t="s">
        <v>118</v>
      </c>
      <c r="S8" s="99" t="s">
        <v>119</v>
      </c>
      <c r="T8" s="99" t="s">
        <v>120</v>
      </c>
      <c r="U8" s="99" t="s">
        <v>121</v>
      </c>
      <c r="V8" s="99" t="s">
        <v>122</v>
      </c>
      <c r="W8" s="99" t="s">
        <v>123</v>
      </c>
      <c r="X8" s="99" t="s">
        <v>124</v>
      </c>
      <c r="Y8" s="99" t="s">
        <v>125</v>
      </c>
      <c r="Z8" s="99" t="s">
        <v>126</v>
      </c>
      <c r="AA8" s="99" t="s">
        <v>127</v>
      </c>
      <c r="AB8" s="99" t="s">
        <v>128</v>
      </c>
      <c r="AC8" s="99" t="s">
        <v>129</v>
      </c>
      <c r="AD8" s="99" t="s">
        <v>130</v>
      </c>
      <c r="AE8" s="99" t="s">
        <v>131</v>
      </c>
      <c r="AF8" s="99" t="s">
        <v>132</v>
      </c>
      <c r="AG8" s="99" t="s">
        <v>133</v>
      </c>
    </row>
    <row r="9" spans="1:33" ht="15.75" x14ac:dyDescent="0.25">
      <c r="A9" s="4" t="s">
        <v>134</v>
      </c>
      <c r="B9" s="13">
        <v>2.9</v>
      </c>
      <c r="C9" s="13">
        <v>2.9</v>
      </c>
      <c r="D9" s="13">
        <v>2.9</v>
      </c>
      <c r="E9" s="13">
        <v>3.3</v>
      </c>
      <c r="F9" s="13">
        <v>4.3</v>
      </c>
      <c r="G9" s="13">
        <v>4.7</v>
      </c>
      <c r="H9" s="13">
        <v>4.4000000000000004</v>
      </c>
      <c r="I9" s="13">
        <v>4</v>
      </c>
      <c r="J9" s="13">
        <v>3.3</v>
      </c>
      <c r="K9" s="13">
        <v>3.3</v>
      </c>
      <c r="L9" s="13">
        <v>3.4</v>
      </c>
      <c r="M9" s="13">
        <v>2.9</v>
      </c>
      <c r="N9" s="13">
        <v>2.8</v>
      </c>
      <c r="O9" s="13">
        <v>3.1</v>
      </c>
      <c r="P9" s="13">
        <v>2.7</v>
      </c>
      <c r="Q9" s="13">
        <v>2.7</v>
      </c>
      <c r="R9" s="13">
        <v>2.4</v>
      </c>
      <c r="S9" s="13">
        <v>2.7</v>
      </c>
      <c r="T9" s="13">
        <v>2.5</v>
      </c>
      <c r="U9" s="13">
        <v>2.2000000000000002</v>
      </c>
      <c r="V9" s="13">
        <v>1.8</v>
      </c>
      <c r="W9" s="13">
        <v>1.8</v>
      </c>
      <c r="X9" s="13">
        <v>1.8</v>
      </c>
      <c r="Y9" s="13">
        <v>1.7</v>
      </c>
      <c r="Z9" s="13">
        <v>1.7</v>
      </c>
      <c r="AA9" s="13">
        <v>1.7</v>
      </c>
      <c r="AB9" s="13">
        <v>1.6</v>
      </c>
      <c r="AC9" s="13">
        <v>1.3</v>
      </c>
      <c r="AD9" s="13">
        <v>1.4</v>
      </c>
      <c r="AE9" s="13">
        <v>1.4</v>
      </c>
      <c r="AF9" s="814">
        <v>1.4</v>
      </c>
      <c r="AG9" s="813">
        <v>1.4</v>
      </c>
    </row>
    <row r="10" spans="1:33" ht="15.75" x14ac:dyDescent="0.25">
      <c r="A10" s="7" t="s">
        <v>241</v>
      </c>
      <c r="B10" s="15">
        <v>1.9</v>
      </c>
      <c r="C10" s="15">
        <v>1.8</v>
      </c>
      <c r="D10" s="15">
        <v>2</v>
      </c>
      <c r="E10" s="15">
        <v>2.2000000000000002</v>
      </c>
      <c r="F10" s="15">
        <v>2.9</v>
      </c>
      <c r="G10" s="15">
        <v>2.9</v>
      </c>
      <c r="H10" s="15">
        <v>2.8</v>
      </c>
      <c r="I10" s="15">
        <v>2.5</v>
      </c>
      <c r="J10" s="15">
        <v>2</v>
      </c>
      <c r="K10" s="15">
        <v>1.9</v>
      </c>
      <c r="L10" s="15">
        <v>2</v>
      </c>
      <c r="M10" s="15">
        <v>1.8</v>
      </c>
      <c r="N10" s="15">
        <v>1.6</v>
      </c>
      <c r="O10" s="15">
        <v>1.8</v>
      </c>
      <c r="P10" s="15">
        <v>1.5</v>
      </c>
      <c r="Q10" s="15">
        <v>1.5</v>
      </c>
      <c r="R10" s="15">
        <v>1.4</v>
      </c>
      <c r="S10" s="15">
        <v>1.6</v>
      </c>
      <c r="T10" s="15">
        <v>1.4</v>
      </c>
      <c r="U10" s="15">
        <v>1.3</v>
      </c>
      <c r="V10" s="15">
        <v>1</v>
      </c>
      <c r="W10" s="15">
        <v>0.9</v>
      </c>
      <c r="X10" s="15">
        <v>0.9</v>
      </c>
      <c r="Y10" s="15">
        <v>0.8</v>
      </c>
      <c r="Z10" s="15">
        <v>0.9</v>
      </c>
      <c r="AA10" s="15">
        <v>0.9</v>
      </c>
      <c r="AB10" s="15">
        <v>0.8</v>
      </c>
      <c r="AC10" s="15">
        <v>0.6</v>
      </c>
      <c r="AD10" s="15">
        <v>0.7</v>
      </c>
      <c r="AE10" s="15">
        <v>0.5</v>
      </c>
      <c r="AF10" s="16">
        <v>0.7</v>
      </c>
      <c r="AG10" s="15">
        <v>0.5</v>
      </c>
    </row>
    <row r="11" spans="1:33" ht="15.75" x14ac:dyDescent="0.25">
      <c r="A11" s="7" t="s">
        <v>242</v>
      </c>
      <c r="B11" s="15">
        <v>1</v>
      </c>
      <c r="C11" s="15">
        <v>0.8</v>
      </c>
      <c r="D11" s="15">
        <v>0.9</v>
      </c>
      <c r="E11" s="15">
        <v>1</v>
      </c>
      <c r="F11" s="15">
        <v>1.2</v>
      </c>
      <c r="G11" s="15">
        <v>1.2</v>
      </c>
      <c r="H11" s="15">
        <v>1.1000000000000001</v>
      </c>
      <c r="I11" s="15">
        <v>1</v>
      </c>
      <c r="J11" s="15">
        <v>1</v>
      </c>
      <c r="K11" s="15">
        <v>1.1000000000000001</v>
      </c>
      <c r="L11" s="15">
        <v>1.1000000000000001</v>
      </c>
      <c r="M11" s="15">
        <v>1</v>
      </c>
      <c r="N11" s="15">
        <v>0.8</v>
      </c>
      <c r="O11" s="15">
        <v>0.9</v>
      </c>
      <c r="P11" s="15">
        <v>0.8</v>
      </c>
      <c r="Q11" s="15">
        <v>0.8</v>
      </c>
      <c r="R11" s="15">
        <v>0.7</v>
      </c>
      <c r="S11" s="15">
        <v>0.8</v>
      </c>
      <c r="T11" s="15">
        <v>0.8</v>
      </c>
      <c r="U11" s="15">
        <v>0.7</v>
      </c>
      <c r="V11" s="15">
        <v>0.5</v>
      </c>
      <c r="W11" s="15">
        <v>0.4</v>
      </c>
      <c r="X11" s="15">
        <v>0.5</v>
      </c>
      <c r="Y11" s="15">
        <v>0.4</v>
      </c>
      <c r="Z11" s="15">
        <v>0.4</v>
      </c>
      <c r="AA11" s="15">
        <v>0.5</v>
      </c>
      <c r="AB11" s="15">
        <v>0.4</v>
      </c>
      <c r="AC11" s="15">
        <v>0.2</v>
      </c>
      <c r="AD11" s="15">
        <v>0.3</v>
      </c>
      <c r="AE11" s="15">
        <v>0.2</v>
      </c>
      <c r="AF11" s="16">
        <v>0.3</v>
      </c>
      <c r="AG11" s="15">
        <v>0.2</v>
      </c>
    </row>
    <row r="12" spans="1:33" ht="15.75" x14ac:dyDescent="0.25">
      <c r="A12" s="7" t="s">
        <v>243</v>
      </c>
      <c r="B12" s="15">
        <v>1</v>
      </c>
      <c r="C12" s="15">
        <v>1.1000000000000001</v>
      </c>
      <c r="D12" s="15">
        <v>1.2</v>
      </c>
      <c r="E12" s="15">
        <v>1.3</v>
      </c>
      <c r="F12" s="15">
        <v>1.8</v>
      </c>
      <c r="G12" s="15">
        <v>1.8</v>
      </c>
      <c r="H12" s="15">
        <v>1.8</v>
      </c>
      <c r="I12" s="15">
        <v>1.6</v>
      </c>
      <c r="J12" s="15">
        <v>1.1000000000000001</v>
      </c>
      <c r="K12" s="15">
        <v>0.9</v>
      </c>
      <c r="L12" s="15">
        <v>0.9</v>
      </c>
      <c r="M12" s="15">
        <v>0.9</v>
      </c>
      <c r="N12" s="15">
        <v>0.8</v>
      </c>
      <c r="O12" s="15">
        <v>0.9</v>
      </c>
      <c r="P12" s="15">
        <v>0.8</v>
      </c>
      <c r="Q12" s="15">
        <v>0.8</v>
      </c>
      <c r="R12" s="15">
        <v>0.7</v>
      </c>
      <c r="S12" s="15">
        <v>0.8</v>
      </c>
      <c r="T12" s="15">
        <v>0.6</v>
      </c>
      <c r="U12" s="15">
        <v>0.7</v>
      </c>
      <c r="V12" s="15">
        <v>0.5</v>
      </c>
      <c r="W12" s="15">
        <v>0.5</v>
      </c>
      <c r="X12" s="15">
        <v>0.4</v>
      </c>
      <c r="Y12" s="15">
        <v>0.4</v>
      </c>
      <c r="Z12" s="15">
        <v>0.5</v>
      </c>
      <c r="AA12" s="15">
        <v>0.4</v>
      </c>
      <c r="AB12" s="15">
        <v>0.4</v>
      </c>
      <c r="AC12" s="15">
        <v>0.4</v>
      </c>
      <c r="AD12" s="15">
        <v>0.4</v>
      </c>
      <c r="AE12" s="15">
        <v>0.3</v>
      </c>
      <c r="AF12" s="16">
        <v>0.4</v>
      </c>
      <c r="AG12" s="15">
        <v>0.3</v>
      </c>
    </row>
    <row r="13" spans="1:33" ht="30" customHeight="1" x14ac:dyDescent="0.25">
      <c r="A13" s="7" t="s">
        <v>244</v>
      </c>
      <c r="B13" s="15">
        <v>1.1000000000000001</v>
      </c>
      <c r="C13" s="15">
        <v>1.3</v>
      </c>
      <c r="D13" s="15">
        <v>1.1000000000000001</v>
      </c>
      <c r="E13" s="15">
        <v>1.3</v>
      </c>
      <c r="F13" s="15">
        <v>1.9</v>
      </c>
      <c r="G13" s="15">
        <v>2.1</v>
      </c>
      <c r="H13" s="15">
        <v>1.8</v>
      </c>
      <c r="I13" s="15">
        <v>1.7</v>
      </c>
      <c r="J13" s="15">
        <v>1.5</v>
      </c>
      <c r="K13" s="15">
        <v>1.6</v>
      </c>
      <c r="L13" s="15">
        <v>1.6</v>
      </c>
      <c r="M13" s="15">
        <v>1.3</v>
      </c>
      <c r="N13" s="15">
        <v>1.3</v>
      </c>
      <c r="O13" s="15">
        <v>1.4</v>
      </c>
      <c r="P13" s="15">
        <v>1.4</v>
      </c>
      <c r="Q13" s="15">
        <v>1.3</v>
      </c>
      <c r="R13" s="15">
        <v>1.2</v>
      </c>
      <c r="S13" s="15">
        <v>1.2</v>
      </c>
      <c r="T13" s="15">
        <v>1.2</v>
      </c>
      <c r="U13" s="15">
        <v>1</v>
      </c>
      <c r="V13" s="15">
        <v>0.9</v>
      </c>
      <c r="W13" s="15">
        <v>0.9</v>
      </c>
      <c r="X13" s="15">
        <v>0.9</v>
      </c>
      <c r="Y13" s="15">
        <v>0.9</v>
      </c>
      <c r="Z13" s="15">
        <v>0.9</v>
      </c>
      <c r="AA13" s="15">
        <v>0.9</v>
      </c>
      <c r="AB13" s="15">
        <v>0.9</v>
      </c>
      <c r="AC13" s="15">
        <v>0.7</v>
      </c>
      <c r="AD13" s="15">
        <v>0.8</v>
      </c>
      <c r="AE13" s="15">
        <v>0.9</v>
      </c>
      <c r="AF13" s="16">
        <v>0.8</v>
      </c>
      <c r="AG13" s="15">
        <v>0.9</v>
      </c>
    </row>
    <row r="14" spans="1:33" ht="30" customHeight="1" x14ac:dyDescent="0.25">
      <c r="A14" s="4" t="s">
        <v>139</v>
      </c>
      <c r="B14" s="13">
        <v>0.3</v>
      </c>
      <c r="C14" s="13">
        <v>0.3</v>
      </c>
      <c r="D14" s="13">
        <v>0.3</v>
      </c>
      <c r="E14" s="13">
        <v>0.4</v>
      </c>
      <c r="F14" s="13">
        <v>0.5</v>
      </c>
      <c r="G14" s="13">
        <v>0.7</v>
      </c>
      <c r="H14" s="13">
        <v>0.7</v>
      </c>
      <c r="I14" s="13">
        <v>0.6</v>
      </c>
      <c r="J14" s="13">
        <v>0.6</v>
      </c>
      <c r="K14" s="13">
        <v>0.6</v>
      </c>
      <c r="L14" s="13">
        <v>0.6</v>
      </c>
      <c r="M14" s="13">
        <v>0.5</v>
      </c>
      <c r="N14" s="13">
        <v>0.6</v>
      </c>
      <c r="O14" s="13">
        <v>0.5</v>
      </c>
      <c r="P14" s="13">
        <v>0.5</v>
      </c>
      <c r="Q14" s="13">
        <v>0.5</v>
      </c>
      <c r="R14" s="13">
        <v>0.6</v>
      </c>
      <c r="S14" s="13">
        <v>0.4</v>
      </c>
      <c r="T14" s="13">
        <v>0.5</v>
      </c>
      <c r="U14" s="13">
        <v>0.4</v>
      </c>
      <c r="V14" s="13">
        <v>0.3</v>
      </c>
      <c r="W14" s="13">
        <v>0.2</v>
      </c>
      <c r="X14" s="13">
        <v>0.3</v>
      </c>
      <c r="Y14" s="13">
        <v>0.2</v>
      </c>
      <c r="Z14" s="13">
        <v>0.3</v>
      </c>
      <c r="AA14" s="13">
        <v>0.4</v>
      </c>
      <c r="AB14" s="13">
        <v>0.3</v>
      </c>
      <c r="AC14" s="13">
        <v>0.1</v>
      </c>
      <c r="AD14" s="13">
        <v>0.2</v>
      </c>
      <c r="AE14" s="13">
        <v>0.2</v>
      </c>
      <c r="AF14" s="14">
        <v>0.2</v>
      </c>
      <c r="AG14" s="13">
        <v>0.1</v>
      </c>
    </row>
    <row r="15" spans="1:33" ht="30" customHeight="1" x14ac:dyDescent="0.25">
      <c r="A15" s="4" t="s">
        <v>245</v>
      </c>
      <c r="B15" s="13">
        <v>19.5</v>
      </c>
      <c r="C15" s="13">
        <v>22</v>
      </c>
      <c r="D15" s="13">
        <v>25.2</v>
      </c>
      <c r="E15" s="13">
        <v>28</v>
      </c>
      <c r="F15" s="13">
        <v>31.9</v>
      </c>
      <c r="G15" s="13">
        <v>31.4</v>
      </c>
      <c r="H15" s="13">
        <v>27.3</v>
      </c>
      <c r="I15" s="13">
        <v>23.5</v>
      </c>
      <c r="J15" s="13">
        <v>20.5</v>
      </c>
      <c r="K15" s="13">
        <v>19.7</v>
      </c>
      <c r="L15" s="13">
        <v>18.5</v>
      </c>
      <c r="M15" s="13">
        <v>16.600000000000001</v>
      </c>
      <c r="N15" s="13">
        <v>15.7</v>
      </c>
      <c r="O15" s="13">
        <v>16.399999999999999</v>
      </c>
      <c r="P15" s="13">
        <v>14.5</v>
      </c>
      <c r="Q15" s="13">
        <v>15.6</v>
      </c>
      <c r="R15" s="13">
        <v>14.3</v>
      </c>
      <c r="S15" s="13">
        <v>14.6</v>
      </c>
      <c r="T15" s="13">
        <v>15</v>
      </c>
      <c r="U15" s="13">
        <v>13.2</v>
      </c>
      <c r="V15" s="13">
        <v>12.3</v>
      </c>
      <c r="W15" s="13">
        <v>11.5</v>
      </c>
      <c r="X15" s="13">
        <v>10.6</v>
      </c>
      <c r="Y15" s="13">
        <v>9.5</v>
      </c>
      <c r="Z15" s="13">
        <v>10.199999999999999</v>
      </c>
      <c r="AA15" s="13">
        <v>10.6</v>
      </c>
      <c r="AB15" s="13">
        <v>9.4</v>
      </c>
      <c r="AC15" s="13">
        <v>7.5</v>
      </c>
      <c r="AD15" s="13">
        <v>7.3</v>
      </c>
      <c r="AE15" s="13">
        <v>7.3</v>
      </c>
      <c r="AF15" s="14">
        <v>7.4</v>
      </c>
      <c r="AG15" s="13">
        <v>7.4</v>
      </c>
    </row>
    <row r="16" spans="1:33" ht="15.75" x14ac:dyDescent="0.25">
      <c r="A16" s="4" t="s">
        <v>246</v>
      </c>
      <c r="B16" s="13">
        <v>1</v>
      </c>
      <c r="C16" s="13">
        <v>1.2</v>
      </c>
      <c r="D16" s="13">
        <v>0.7</v>
      </c>
      <c r="E16" s="13">
        <v>1</v>
      </c>
      <c r="F16" s="13">
        <v>1.4</v>
      </c>
      <c r="G16" s="13">
        <v>1.6</v>
      </c>
      <c r="H16" s="13">
        <v>1.3</v>
      </c>
      <c r="I16" s="13">
        <v>1.4</v>
      </c>
      <c r="J16" s="13">
        <v>1.3</v>
      </c>
      <c r="K16" s="13">
        <v>1.5</v>
      </c>
      <c r="L16" s="13">
        <v>1.3</v>
      </c>
      <c r="M16" s="13">
        <v>1.2</v>
      </c>
      <c r="N16" s="13">
        <v>1.2</v>
      </c>
      <c r="O16" s="13">
        <v>1.2</v>
      </c>
      <c r="P16" s="13">
        <v>1.2</v>
      </c>
      <c r="Q16" s="13">
        <v>1.5</v>
      </c>
      <c r="R16" s="13">
        <v>1.1000000000000001</v>
      </c>
      <c r="S16" s="13">
        <v>1.1000000000000001</v>
      </c>
      <c r="T16" s="13">
        <v>1.3</v>
      </c>
      <c r="U16" s="13">
        <v>1.1000000000000001</v>
      </c>
      <c r="V16" s="13">
        <v>1.1000000000000001</v>
      </c>
      <c r="W16" s="13">
        <v>0.9</v>
      </c>
      <c r="X16" s="13">
        <v>0.7</v>
      </c>
      <c r="Y16" s="13">
        <v>0.8</v>
      </c>
      <c r="Z16" s="13">
        <v>0.8</v>
      </c>
      <c r="AA16" s="13">
        <v>0.9</v>
      </c>
      <c r="AB16" s="13">
        <v>0.8</v>
      </c>
      <c r="AC16" s="13">
        <v>0.5</v>
      </c>
      <c r="AD16" s="13">
        <v>0.7</v>
      </c>
      <c r="AE16" s="13">
        <v>0.8</v>
      </c>
      <c r="AF16" s="14">
        <v>0.7</v>
      </c>
      <c r="AG16" s="13">
        <v>0.8</v>
      </c>
    </row>
    <row r="17" spans="1:33" ht="15.75" x14ac:dyDescent="0.25">
      <c r="A17" s="7" t="s">
        <v>247</v>
      </c>
      <c r="B17" s="15">
        <v>0.1</v>
      </c>
      <c r="C17" s="15">
        <v>0.2</v>
      </c>
      <c r="D17" s="15">
        <v>0.1</v>
      </c>
      <c r="E17" s="15">
        <v>0.2</v>
      </c>
      <c r="F17" s="15">
        <v>0.2</v>
      </c>
      <c r="G17" s="15">
        <v>0.2</v>
      </c>
      <c r="H17" s="15">
        <v>0.2</v>
      </c>
      <c r="I17" s="15">
        <v>0.1</v>
      </c>
      <c r="J17" s="15">
        <v>0.2</v>
      </c>
      <c r="K17" s="15">
        <v>0.2</v>
      </c>
      <c r="L17" s="15">
        <v>0.3</v>
      </c>
      <c r="M17" s="15">
        <v>0.2</v>
      </c>
      <c r="N17" s="15">
        <v>0.2</v>
      </c>
      <c r="O17" s="15">
        <v>0.2</v>
      </c>
      <c r="P17" s="15">
        <v>0.2</v>
      </c>
      <c r="Q17" s="15">
        <v>0.2</v>
      </c>
      <c r="R17" s="15">
        <v>0.1</v>
      </c>
      <c r="S17" s="15">
        <v>0.2</v>
      </c>
      <c r="T17" s="15">
        <v>0.2</v>
      </c>
      <c r="U17" s="15">
        <v>0.1</v>
      </c>
      <c r="V17" s="15">
        <v>0.1</v>
      </c>
      <c r="W17" s="15">
        <v>0.1</v>
      </c>
      <c r="X17" s="15">
        <v>0.1</v>
      </c>
      <c r="Y17" s="15">
        <v>0.1</v>
      </c>
      <c r="Z17" s="15">
        <v>0.1</v>
      </c>
      <c r="AA17" s="15">
        <v>0.1</v>
      </c>
      <c r="AB17" s="15">
        <v>0.1</v>
      </c>
      <c r="AC17" s="15">
        <v>0.1</v>
      </c>
      <c r="AD17" s="15">
        <v>0.1</v>
      </c>
      <c r="AE17" s="15">
        <v>0.2</v>
      </c>
      <c r="AF17" s="16">
        <v>0.1</v>
      </c>
      <c r="AG17" s="15">
        <v>0.2</v>
      </c>
    </row>
    <row r="18" spans="1:33" ht="15.75" x14ac:dyDescent="0.25">
      <c r="A18" s="7" t="s">
        <v>248</v>
      </c>
      <c r="B18" s="15">
        <v>0.6</v>
      </c>
      <c r="C18" s="15">
        <v>0.8</v>
      </c>
      <c r="D18" s="15">
        <v>0.4</v>
      </c>
      <c r="E18" s="15">
        <v>0.6</v>
      </c>
      <c r="F18" s="15">
        <v>0.8</v>
      </c>
      <c r="G18" s="15">
        <v>0.9</v>
      </c>
      <c r="H18" s="15">
        <v>0.8</v>
      </c>
      <c r="I18" s="15">
        <v>0.8</v>
      </c>
      <c r="J18" s="15">
        <v>0.8</v>
      </c>
      <c r="K18" s="15">
        <v>0.8</v>
      </c>
      <c r="L18" s="15">
        <v>0.8</v>
      </c>
      <c r="M18" s="15">
        <v>0.6</v>
      </c>
      <c r="N18" s="15">
        <v>0.7</v>
      </c>
      <c r="O18" s="15">
        <v>0.7</v>
      </c>
      <c r="P18" s="15">
        <v>0.7</v>
      </c>
      <c r="Q18" s="15">
        <v>0.9</v>
      </c>
      <c r="R18" s="15">
        <v>0.7</v>
      </c>
      <c r="S18" s="15">
        <v>0.6</v>
      </c>
      <c r="T18" s="15">
        <v>0.7</v>
      </c>
      <c r="U18" s="15">
        <v>0.7</v>
      </c>
      <c r="V18" s="15">
        <v>0.6</v>
      </c>
      <c r="W18" s="15">
        <v>0.4</v>
      </c>
      <c r="X18" s="15">
        <v>0.4</v>
      </c>
      <c r="Y18" s="15">
        <v>0.4</v>
      </c>
      <c r="Z18" s="15">
        <v>0.4</v>
      </c>
      <c r="AA18" s="15">
        <v>0.4</v>
      </c>
      <c r="AB18" s="15">
        <v>0.4</v>
      </c>
      <c r="AC18" s="15">
        <v>0.2</v>
      </c>
      <c r="AD18" s="15">
        <v>0.3</v>
      </c>
      <c r="AE18" s="15">
        <v>0.3</v>
      </c>
      <c r="AF18" s="16">
        <v>0.3</v>
      </c>
      <c r="AG18" s="15">
        <v>0.3</v>
      </c>
    </row>
    <row r="19" spans="1:33" ht="30" customHeight="1" x14ac:dyDescent="0.25">
      <c r="A19" s="7" t="s">
        <v>249</v>
      </c>
      <c r="B19" s="15">
        <v>0.2</v>
      </c>
      <c r="C19" s="15">
        <v>0.3</v>
      </c>
      <c r="D19" s="15">
        <v>0.2</v>
      </c>
      <c r="E19" s="15">
        <v>0.2</v>
      </c>
      <c r="F19" s="15">
        <v>0.4</v>
      </c>
      <c r="G19" s="15">
        <v>0.6</v>
      </c>
      <c r="H19" s="15">
        <v>0.4</v>
      </c>
      <c r="I19" s="15">
        <v>0.5</v>
      </c>
      <c r="J19" s="15">
        <v>0.4</v>
      </c>
      <c r="K19" s="15">
        <v>0.4</v>
      </c>
      <c r="L19" s="15">
        <v>0.4</v>
      </c>
      <c r="M19" s="15">
        <v>0.4</v>
      </c>
      <c r="N19" s="15">
        <v>0.4</v>
      </c>
      <c r="O19" s="15">
        <v>0.3</v>
      </c>
      <c r="P19" s="15">
        <v>0.3</v>
      </c>
      <c r="Q19" s="15">
        <v>0.4</v>
      </c>
      <c r="R19" s="15">
        <v>0.3</v>
      </c>
      <c r="S19" s="15">
        <v>0.3</v>
      </c>
      <c r="T19" s="15">
        <v>0.4</v>
      </c>
      <c r="U19" s="15">
        <v>0.3</v>
      </c>
      <c r="V19" s="15">
        <v>0.4</v>
      </c>
      <c r="W19" s="15">
        <v>0.4</v>
      </c>
      <c r="X19" s="15">
        <v>0.2</v>
      </c>
      <c r="Y19" s="15">
        <v>0.3</v>
      </c>
      <c r="Z19" s="15">
        <v>0.4</v>
      </c>
      <c r="AA19" s="15">
        <v>0.4</v>
      </c>
      <c r="AB19" s="15">
        <v>0.3</v>
      </c>
      <c r="AC19" s="15">
        <v>0.2</v>
      </c>
      <c r="AD19" s="15">
        <v>0.3</v>
      </c>
      <c r="AE19" s="15">
        <v>0.4</v>
      </c>
      <c r="AF19" s="16">
        <v>0.3</v>
      </c>
      <c r="AG19" s="15">
        <v>0.3</v>
      </c>
    </row>
    <row r="20" spans="1:33" ht="30" customHeight="1" x14ac:dyDescent="0.25">
      <c r="A20" s="4" t="s">
        <v>250</v>
      </c>
      <c r="B20" s="13">
        <v>3.3</v>
      </c>
      <c r="C20" s="13">
        <v>3.4</v>
      </c>
      <c r="D20" s="13">
        <v>3.4</v>
      </c>
      <c r="E20" s="13">
        <v>3.3</v>
      </c>
      <c r="F20" s="13">
        <v>3.7</v>
      </c>
      <c r="G20" s="13">
        <v>4.0999999999999996</v>
      </c>
      <c r="H20" s="13">
        <v>3.9</v>
      </c>
      <c r="I20" s="13">
        <v>3.1</v>
      </c>
      <c r="J20" s="13">
        <v>2.8</v>
      </c>
      <c r="K20" s="13">
        <v>2.7</v>
      </c>
      <c r="L20" s="13">
        <v>2.6</v>
      </c>
      <c r="M20" s="13">
        <v>2.2999999999999998</v>
      </c>
      <c r="N20" s="13">
        <v>2.4</v>
      </c>
      <c r="O20" s="13">
        <v>2.2999999999999998</v>
      </c>
      <c r="P20" s="13">
        <v>1.9</v>
      </c>
      <c r="Q20" s="13">
        <v>2.1</v>
      </c>
      <c r="R20" s="13">
        <v>2</v>
      </c>
      <c r="S20" s="13">
        <v>1.9</v>
      </c>
      <c r="T20" s="13">
        <v>2</v>
      </c>
      <c r="U20" s="13">
        <v>1.9</v>
      </c>
      <c r="V20" s="13">
        <v>1.9</v>
      </c>
      <c r="W20" s="13">
        <v>1.4</v>
      </c>
      <c r="X20" s="13">
        <v>1.5</v>
      </c>
      <c r="Y20" s="13">
        <v>1.2</v>
      </c>
      <c r="Z20" s="13">
        <v>1.2</v>
      </c>
      <c r="AA20" s="13">
        <v>1.4</v>
      </c>
      <c r="AB20" s="13">
        <v>1.2</v>
      </c>
      <c r="AC20" s="13">
        <v>0.8</v>
      </c>
      <c r="AD20" s="13">
        <v>0.8</v>
      </c>
      <c r="AE20" s="13">
        <v>0.8</v>
      </c>
      <c r="AF20" s="14">
        <v>0.8</v>
      </c>
      <c r="AG20" s="13">
        <v>0.8</v>
      </c>
    </row>
    <row r="21" spans="1:33" ht="30" customHeight="1" x14ac:dyDescent="0.25">
      <c r="A21" s="10" t="s">
        <v>146</v>
      </c>
      <c r="B21" s="11">
        <v>9898</v>
      </c>
      <c r="C21" s="11">
        <v>11017</v>
      </c>
      <c r="D21" s="11">
        <v>10391</v>
      </c>
      <c r="E21" s="11">
        <v>10059</v>
      </c>
      <c r="F21" s="11">
        <v>14510</v>
      </c>
      <c r="G21" s="11">
        <v>16337</v>
      </c>
      <c r="H21" s="11">
        <v>14937</v>
      </c>
      <c r="I21" s="11">
        <v>19398</v>
      </c>
      <c r="J21" s="11">
        <v>32787</v>
      </c>
      <c r="K21" s="11">
        <v>36450</v>
      </c>
      <c r="L21" s="11">
        <v>37891</v>
      </c>
      <c r="M21" s="11">
        <v>45118</v>
      </c>
      <c r="N21" s="11">
        <v>47796</v>
      </c>
      <c r="O21" s="11">
        <v>47138</v>
      </c>
      <c r="P21" s="11">
        <v>46911</v>
      </c>
      <c r="Q21" s="11">
        <v>46220</v>
      </c>
      <c r="R21" s="11">
        <v>44559</v>
      </c>
      <c r="S21" s="11">
        <v>46754</v>
      </c>
      <c r="T21" s="11">
        <v>46031</v>
      </c>
      <c r="U21" s="11">
        <v>34880</v>
      </c>
      <c r="V21" s="11">
        <v>35371</v>
      </c>
      <c r="W21" s="11">
        <v>33350</v>
      </c>
      <c r="X21" s="11">
        <v>35324</v>
      </c>
      <c r="Y21" s="11">
        <v>35420</v>
      </c>
      <c r="Z21" s="11">
        <v>34715</v>
      </c>
      <c r="AA21" s="11">
        <v>34163</v>
      </c>
      <c r="AB21" s="11">
        <v>33734</v>
      </c>
      <c r="AC21" s="11">
        <v>31183</v>
      </c>
      <c r="AD21" s="11">
        <v>30847</v>
      </c>
      <c r="AE21" s="11">
        <v>31532</v>
      </c>
      <c r="AF21" s="12">
        <v>31799</v>
      </c>
      <c r="AG21" s="11">
        <v>31791</v>
      </c>
    </row>
    <row r="22" spans="1:33" ht="15.75" x14ac:dyDescent="0.25">
      <c r="A22" s="4" t="s">
        <v>251</v>
      </c>
      <c r="B22" s="13">
        <v>4.2</v>
      </c>
      <c r="C22" s="13">
        <v>4.8</v>
      </c>
      <c r="D22" s="13">
        <v>5.8</v>
      </c>
      <c r="E22" s="13">
        <v>6.6</v>
      </c>
      <c r="F22" s="13">
        <v>8.8000000000000007</v>
      </c>
      <c r="G22" s="13">
        <v>8.5</v>
      </c>
      <c r="H22" s="13">
        <v>7.4</v>
      </c>
      <c r="I22" s="13">
        <v>6.3</v>
      </c>
      <c r="J22" s="13">
        <v>5.0999999999999996</v>
      </c>
      <c r="K22" s="13">
        <v>4.8</v>
      </c>
      <c r="L22" s="13">
        <v>4.5</v>
      </c>
      <c r="M22" s="13">
        <v>3.8</v>
      </c>
      <c r="N22" s="13">
        <v>3.5</v>
      </c>
      <c r="O22" s="13">
        <v>3.6</v>
      </c>
      <c r="P22" s="13">
        <v>3.3</v>
      </c>
      <c r="Q22" s="13">
        <v>3.4</v>
      </c>
      <c r="R22" s="13">
        <v>3.2</v>
      </c>
      <c r="S22" s="13">
        <v>3.5</v>
      </c>
      <c r="T22" s="13">
        <v>3.2</v>
      </c>
      <c r="U22" s="13">
        <v>2.9</v>
      </c>
      <c r="V22" s="13">
        <v>2.6</v>
      </c>
      <c r="W22" s="13">
        <v>2.7</v>
      </c>
      <c r="X22" s="13">
        <v>2.2999999999999998</v>
      </c>
      <c r="Y22" s="13">
        <v>2.1</v>
      </c>
      <c r="Z22" s="13">
        <v>2.2999999999999998</v>
      </c>
      <c r="AA22" s="13">
        <v>2.4</v>
      </c>
      <c r="AB22" s="13">
        <v>2</v>
      </c>
      <c r="AC22" s="13">
        <v>1.3</v>
      </c>
      <c r="AD22" s="13">
        <v>1.3</v>
      </c>
      <c r="AE22" s="13">
        <v>1.2</v>
      </c>
      <c r="AF22" s="14">
        <v>1.3</v>
      </c>
      <c r="AG22" s="13">
        <v>1.1000000000000001</v>
      </c>
    </row>
    <row r="23" spans="1:33" ht="15.75" x14ac:dyDescent="0.25">
      <c r="A23" s="7" t="s">
        <v>252</v>
      </c>
      <c r="B23" s="15">
        <v>3</v>
      </c>
      <c r="C23" s="15">
        <v>3.2</v>
      </c>
      <c r="D23" s="15">
        <v>3.6</v>
      </c>
      <c r="E23" s="15">
        <v>4.5999999999999996</v>
      </c>
      <c r="F23" s="15">
        <v>6.1</v>
      </c>
      <c r="G23" s="15">
        <v>5.8</v>
      </c>
      <c r="H23" s="15">
        <v>4.7</v>
      </c>
      <c r="I23" s="15">
        <v>4.2</v>
      </c>
      <c r="J23" s="15">
        <v>3.4</v>
      </c>
      <c r="K23" s="15">
        <v>3.3</v>
      </c>
      <c r="L23" s="15">
        <v>3</v>
      </c>
      <c r="M23" s="15">
        <v>2.7</v>
      </c>
      <c r="N23" s="15">
        <v>2.4</v>
      </c>
      <c r="O23" s="15">
        <v>2.4</v>
      </c>
      <c r="P23" s="15">
        <v>2.2000000000000002</v>
      </c>
      <c r="Q23" s="15">
        <v>2.2999999999999998</v>
      </c>
      <c r="R23" s="15">
        <v>2.2000000000000002</v>
      </c>
      <c r="S23" s="15">
        <v>2.2999999999999998</v>
      </c>
      <c r="T23" s="15">
        <v>2.2000000000000002</v>
      </c>
      <c r="U23" s="15">
        <v>1.9</v>
      </c>
      <c r="V23" s="15">
        <v>1.7</v>
      </c>
      <c r="W23" s="15">
        <v>1.7</v>
      </c>
      <c r="X23" s="15">
        <v>1.5</v>
      </c>
      <c r="Y23" s="15">
        <v>1.4</v>
      </c>
      <c r="Z23" s="15">
        <v>1.5</v>
      </c>
      <c r="AA23" s="15">
        <v>1.5</v>
      </c>
      <c r="AB23" s="15">
        <v>1.2</v>
      </c>
      <c r="AC23" s="15">
        <v>0.7</v>
      </c>
      <c r="AD23" s="15">
        <v>0.7</v>
      </c>
      <c r="AE23" s="15">
        <v>0.7</v>
      </c>
      <c r="AF23" s="16">
        <v>0.7</v>
      </c>
      <c r="AG23" s="15">
        <v>0.7</v>
      </c>
    </row>
    <row r="24" spans="1:33" ht="15.75" x14ac:dyDescent="0.25">
      <c r="A24" s="7" t="s">
        <v>253</v>
      </c>
      <c r="B24" s="15">
        <v>2.6</v>
      </c>
      <c r="C24" s="15">
        <v>2.7</v>
      </c>
      <c r="D24" s="15">
        <v>3</v>
      </c>
      <c r="E24" s="15">
        <v>4</v>
      </c>
      <c r="F24" s="15">
        <v>5.2</v>
      </c>
      <c r="G24" s="15">
        <v>4.7</v>
      </c>
      <c r="H24" s="15">
        <v>4</v>
      </c>
      <c r="I24" s="15">
        <v>3.4</v>
      </c>
      <c r="J24" s="15">
        <v>2.6</v>
      </c>
      <c r="K24" s="15">
        <v>2.6</v>
      </c>
      <c r="L24" s="15">
        <v>2.4</v>
      </c>
      <c r="M24" s="15">
        <v>2</v>
      </c>
      <c r="N24" s="15">
        <v>1.8</v>
      </c>
      <c r="O24" s="15">
        <v>1.9</v>
      </c>
      <c r="P24" s="15">
        <v>1.7</v>
      </c>
      <c r="Q24" s="15">
        <v>1.8</v>
      </c>
      <c r="R24" s="15">
        <v>1.6</v>
      </c>
      <c r="S24" s="15">
        <v>1.7</v>
      </c>
      <c r="T24" s="15">
        <v>1.6</v>
      </c>
      <c r="U24" s="15">
        <v>1.4</v>
      </c>
      <c r="V24" s="15">
        <v>1.2</v>
      </c>
      <c r="W24" s="15">
        <v>1.2</v>
      </c>
      <c r="X24" s="15">
        <v>1.1000000000000001</v>
      </c>
      <c r="Y24" s="15">
        <v>0.9</v>
      </c>
      <c r="Z24" s="15">
        <v>1.1000000000000001</v>
      </c>
      <c r="AA24" s="15">
        <v>1.1000000000000001</v>
      </c>
      <c r="AB24" s="15">
        <v>0.9</v>
      </c>
      <c r="AC24" s="15">
        <v>0.5</v>
      </c>
      <c r="AD24" s="15">
        <v>0.4</v>
      </c>
      <c r="AE24" s="15">
        <v>0.4</v>
      </c>
      <c r="AF24" s="16">
        <v>0.4</v>
      </c>
      <c r="AG24" s="15">
        <v>0.4</v>
      </c>
    </row>
    <row r="25" spans="1:33" ht="15.75" x14ac:dyDescent="0.25">
      <c r="A25" s="7" t="s">
        <v>254</v>
      </c>
      <c r="B25" s="15">
        <v>0.5</v>
      </c>
      <c r="C25" s="15">
        <v>0.5</v>
      </c>
      <c r="D25" s="15">
        <v>0.7</v>
      </c>
      <c r="E25" s="15">
        <v>0.7</v>
      </c>
      <c r="F25" s="15">
        <v>1</v>
      </c>
      <c r="G25" s="15">
        <v>1.2</v>
      </c>
      <c r="H25" s="15">
        <v>0.9</v>
      </c>
      <c r="I25" s="15">
        <v>0.9</v>
      </c>
      <c r="J25" s="15">
        <v>0.9</v>
      </c>
      <c r="K25" s="15">
        <v>0.8</v>
      </c>
      <c r="L25" s="15">
        <v>0.6</v>
      </c>
      <c r="M25" s="15">
        <v>0.7</v>
      </c>
      <c r="N25" s="15">
        <v>0.6</v>
      </c>
      <c r="O25" s="15">
        <v>0.5</v>
      </c>
      <c r="P25" s="15">
        <v>0.5</v>
      </c>
      <c r="Q25" s="15">
        <v>0.5</v>
      </c>
      <c r="R25" s="15">
        <v>0.6</v>
      </c>
      <c r="S25" s="15">
        <v>0.7</v>
      </c>
      <c r="T25" s="15">
        <v>0.6</v>
      </c>
      <c r="U25" s="15">
        <v>0.5</v>
      </c>
      <c r="V25" s="15">
        <v>0.5</v>
      </c>
      <c r="W25" s="15">
        <v>0.5</v>
      </c>
      <c r="X25" s="15">
        <v>0.4</v>
      </c>
      <c r="Y25" s="15">
        <v>0.5</v>
      </c>
      <c r="Z25" s="15">
        <v>0.4</v>
      </c>
      <c r="AA25" s="15">
        <v>0.5</v>
      </c>
      <c r="AB25" s="15">
        <v>0.4</v>
      </c>
      <c r="AC25" s="15">
        <v>0.2</v>
      </c>
      <c r="AD25" s="15">
        <v>0.3</v>
      </c>
      <c r="AE25" s="15">
        <v>0.3</v>
      </c>
      <c r="AF25" s="16">
        <v>0.3</v>
      </c>
      <c r="AG25" s="15">
        <v>0.3</v>
      </c>
    </row>
    <row r="26" spans="1:33" ht="15.75" x14ac:dyDescent="0.25">
      <c r="A26" s="7" t="s">
        <v>255</v>
      </c>
      <c r="B26" s="15">
        <v>1.4</v>
      </c>
      <c r="C26" s="15">
        <v>1.8</v>
      </c>
      <c r="D26" s="15">
        <v>2.2999999999999998</v>
      </c>
      <c r="E26" s="15">
        <v>2.2999999999999998</v>
      </c>
      <c r="F26" s="15">
        <v>3.2</v>
      </c>
      <c r="G26" s="15">
        <v>3.2</v>
      </c>
      <c r="H26" s="15">
        <v>3.1</v>
      </c>
      <c r="I26" s="15">
        <v>2.4</v>
      </c>
      <c r="J26" s="15">
        <v>1.8</v>
      </c>
      <c r="K26" s="15">
        <v>1.7</v>
      </c>
      <c r="L26" s="15">
        <v>1.7</v>
      </c>
      <c r="M26" s="15">
        <v>1.3</v>
      </c>
      <c r="N26" s="15">
        <v>1.2</v>
      </c>
      <c r="O26" s="15">
        <v>1.3</v>
      </c>
      <c r="P26" s="15">
        <v>1.2</v>
      </c>
      <c r="Q26" s="15">
        <v>1.2</v>
      </c>
      <c r="R26" s="15">
        <v>1.1000000000000001</v>
      </c>
      <c r="S26" s="15">
        <v>1.3</v>
      </c>
      <c r="T26" s="15">
        <v>1.1000000000000001</v>
      </c>
      <c r="U26" s="15">
        <v>1.1000000000000001</v>
      </c>
      <c r="V26" s="15">
        <v>1</v>
      </c>
      <c r="W26" s="15">
        <v>1</v>
      </c>
      <c r="X26" s="15">
        <v>0.8</v>
      </c>
      <c r="Y26" s="15">
        <v>0.8</v>
      </c>
      <c r="Z26" s="15">
        <v>0.9</v>
      </c>
      <c r="AA26" s="15">
        <v>0.9</v>
      </c>
      <c r="AB26" s="15">
        <v>0.8</v>
      </c>
      <c r="AC26" s="15">
        <v>0.6</v>
      </c>
      <c r="AD26" s="15">
        <v>0.6</v>
      </c>
      <c r="AE26" s="15">
        <v>0.5</v>
      </c>
      <c r="AF26" s="16">
        <v>0.6</v>
      </c>
      <c r="AG26" s="15">
        <v>0.5</v>
      </c>
    </row>
    <row r="27" spans="1:33" ht="21.75" customHeight="1" x14ac:dyDescent="0.25">
      <c r="A27" s="7" t="s">
        <v>239</v>
      </c>
      <c r="B27" s="15">
        <v>3.4</v>
      </c>
      <c r="C27" s="15">
        <v>4</v>
      </c>
      <c r="D27" s="15">
        <v>4.9000000000000004</v>
      </c>
      <c r="E27" s="15">
        <v>5.2</v>
      </c>
      <c r="F27" s="15">
        <v>6.5</v>
      </c>
      <c r="G27" s="15">
        <v>6.3</v>
      </c>
      <c r="H27" s="15">
        <v>5.5</v>
      </c>
      <c r="I27" s="15">
        <v>4.2</v>
      </c>
      <c r="J27" s="15">
        <v>3.5</v>
      </c>
      <c r="K27" s="15">
        <v>3.4</v>
      </c>
      <c r="L27" s="15">
        <v>3.3</v>
      </c>
      <c r="M27" s="15">
        <v>2.7</v>
      </c>
      <c r="N27" s="15">
        <v>2.5</v>
      </c>
      <c r="O27" s="15">
        <v>2.6</v>
      </c>
      <c r="P27" s="15">
        <v>2.4</v>
      </c>
      <c r="Q27" s="15">
        <v>2.5</v>
      </c>
      <c r="R27" s="15">
        <v>2.2000000000000002</v>
      </c>
      <c r="S27" s="15">
        <v>2.5</v>
      </c>
      <c r="T27" s="15">
        <v>2.4</v>
      </c>
      <c r="U27" s="15">
        <v>2.1</v>
      </c>
      <c r="V27" s="15">
        <v>1.9</v>
      </c>
      <c r="W27" s="15">
        <v>1.9</v>
      </c>
      <c r="X27" s="15">
        <v>1.6</v>
      </c>
      <c r="Y27" s="15">
        <v>1.5</v>
      </c>
      <c r="Z27" s="15">
        <v>1.7</v>
      </c>
      <c r="AA27" s="15">
        <v>1.7</v>
      </c>
      <c r="AB27" s="15">
        <v>1.5</v>
      </c>
      <c r="AC27" s="15">
        <v>1</v>
      </c>
      <c r="AD27" s="15">
        <v>0.9</v>
      </c>
      <c r="AE27" s="15">
        <v>0.9</v>
      </c>
      <c r="AF27" s="16">
        <v>0.9</v>
      </c>
      <c r="AG27" s="15">
        <v>0.8</v>
      </c>
    </row>
    <row r="28" spans="1:33" ht="15.75" x14ac:dyDescent="0.25">
      <c r="A28" s="7" t="s">
        <v>256</v>
      </c>
      <c r="B28" s="15">
        <v>2.2000000000000002</v>
      </c>
      <c r="C28" s="15">
        <v>2.4</v>
      </c>
      <c r="D28" s="15">
        <v>2.8</v>
      </c>
      <c r="E28" s="15">
        <v>3.5</v>
      </c>
      <c r="F28" s="15">
        <v>4</v>
      </c>
      <c r="G28" s="15">
        <v>3.7</v>
      </c>
      <c r="H28" s="15">
        <v>3.1</v>
      </c>
      <c r="I28" s="15">
        <v>2.5</v>
      </c>
      <c r="J28" s="15">
        <v>2</v>
      </c>
      <c r="K28" s="15">
        <v>2</v>
      </c>
      <c r="L28" s="15">
        <v>1.9</v>
      </c>
      <c r="M28" s="15">
        <v>1.7</v>
      </c>
      <c r="N28" s="15">
        <v>1.5</v>
      </c>
      <c r="O28" s="15">
        <v>1.5</v>
      </c>
      <c r="P28" s="15">
        <v>1.4</v>
      </c>
      <c r="Q28" s="15">
        <v>1.5</v>
      </c>
      <c r="R28" s="15">
        <v>1.4</v>
      </c>
      <c r="S28" s="15">
        <v>1.6</v>
      </c>
      <c r="T28" s="15">
        <v>1.5</v>
      </c>
      <c r="U28" s="15">
        <v>1.2</v>
      </c>
      <c r="V28" s="15">
        <v>1.2</v>
      </c>
      <c r="W28" s="15">
        <v>1.1000000000000001</v>
      </c>
      <c r="X28" s="15">
        <v>0.9</v>
      </c>
      <c r="Y28" s="15">
        <v>0.9</v>
      </c>
      <c r="Z28" s="15">
        <v>1</v>
      </c>
      <c r="AA28" s="15">
        <v>1</v>
      </c>
      <c r="AB28" s="15">
        <v>0.8</v>
      </c>
      <c r="AC28" s="15">
        <v>0.5</v>
      </c>
      <c r="AD28" s="15">
        <v>0.5</v>
      </c>
      <c r="AE28" s="15">
        <v>0.4</v>
      </c>
      <c r="AF28" s="16">
        <v>0.4</v>
      </c>
      <c r="AG28" s="15">
        <v>0.4</v>
      </c>
    </row>
    <row r="29" spans="1:33" ht="15.75" x14ac:dyDescent="0.25">
      <c r="A29" s="7" t="s">
        <v>149</v>
      </c>
      <c r="B29" s="15">
        <v>1.8</v>
      </c>
      <c r="C29" s="15">
        <v>2</v>
      </c>
      <c r="D29" s="15">
        <v>2.2000000000000002</v>
      </c>
      <c r="E29" s="15">
        <v>2.9</v>
      </c>
      <c r="F29" s="15">
        <v>3.3</v>
      </c>
      <c r="G29" s="15">
        <v>3</v>
      </c>
      <c r="H29" s="15">
        <v>2.5</v>
      </c>
      <c r="I29" s="15">
        <v>1.9</v>
      </c>
      <c r="J29" s="15">
        <v>1.5</v>
      </c>
      <c r="K29" s="15">
        <v>1.6</v>
      </c>
      <c r="L29" s="15">
        <v>1.6</v>
      </c>
      <c r="M29" s="15">
        <v>1.3</v>
      </c>
      <c r="N29" s="15">
        <v>1.2</v>
      </c>
      <c r="O29" s="15">
        <v>1.2</v>
      </c>
      <c r="P29" s="15">
        <v>1.1000000000000001</v>
      </c>
      <c r="Q29" s="15">
        <v>1.2</v>
      </c>
      <c r="R29" s="15">
        <v>1</v>
      </c>
      <c r="S29" s="15">
        <v>1.1000000000000001</v>
      </c>
      <c r="T29" s="15">
        <v>1.1000000000000001</v>
      </c>
      <c r="U29" s="15">
        <v>0.9</v>
      </c>
      <c r="V29" s="15">
        <v>0.8</v>
      </c>
      <c r="W29" s="15">
        <v>0.8</v>
      </c>
      <c r="X29" s="15">
        <v>0.6</v>
      </c>
      <c r="Y29" s="15">
        <v>0.5</v>
      </c>
      <c r="Z29" s="15">
        <v>0.7</v>
      </c>
      <c r="AA29" s="15">
        <v>0.7</v>
      </c>
      <c r="AB29" s="15">
        <v>0.6</v>
      </c>
      <c r="AC29" s="15">
        <v>0.3</v>
      </c>
      <c r="AD29" s="15">
        <v>0.3</v>
      </c>
      <c r="AE29" s="15">
        <v>0.3</v>
      </c>
      <c r="AF29" s="16">
        <v>0.3</v>
      </c>
      <c r="AG29" s="15">
        <v>0.2</v>
      </c>
    </row>
    <row r="30" spans="1:33" ht="15.75" x14ac:dyDescent="0.25">
      <c r="A30" s="7" t="s">
        <v>150</v>
      </c>
      <c r="B30" s="15">
        <v>0.4</v>
      </c>
      <c r="C30" s="15">
        <v>0.4</v>
      </c>
      <c r="D30" s="15">
        <v>0.6</v>
      </c>
      <c r="E30" s="15">
        <v>0.6</v>
      </c>
      <c r="F30" s="15">
        <v>0.8</v>
      </c>
      <c r="G30" s="15">
        <v>0.7</v>
      </c>
      <c r="H30" s="15">
        <v>0.7</v>
      </c>
      <c r="I30" s="15">
        <v>0.6</v>
      </c>
      <c r="J30" s="15">
        <v>0.5</v>
      </c>
      <c r="K30" s="15">
        <v>0.5</v>
      </c>
      <c r="L30" s="15">
        <v>0.4</v>
      </c>
      <c r="M30" s="15">
        <v>0.5</v>
      </c>
      <c r="N30" s="15">
        <v>0.4</v>
      </c>
      <c r="O30" s="15">
        <v>0.4</v>
      </c>
      <c r="P30" s="15">
        <v>0.4</v>
      </c>
      <c r="Q30" s="15">
        <v>0.4</v>
      </c>
      <c r="R30" s="15">
        <v>0.4</v>
      </c>
      <c r="S30" s="15">
        <v>0.5</v>
      </c>
      <c r="T30" s="15">
        <v>0.4</v>
      </c>
      <c r="U30" s="15">
        <v>0.4</v>
      </c>
      <c r="V30" s="15">
        <v>0.4</v>
      </c>
      <c r="W30" s="15">
        <v>0.4</v>
      </c>
      <c r="X30" s="15">
        <v>0.3</v>
      </c>
      <c r="Y30" s="15">
        <v>0.3</v>
      </c>
      <c r="Z30" s="15">
        <v>0.3</v>
      </c>
      <c r="AA30" s="15">
        <v>0.3</v>
      </c>
      <c r="AB30" s="15">
        <v>0.3</v>
      </c>
      <c r="AC30" s="15">
        <v>0.2</v>
      </c>
      <c r="AD30" s="15">
        <v>0.2</v>
      </c>
      <c r="AE30" s="15">
        <v>0.2</v>
      </c>
      <c r="AF30" s="16">
        <v>0.2</v>
      </c>
      <c r="AG30" s="15">
        <v>0.2</v>
      </c>
    </row>
    <row r="31" spans="1:33" ht="15.75" x14ac:dyDescent="0.25">
      <c r="A31" s="7" t="s">
        <v>257</v>
      </c>
      <c r="B31" s="15">
        <v>1.4</v>
      </c>
      <c r="C31" s="15">
        <v>1.7</v>
      </c>
      <c r="D31" s="15">
        <v>2.2000000000000002</v>
      </c>
      <c r="E31" s="15">
        <v>2.1</v>
      </c>
      <c r="F31" s="15">
        <v>2.8</v>
      </c>
      <c r="G31" s="15">
        <v>2.9</v>
      </c>
      <c r="H31" s="15">
        <v>2.7</v>
      </c>
      <c r="I31" s="15">
        <v>1.9</v>
      </c>
      <c r="J31" s="15">
        <v>1.5</v>
      </c>
      <c r="K31" s="15">
        <v>1.5</v>
      </c>
      <c r="L31" s="15">
        <v>1.4</v>
      </c>
      <c r="M31" s="15">
        <v>1.1000000000000001</v>
      </c>
      <c r="N31" s="15">
        <v>1</v>
      </c>
      <c r="O31" s="15">
        <v>1.1000000000000001</v>
      </c>
      <c r="P31" s="15">
        <v>1</v>
      </c>
      <c r="Q31" s="15">
        <v>1</v>
      </c>
      <c r="R31" s="15">
        <v>0.9</v>
      </c>
      <c r="S31" s="15">
        <v>1.1000000000000001</v>
      </c>
      <c r="T31" s="15">
        <v>0.9</v>
      </c>
      <c r="U31" s="15">
        <v>0.9</v>
      </c>
      <c r="V31" s="15">
        <v>0.8</v>
      </c>
      <c r="W31" s="15">
        <v>0.8</v>
      </c>
      <c r="X31" s="15">
        <v>0.7</v>
      </c>
      <c r="Y31" s="15">
        <v>0.6</v>
      </c>
      <c r="Z31" s="15">
        <v>0.7</v>
      </c>
      <c r="AA31" s="15">
        <v>0.7</v>
      </c>
      <c r="AB31" s="15">
        <v>0.7</v>
      </c>
      <c r="AC31" s="15">
        <v>0.5</v>
      </c>
      <c r="AD31" s="15">
        <v>0.5</v>
      </c>
      <c r="AE31" s="15">
        <v>0.5</v>
      </c>
      <c r="AF31" s="16">
        <v>0.5</v>
      </c>
      <c r="AG31" s="15">
        <v>0.4</v>
      </c>
    </row>
    <row r="32" spans="1:33" ht="28.5" customHeight="1" x14ac:dyDescent="0.25">
      <c r="A32" s="7" t="s">
        <v>240</v>
      </c>
      <c r="B32" s="15">
        <v>0.9</v>
      </c>
      <c r="C32" s="15">
        <v>1</v>
      </c>
      <c r="D32" s="15">
        <v>1</v>
      </c>
      <c r="E32" s="15">
        <v>1.5</v>
      </c>
      <c r="F32" s="15">
        <v>2.7</v>
      </c>
      <c r="G32" s="15">
        <v>2.6</v>
      </c>
      <c r="H32" s="15">
        <v>2.2000000000000002</v>
      </c>
      <c r="I32" s="15">
        <v>2.2999999999999998</v>
      </c>
      <c r="J32" s="15">
        <v>1.7</v>
      </c>
      <c r="K32" s="15">
        <v>1.5</v>
      </c>
      <c r="L32" s="15">
        <v>1.4</v>
      </c>
      <c r="M32" s="15">
        <v>1.2</v>
      </c>
      <c r="N32" s="15">
        <v>1.1000000000000001</v>
      </c>
      <c r="O32" s="15">
        <v>1.1000000000000001</v>
      </c>
      <c r="P32" s="15">
        <v>0.9</v>
      </c>
      <c r="Q32" s="15">
        <v>1</v>
      </c>
      <c r="R32" s="15">
        <v>1</v>
      </c>
      <c r="S32" s="15">
        <v>1</v>
      </c>
      <c r="T32" s="15">
        <v>0.9</v>
      </c>
      <c r="U32" s="15">
        <v>0.9</v>
      </c>
      <c r="V32" s="15">
        <v>0.7</v>
      </c>
      <c r="W32" s="15">
        <v>0.8</v>
      </c>
      <c r="X32" s="15">
        <v>0.7</v>
      </c>
      <c r="Y32" s="15">
        <v>0.6</v>
      </c>
      <c r="Z32" s="15">
        <v>0.7</v>
      </c>
      <c r="AA32" s="15">
        <v>0.7</v>
      </c>
      <c r="AB32" s="15">
        <v>0.5</v>
      </c>
      <c r="AC32" s="15">
        <v>0.4</v>
      </c>
      <c r="AD32" s="15">
        <v>0.4</v>
      </c>
      <c r="AE32" s="15">
        <v>0.3</v>
      </c>
      <c r="AF32" s="16">
        <v>0.4</v>
      </c>
      <c r="AG32" s="15">
        <v>0.3</v>
      </c>
    </row>
    <row r="33" spans="1:33" ht="15.75" x14ac:dyDescent="0.25">
      <c r="A33" s="7" t="s">
        <v>256</v>
      </c>
      <c r="B33" s="15">
        <v>0.9</v>
      </c>
      <c r="C33" s="15">
        <v>0.9</v>
      </c>
      <c r="D33" s="15">
        <v>0.9</v>
      </c>
      <c r="E33" s="15">
        <v>1.3</v>
      </c>
      <c r="F33" s="15">
        <v>2.2999999999999998</v>
      </c>
      <c r="G33" s="15">
        <v>2.2000000000000002</v>
      </c>
      <c r="H33" s="15">
        <v>1.8</v>
      </c>
      <c r="I33" s="15">
        <v>1.8</v>
      </c>
      <c r="J33" s="15">
        <v>1.4</v>
      </c>
      <c r="K33" s="15">
        <v>1.3</v>
      </c>
      <c r="L33" s="15">
        <v>1.1000000000000001</v>
      </c>
      <c r="M33" s="15">
        <v>1</v>
      </c>
      <c r="N33" s="15">
        <v>0.9</v>
      </c>
      <c r="O33" s="15">
        <v>0.9</v>
      </c>
      <c r="P33" s="15">
        <v>0.7</v>
      </c>
      <c r="Q33" s="15">
        <v>0.8</v>
      </c>
      <c r="R33" s="15">
        <v>0.8</v>
      </c>
      <c r="S33" s="15">
        <v>0.8</v>
      </c>
      <c r="T33" s="15">
        <v>0.7</v>
      </c>
      <c r="U33" s="15">
        <v>0.7</v>
      </c>
      <c r="V33" s="15">
        <v>0.6</v>
      </c>
      <c r="W33" s="15">
        <v>0.6</v>
      </c>
      <c r="X33" s="15">
        <v>0.6</v>
      </c>
      <c r="Y33" s="15">
        <v>0.5</v>
      </c>
      <c r="Z33" s="15">
        <v>0.5</v>
      </c>
      <c r="AA33" s="15">
        <v>0.5</v>
      </c>
      <c r="AB33" s="15">
        <v>0.4</v>
      </c>
      <c r="AC33" s="15">
        <v>0.2</v>
      </c>
      <c r="AD33" s="15">
        <v>0.3</v>
      </c>
      <c r="AE33" s="15">
        <v>0.3</v>
      </c>
      <c r="AF33" s="16">
        <v>0.3</v>
      </c>
      <c r="AG33" s="15">
        <v>0.3</v>
      </c>
    </row>
    <row r="34" spans="1:33" ht="15.75" x14ac:dyDescent="0.25">
      <c r="A34" s="7" t="s">
        <v>149</v>
      </c>
      <c r="B34" s="15">
        <v>0.8</v>
      </c>
      <c r="C34" s="15">
        <v>0.8</v>
      </c>
      <c r="D34" s="15">
        <v>0.8</v>
      </c>
      <c r="E34" s="15">
        <v>1.2</v>
      </c>
      <c r="F34" s="15">
        <v>2.1</v>
      </c>
      <c r="G34" s="15">
        <v>1.7</v>
      </c>
      <c r="H34" s="15">
        <v>1.6</v>
      </c>
      <c r="I34" s="15">
        <v>1.6</v>
      </c>
      <c r="J34" s="15">
        <v>1.1000000000000001</v>
      </c>
      <c r="K34" s="15">
        <v>1</v>
      </c>
      <c r="L34" s="15">
        <v>0.9</v>
      </c>
      <c r="M34" s="15">
        <v>0.8</v>
      </c>
      <c r="N34" s="15">
        <v>0.7</v>
      </c>
      <c r="O34" s="15">
        <v>0.7</v>
      </c>
      <c r="P34" s="15">
        <v>0.6</v>
      </c>
      <c r="Q34" s="15">
        <v>0.6</v>
      </c>
      <c r="R34" s="15">
        <v>0.6</v>
      </c>
      <c r="S34" s="15">
        <v>0.6</v>
      </c>
      <c r="T34" s="15">
        <v>0.5</v>
      </c>
      <c r="U34" s="15">
        <v>0.5</v>
      </c>
      <c r="V34" s="15">
        <v>0.4</v>
      </c>
      <c r="W34" s="15">
        <v>0.5</v>
      </c>
      <c r="X34" s="15">
        <v>0.5</v>
      </c>
      <c r="Y34" s="15">
        <v>0.4</v>
      </c>
      <c r="Z34" s="15">
        <v>0.4</v>
      </c>
      <c r="AA34" s="15">
        <v>0.4</v>
      </c>
      <c r="AB34" s="15">
        <v>0.3</v>
      </c>
      <c r="AC34" s="15">
        <v>0.2</v>
      </c>
      <c r="AD34" s="15">
        <v>0.2</v>
      </c>
      <c r="AE34" s="15">
        <v>0.2</v>
      </c>
      <c r="AF34" s="16">
        <v>0.2</v>
      </c>
      <c r="AG34" s="15">
        <v>0.2</v>
      </c>
    </row>
    <row r="35" spans="1:33" ht="15.75" x14ac:dyDescent="0.25">
      <c r="A35" s="7" t="s">
        <v>150</v>
      </c>
      <c r="B35" s="15">
        <v>0.1</v>
      </c>
      <c r="C35" s="15">
        <v>0.1</v>
      </c>
      <c r="D35" s="15">
        <v>0</v>
      </c>
      <c r="E35" s="15">
        <v>0.1</v>
      </c>
      <c r="F35" s="15">
        <v>0.2</v>
      </c>
      <c r="G35" s="15">
        <v>0.5</v>
      </c>
      <c r="H35" s="15">
        <v>0.2</v>
      </c>
      <c r="I35" s="15">
        <v>0.2</v>
      </c>
      <c r="J35" s="15">
        <v>0.4</v>
      </c>
      <c r="K35" s="15">
        <v>0.3</v>
      </c>
      <c r="L35" s="15">
        <v>0.2</v>
      </c>
      <c r="M35" s="15">
        <v>0.2</v>
      </c>
      <c r="N35" s="15">
        <v>0.2</v>
      </c>
      <c r="O35" s="15">
        <v>0.2</v>
      </c>
      <c r="P35" s="15">
        <v>0.2</v>
      </c>
      <c r="Q35" s="15">
        <v>0.2</v>
      </c>
      <c r="R35" s="15">
        <v>0.2</v>
      </c>
      <c r="S35" s="15">
        <v>0.2</v>
      </c>
      <c r="T35" s="15">
        <v>0.1</v>
      </c>
      <c r="U35" s="15">
        <v>0.1</v>
      </c>
      <c r="V35" s="15">
        <v>0.2</v>
      </c>
      <c r="W35" s="15">
        <v>0.1</v>
      </c>
      <c r="X35" s="15">
        <v>0.1</v>
      </c>
      <c r="Y35" s="15">
        <v>0.2</v>
      </c>
      <c r="Z35" s="15">
        <v>0.1</v>
      </c>
      <c r="AA35" s="15">
        <v>0.1</v>
      </c>
      <c r="AB35" s="15">
        <v>0.1</v>
      </c>
      <c r="AC35" s="15">
        <v>0.1</v>
      </c>
      <c r="AD35" s="15">
        <v>0.1</v>
      </c>
      <c r="AE35" s="15">
        <v>0.1</v>
      </c>
      <c r="AF35" s="16">
        <v>0.1</v>
      </c>
      <c r="AG35" s="15">
        <v>0.1</v>
      </c>
    </row>
    <row r="36" spans="1:33" ht="14.25" customHeight="1" x14ac:dyDescent="0.25">
      <c r="A36" s="7" t="s">
        <v>257</v>
      </c>
      <c r="B36" s="15">
        <v>0</v>
      </c>
      <c r="C36" s="15">
        <v>0.1</v>
      </c>
      <c r="D36" s="15">
        <v>0.1</v>
      </c>
      <c r="E36" s="15">
        <v>0.2</v>
      </c>
      <c r="F36" s="15">
        <v>0.4</v>
      </c>
      <c r="G36" s="15">
        <v>0.4</v>
      </c>
      <c r="H36" s="15">
        <v>0.4</v>
      </c>
      <c r="I36" s="15">
        <v>0.5</v>
      </c>
      <c r="J36" s="15">
        <v>0.3</v>
      </c>
      <c r="K36" s="15">
        <v>0.2</v>
      </c>
      <c r="L36" s="15">
        <v>0.3</v>
      </c>
      <c r="M36" s="15">
        <v>0.2</v>
      </c>
      <c r="N36" s="15">
        <v>0.2</v>
      </c>
      <c r="O36" s="15">
        <v>0.2</v>
      </c>
      <c r="P36" s="15">
        <v>0.2</v>
      </c>
      <c r="Q36" s="15">
        <v>0.2</v>
      </c>
      <c r="R36" s="15">
        <v>0.2</v>
      </c>
      <c r="S36" s="15">
        <v>0.3</v>
      </c>
      <c r="T36" s="15">
        <v>0.2</v>
      </c>
      <c r="U36" s="15">
        <v>0.2</v>
      </c>
      <c r="V36" s="15">
        <v>0.2</v>
      </c>
      <c r="W36" s="15">
        <v>0.2</v>
      </c>
      <c r="X36" s="15">
        <v>0.1</v>
      </c>
      <c r="Y36" s="15">
        <v>0.1</v>
      </c>
      <c r="Z36" s="15">
        <v>0.2</v>
      </c>
      <c r="AA36" s="15">
        <v>0.1</v>
      </c>
      <c r="AB36" s="15">
        <v>0.1</v>
      </c>
      <c r="AC36" s="15">
        <v>0.1</v>
      </c>
      <c r="AD36" s="15">
        <v>0.1</v>
      </c>
      <c r="AE36" s="15">
        <v>0.1</v>
      </c>
      <c r="AF36" s="16">
        <v>0.1</v>
      </c>
      <c r="AG36" s="15">
        <v>0.1</v>
      </c>
    </row>
    <row r="37" spans="1:33" ht="25.5" customHeight="1" x14ac:dyDescent="0.25">
      <c r="A37" s="4" t="s">
        <v>258</v>
      </c>
      <c r="B37" s="13">
        <v>4.5999999999999996</v>
      </c>
      <c r="C37" s="13">
        <v>4.7</v>
      </c>
      <c r="D37" s="13">
        <v>4.7</v>
      </c>
      <c r="E37" s="13">
        <v>4.7</v>
      </c>
      <c r="F37" s="13">
        <v>5.5</v>
      </c>
      <c r="G37" s="13">
        <v>5.0999999999999996</v>
      </c>
      <c r="H37" s="13">
        <v>4.5</v>
      </c>
      <c r="I37" s="13">
        <v>4.0999999999999996</v>
      </c>
      <c r="J37" s="13">
        <v>3.3</v>
      </c>
      <c r="K37" s="13">
        <v>3.2</v>
      </c>
      <c r="L37" s="13">
        <v>3</v>
      </c>
      <c r="M37" s="13">
        <v>2.8</v>
      </c>
      <c r="N37" s="13">
        <v>2.7</v>
      </c>
      <c r="O37" s="13">
        <v>2.9</v>
      </c>
      <c r="P37" s="13">
        <v>2.6</v>
      </c>
      <c r="Q37" s="13">
        <v>2.8</v>
      </c>
      <c r="R37" s="13">
        <v>2.9</v>
      </c>
      <c r="S37" s="13">
        <v>3.2</v>
      </c>
      <c r="T37" s="13">
        <v>3.7</v>
      </c>
      <c r="U37" s="13">
        <v>3.3</v>
      </c>
      <c r="V37" s="13">
        <v>2.7</v>
      </c>
      <c r="W37" s="13">
        <v>2.5</v>
      </c>
      <c r="X37" s="13">
        <v>2.2999999999999998</v>
      </c>
      <c r="Y37" s="13">
        <v>2</v>
      </c>
      <c r="Z37" s="13">
        <v>1.9</v>
      </c>
      <c r="AA37" s="13">
        <v>2.2000000000000002</v>
      </c>
      <c r="AB37" s="13">
        <v>1.8</v>
      </c>
      <c r="AC37" s="13">
        <v>1.8</v>
      </c>
      <c r="AD37" s="13">
        <v>1.6</v>
      </c>
      <c r="AE37" s="13">
        <v>1.9</v>
      </c>
      <c r="AF37" s="14">
        <v>1.7</v>
      </c>
      <c r="AG37" s="13">
        <v>1.9</v>
      </c>
    </row>
    <row r="38" spans="1:33" ht="15.75" x14ac:dyDescent="0.25">
      <c r="A38" s="7" t="s">
        <v>259</v>
      </c>
      <c r="B38" s="15">
        <v>0.5</v>
      </c>
      <c r="C38" s="15">
        <v>0.5</v>
      </c>
      <c r="D38" s="15">
        <v>0.5</v>
      </c>
      <c r="E38" s="15">
        <v>0.3</v>
      </c>
      <c r="F38" s="15">
        <v>0.5</v>
      </c>
      <c r="G38" s="15">
        <v>0.6</v>
      </c>
      <c r="H38" s="15">
        <v>0.6</v>
      </c>
      <c r="I38" s="15">
        <v>0.5</v>
      </c>
      <c r="J38" s="15">
        <v>0.3</v>
      </c>
      <c r="K38" s="15">
        <v>0.4</v>
      </c>
      <c r="L38" s="15">
        <v>0.4</v>
      </c>
      <c r="M38" s="15">
        <v>0.3</v>
      </c>
      <c r="N38" s="15">
        <v>0.3</v>
      </c>
      <c r="O38" s="15">
        <v>0.3</v>
      </c>
      <c r="P38" s="15">
        <v>0.3</v>
      </c>
      <c r="Q38" s="15">
        <v>0.2</v>
      </c>
      <c r="R38" s="15">
        <v>0.3</v>
      </c>
      <c r="S38" s="15">
        <v>0.3</v>
      </c>
      <c r="T38" s="15">
        <v>0.3</v>
      </c>
      <c r="U38" s="15">
        <v>0.3</v>
      </c>
      <c r="V38" s="15">
        <v>0.2</v>
      </c>
      <c r="W38" s="15">
        <v>0.2</v>
      </c>
      <c r="X38" s="15">
        <v>0.2</v>
      </c>
      <c r="Y38" s="15">
        <v>0.2</v>
      </c>
      <c r="Z38" s="15">
        <v>0.2</v>
      </c>
      <c r="AA38" s="15">
        <v>0.2</v>
      </c>
      <c r="AB38" s="15">
        <v>0.2</v>
      </c>
      <c r="AC38" s="15">
        <v>0.1</v>
      </c>
      <c r="AD38" s="15">
        <v>0.1</v>
      </c>
      <c r="AE38" s="15">
        <v>0.1</v>
      </c>
      <c r="AF38" s="16">
        <v>0.1</v>
      </c>
      <c r="AG38" s="15">
        <v>0.1</v>
      </c>
    </row>
    <row r="39" spans="1:33" ht="30" customHeight="1" x14ac:dyDescent="0.25">
      <c r="A39" s="7" t="s">
        <v>260</v>
      </c>
      <c r="B39" s="15">
        <v>4</v>
      </c>
      <c r="C39" s="15">
        <v>4.2</v>
      </c>
      <c r="D39" s="15">
        <v>4.3</v>
      </c>
      <c r="E39" s="15">
        <v>4.4000000000000004</v>
      </c>
      <c r="F39" s="15">
        <v>5</v>
      </c>
      <c r="G39" s="15">
        <v>4.5</v>
      </c>
      <c r="H39" s="15">
        <v>4.0999999999999996</v>
      </c>
      <c r="I39" s="15">
        <v>3.7</v>
      </c>
      <c r="J39" s="15">
        <v>3</v>
      </c>
      <c r="K39" s="15">
        <v>2.9</v>
      </c>
      <c r="L39" s="15">
        <v>2.7</v>
      </c>
      <c r="M39" s="15">
        <v>2.5</v>
      </c>
      <c r="N39" s="15">
        <v>2.4</v>
      </c>
      <c r="O39" s="15">
        <v>2.6</v>
      </c>
      <c r="P39" s="15">
        <v>2.4</v>
      </c>
      <c r="Q39" s="15">
        <v>2.5</v>
      </c>
      <c r="R39" s="15">
        <v>2.7</v>
      </c>
      <c r="S39" s="15">
        <v>2.9</v>
      </c>
      <c r="T39" s="15">
        <v>3.5</v>
      </c>
      <c r="U39" s="15">
        <v>3</v>
      </c>
      <c r="V39" s="15">
        <v>2.4</v>
      </c>
      <c r="W39" s="15">
        <v>2.2999999999999998</v>
      </c>
      <c r="X39" s="15">
        <v>2</v>
      </c>
      <c r="Y39" s="15">
        <v>1.8</v>
      </c>
      <c r="Z39" s="15">
        <v>1.7</v>
      </c>
      <c r="AA39" s="15">
        <v>2</v>
      </c>
      <c r="AB39" s="15">
        <v>1.7</v>
      </c>
      <c r="AC39" s="15">
        <v>1.7</v>
      </c>
      <c r="AD39" s="15">
        <v>1.5</v>
      </c>
      <c r="AE39" s="15">
        <v>1.8</v>
      </c>
      <c r="AF39" s="16">
        <v>1.6</v>
      </c>
      <c r="AG39" s="15">
        <v>1.9</v>
      </c>
    </row>
    <row r="40" spans="1:33" ht="15.75" x14ac:dyDescent="0.25">
      <c r="A40" s="4" t="s">
        <v>261</v>
      </c>
      <c r="B40" s="13">
        <v>7.3</v>
      </c>
      <c r="C40" s="13">
        <v>8.6</v>
      </c>
      <c r="D40" s="13">
        <v>11.1</v>
      </c>
      <c r="E40" s="13">
        <v>13.5</v>
      </c>
      <c r="F40" s="13">
        <v>14.8</v>
      </c>
      <c r="G40" s="13">
        <v>14.7</v>
      </c>
      <c r="H40" s="13">
        <v>12.1</v>
      </c>
      <c r="I40" s="13">
        <v>10</v>
      </c>
      <c r="J40" s="13">
        <v>8.6</v>
      </c>
      <c r="K40" s="13">
        <v>8.1</v>
      </c>
      <c r="L40" s="13">
        <v>7.3</v>
      </c>
      <c r="M40" s="13">
        <v>6.4</v>
      </c>
      <c r="N40" s="13">
        <v>5.8</v>
      </c>
      <c r="O40" s="13">
        <v>5.8</v>
      </c>
      <c r="P40" s="13">
        <v>5.0999999999999996</v>
      </c>
      <c r="Q40" s="13">
        <v>5.0999999999999996</v>
      </c>
      <c r="R40" s="13">
        <v>4.3</v>
      </c>
      <c r="S40" s="13">
        <v>4.2</v>
      </c>
      <c r="T40" s="13">
        <v>4.2</v>
      </c>
      <c r="U40" s="13">
        <v>3.6</v>
      </c>
      <c r="V40" s="13">
        <v>3.3</v>
      </c>
      <c r="W40" s="13">
        <v>3.2</v>
      </c>
      <c r="X40" s="13">
        <v>3.1</v>
      </c>
      <c r="Y40" s="13">
        <v>2.8</v>
      </c>
      <c r="Z40" s="13">
        <v>3.1</v>
      </c>
      <c r="AA40" s="13">
        <v>3.2</v>
      </c>
      <c r="AB40" s="13">
        <v>3</v>
      </c>
      <c r="AC40" s="13">
        <v>2.5</v>
      </c>
      <c r="AD40" s="13">
        <v>2.5</v>
      </c>
      <c r="AE40" s="13">
        <v>2.2999999999999998</v>
      </c>
      <c r="AF40" s="14">
        <v>2.5</v>
      </c>
      <c r="AG40" s="13">
        <v>2.2999999999999998</v>
      </c>
    </row>
    <row r="41" spans="1:33" ht="15.75" x14ac:dyDescent="0.25">
      <c r="A41" s="7" t="s">
        <v>262</v>
      </c>
      <c r="B41" s="15">
        <v>5.6</v>
      </c>
      <c r="C41" s="15">
        <v>6.5</v>
      </c>
      <c r="D41" s="15">
        <v>8.4</v>
      </c>
      <c r="E41" s="15">
        <v>8.9</v>
      </c>
      <c r="F41" s="15">
        <v>9.1999999999999993</v>
      </c>
      <c r="G41" s="15">
        <v>9.1999999999999993</v>
      </c>
      <c r="H41" s="15">
        <v>7.9</v>
      </c>
      <c r="I41" s="15">
        <v>6.4</v>
      </c>
      <c r="J41" s="15">
        <v>5.4</v>
      </c>
      <c r="K41" s="15">
        <v>5.0999999999999996</v>
      </c>
      <c r="L41" s="15">
        <v>4.7</v>
      </c>
      <c r="M41" s="15">
        <v>4.0999999999999996</v>
      </c>
      <c r="N41" s="15">
        <v>3.8</v>
      </c>
      <c r="O41" s="15">
        <v>3.9</v>
      </c>
      <c r="P41" s="15">
        <v>3.4</v>
      </c>
      <c r="Q41" s="15">
        <v>3.6</v>
      </c>
      <c r="R41" s="15">
        <v>3.1</v>
      </c>
      <c r="S41" s="15">
        <v>3</v>
      </c>
      <c r="T41" s="15">
        <v>3.2</v>
      </c>
      <c r="U41" s="15">
        <v>2.7</v>
      </c>
      <c r="V41" s="15">
        <v>2.5</v>
      </c>
      <c r="W41" s="15">
        <v>2.4</v>
      </c>
      <c r="X41" s="15">
        <v>2.2999999999999998</v>
      </c>
      <c r="Y41" s="15">
        <v>2.1</v>
      </c>
      <c r="Z41" s="15">
        <v>2.2999999999999998</v>
      </c>
      <c r="AA41" s="15">
        <v>2.2999999999999998</v>
      </c>
      <c r="AB41" s="15">
        <v>2.2000000000000002</v>
      </c>
      <c r="AC41" s="15">
        <v>1.8</v>
      </c>
      <c r="AD41" s="15">
        <v>1.6</v>
      </c>
      <c r="AE41" s="15">
        <v>1.5</v>
      </c>
      <c r="AF41" s="16">
        <v>1.7</v>
      </c>
      <c r="AG41" s="15">
        <v>1.5</v>
      </c>
    </row>
    <row r="42" spans="1:33" ht="15.75" x14ac:dyDescent="0.25">
      <c r="A42" s="7" t="s">
        <v>263</v>
      </c>
      <c r="B42" s="15">
        <v>1.4</v>
      </c>
      <c r="C42" s="15">
        <v>1.3</v>
      </c>
      <c r="D42" s="15">
        <v>1.8</v>
      </c>
      <c r="E42" s="15">
        <v>2.2999999999999998</v>
      </c>
      <c r="F42" s="15">
        <v>2.5</v>
      </c>
      <c r="G42" s="15">
        <v>2.1</v>
      </c>
      <c r="H42" s="15">
        <v>1.7</v>
      </c>
      <c r="I42" s="15">
        <v>1.4</v>
      </c>
      <c r="J42" s="15">
        <v>1.3</v>
      </c>
      <c r="K42" s="15">
        <v>1.2</v>
      </c>
      <c r="L42" s="15">
        <v>1</v>
      </c>
      <c r="M42" s="15">
        <v>0.9</v>
      </c>
      <c r="N42" s="15">
        <v>0.7</v>
      </c>
      <c r="O42" s="15">
        <v>0.7</v>
      </c>
      <c r="P42" s="15">
        <v>0.6</v>
      </c>
      <c r="Q42" s="15">
        <v>0.6</v>
      </c>
      <c r="R42" s="15">
        <v>0.5</v>
      </c>
      <c r="S42" s="15">
        <v>0.4</v>
      </c>
      <c r="T42" s="15">
        <v>0.4</v>
      </c>
      <c r="U42" s="15">
        <v>0.3</v>
      </c>
      <c r="V42" s="15">
        <v>0.3</v>
      </c>
      <c r="W42" s="15">
        <v>0.2</v>
      </c>
      <c r="X42" s="15">
        <v>0.3</v>
      </c>
      <c r="Y42" s="15">
        <v>0.2</v>
      </c>
      <c r="Z42" s="15">
        <v>0.3</v>
      </c>
      <c r="AA42" s="15">
        <v>0.3</v>
      </c>
      <c r="AB42" s="15">
        <v>0.3</v>
      </c>
      <c r="AC42" s="15">
        <v>0.4</v>
      </c>
      <c r="AD42" s="15">
        <v>0.3</v>
      </c>
      <c r="AE42" s="15">
        <v>0.4</v>
      </c>
      <c r="AF42" s="16">
        <v>0.4</v>
      </c>
      <c r="AG42" s="15">
        <v>0.4</v>
      </c>
    </row>
    <row r="43" spans="1:33" ht="30" customHeight="1" x14ac:dyDescent="0.25">
      <c r="A43" s="7" t="s">
        <v>264</v>
      </c>
      <c r="B43" s="15">
        <v>0.8</v>
      </c>
      <c r="C43" s="15">
        <v>1.1000000000000001</v>
      </c>
      <c r="D43" s="15">
        <v>1.7</v>
      </c>
      <c r="E43" s="15">
        <v>3.5</v>
      </c>
      <c r="F43" s="15">
        <v>4.7</v>
      </c>
      <c r="G43" s="15">
        <v>4.8</v>
      </c>
      <c r="H43" s="15">
        <v>3.7</v>
      </c>
      <c r="I43" s="15">
        <v>3</v>
      </c>
      <c r="J43" s="15">
        <v>2.5</v>
      </c>
      <c r="K43" s="15">
        <v>2.4</v>
      </c>
      <c r="L43" s="15">
        <v>2.1</v>
      </c>
      <c r="M43" s="15">
        <v>1.7</v>
      </c>
      <c r="N43" s="15">
        <v>1.5</v>
      </c>
      <c r="O43" s="15">
        <v>1.4</v>
      </c>
      <c r="P43" s="15">
        <v>1.2</v>
      </c>
      <c r="Q43" s="15">
        <v>1.1000000000000001</v>
      </c>
      <c r="R43" s="15">
        <v>0.9</v>
      </c>
      <c r="S43" s="15">
        <v>0.9</v>
      </c>
      <c r="T43" s="15">
        <v>0.8</v>
      </c>
      <c r="U43" s="15">
        <v>0.7</v>
      </c>
      <c r="V43" s="15">
        <v>0.6</v>
      </c>
      <c r="W43" s="15">
        <v>0.7</v>
      </c>
      <c r="X43" s="15">
        <v>0.6</v>
      </c>
      <c r="Y43" s="15">
        <v>0.5</v>
      </c>
      <c r="Z43" s="15">
        <v>0.6</v>
      </c>
      <c r="AA43" s="15">
        <v>0.6</v>
      </c>
      <c r="AB43" s="15">
        <v>0.6</v>
      </c>
      <c r="AC43" s="15">
        <v>0.4</v>
      </c>
      <c r="AD43" s="15">
        <v>0.6</v>
      </c>
      <c r="AE43" s="15">
        <v>0.4</v>
      </c>
      <c r="AF43" s="16">
        <v>0.6</v>
      </c>
      <c r="AG43" s="15">
        <v>0.4</v>
      </c>
    </row>
    <row r="44" spans="1:33" ht="30" customHeight="1" x14ac:dyDescent="0.25">
      <c r="A44" s="4" t="s">
        <v>265</v>
      </c>
      <c r="B44" s="13">
        <v>1.1000000000000001</v>
      </c>
      <c r="C44" s="13">
        <v>1.4</v>
      </c>
      <c r="D44" s="13">
        <v>1.7</v>
      </c>
      <c r="E44" s="13">
        <v>2.5</v>
      </c>
      <c r="F44" s="13">
        <v>2.4</v>
      </c>
      <c r="G44" s="13">
        <v>2.7</v>
      </c>
      <c r="H44" s="13">
        <v>2.2000000000000002</v>
      </c>
      <c r="I44" s="13">
        <v>1.6</v>
      </c>
      <c r="J44" s="13">
        <v>1.5</v>
      </c>
      <c r="K44" s="13">
        <v>1.4</v>
      </c>
      <c r="L44" s="13">
        <v>1.4</v>
      </c>
      <c r="M44" s="13">
        <v>1.5</v>
      </c>
      <c r="N44" s="13">
        <v>1.6</v>
      </c>
      <c r="O44" s="13">
        <v>1.8</v>
      </c>
      <c r="P44" s="13">
        <v>1.6</v>
      </c>
      <c r="Q44" s="13">
        <v>1.9</v>
      </c>
      <c r="R44" s="13">
        <v>1.8</v>
      </c>
      <c r="S44" s="13">
        <v>1.9</v>
      </c>
      <c r="T44" s="13">
        <v>1.7</v>
      </c>
      <c r="U44" s="13">
        <v>1.7</v>
      </c>
      <c r="V44" s="13">
        <v>1.4</v>
      </c>
      <c r="W44" s="13">
        <v>1.4</v>
      </c>
      <c r="X44" s="13">
        <v>1.2</v>
      </c>
      <c r="Y44" s="13">
        <v>1.1000000000000001</v>
      </c>
      <c r="Z44" s="13">
        <v>1.1000000000000001</v>
      </c>
      <c r="AA44" s="13">
        <v>1.2</v>
      </c>
      <c r="AB44" s="13">
        <v>1</v>
      </c>
      <c r="AC44" s="13">
        <v>0.8</v>
      </c>
      <c r="AD44" s="13">
        <v>0.7</v>
      </c>
      <c r="AE44" s="13">
        <v>0.7</v>
      </c>
      <c r="AF44" s="14">
        <v>0.7</v>
      </c>
      <c r="AG44" s="13">
        <v>0.7</v>
      </c>
    </row>
    <row r="45" spans="1:33" ht="30" customHeight="1" x14ac:dyDescent="0.25">
      <c r="A45" s="10" t="s">
        <v>167</v>
      </c>
      <c r="B45" s="11">
        <v>9916</v>
      </c>
      <c r="C45" s="11">
        <v>11030</v>
      </c>
      <c r="D45" s="11">
        <v>10392</v>
      </c>
      <c r="E45" s="11">
        <v>10043</v>
      </c>
      <c r="F45" s="11">
        <v>14491</v>
      </c>
      <c r="G45" s="11">
        <v>16310</v>
      </c>
      <c r="H45" s="11">
        <v>14900</v>
      </c>
      <c r="I45" s="11">
        <v>19357</v>
      </c>
      <c r="J45" s="11">
        <v>32782</v>
      </c>
      <c r="K45" s="11">
        <v>36447</v>
      </c>
      <c r="L45" s="11">
        <v>37890</v>
      </c>
      <c r="M45" s="11">
        <v>45081</v>
      </c>
      <c r="N45" s="11">
        <v>47768</v>
      </c>
      <c r="O45" s="11">
        <v>47173</v>
      </c>
      <c r="P45" s="11">
        <v>46942</v>
      </c>
      <c r="Q45" s="11">
        <v>46254</v>
      </c>
      <c r="R45" s="11">
        <v>44611</v>
      </c>
      <c r="S45" s="11">
        <v>46728</v>
      </c>
      <c r="T45" s="11">
        <v>45998</v>
      </c>
      <c r="U45" s="11">
        <v>34851</v>
      </c>
      <c r="V45" s="11">
        <v>35339</v>
      </c>
      <c r="W45" s="11">
        <v>33299</v>
      </c>
      <c r="X45" s="11">
        <v>35248</v>
      </c>
      <c r="Y45" s="11">
        <v>35334</v>
      </c>
      <c r="Z45" s="11">
        <v>34636</v>
      </c>
      <c r="AA45" s="11">
        <v>34103</v>
      </c>
      <c r="AB45" s="11">
        <v>33655</v>
      </c>
      <c r="AC45" s="11">
        <v>30822</v>
      </c>
      <c r="AD45" s="11">
        <v>30704</v>
      </c>
      <c r="AE45" s="11">
        <v>31375</v>
      </c>
      <c r="AF45" s="12">
        <v>31647</v>
      </c>
      <c r="AG45" s="11">
        <v>31631</v>
      </c>
    </row>
    <row r="46" spans="1:33" ht="15.75" x14ac:dyDescent="0.25">
      <c r="A46" s="4" t="s">
        <v>261</v>
      </c>
      <c r="B46" s="13">
        <v>10.8</v>
      </c>
      <c r="C46" s="13">
        <v>12.4</v>
      </c>
      <c r="D46" s="13">
        <v>15.7</v>
      </c>
      <c r="E46" s="13">
        <v>18.3</v>
      </c>
      <c r="F46" s="13">
        <v>20</v>
      </c>
      <c r="G46" s="13">
        <v>19.899999999999999</v>
      </c>
      <c r="H46" s="13">
        <v>16</v>
      </c>
      <c r="I46" s="13">
        <v>12.9</v>
      </c>
      <c r="J46" s="13">
        <v>11.3</v>
      </c>
      <c r="K46" s="13">
        <v>10.7</v>
      </c>
      <c r="L46" s="13">
        <v>9.6</v>
      </c>
      <c r="M46" s="13">
        <v>8.3000000000000007</v>
      </c>
      <c r="N46" s="13">
        <v>7.5</v>
      </c>
      <c r="O46" s="13">
        <v>7.5</v>
      </c>
      <c r="P46" s="13">
        <v>6.5</v>
      </c>
      <c r="Q46" s="13">
        <v>6.5</v>
      </c>
      <c r="R46" s="13">
        <v>5.6</v>
      </c>
      <c r="S46" s="13">
        <v>5.4</v>
      </c>
      <c r="T46" s="13">
        <v>5.5</v>
      </c>
      <c r="U46" s="13">
        <v>4.5999999999999996</v>
      </c>
      <c r="V46" s="13">
        <v>4.3</v>
      </c>
      <c r="W46" s="13">
        <v>4.0999999999999996</v>
      </c>
      <c r="X46" s="13">
        <v>4</v>
      </c>
      <c r="Y46" s="13">
        <v>3.6</v>
      </c>
      <c r="Z46" s="13">
        <v>4</v>
      </c>
      <c r="AA46" s="13">
        <v>4</v>
      </c>
      <c r="AB46" s="13">
        <v>3.8</v>
      </c>
      <c r="AC46" s="13">
        <v>3.2</v>
      </c>
      <c r="AD46" s="13">
        <v>3.2</v>
      </c>
      <c r="AE46" s="13">
        <v>3</v>
      </c>
      <c r="AF46" s="14">
        <v>3.2</v>
      </c>
      <c r="AG46" s="13">
        <v>2.9</v>
      </c>
    </row>
    <row r="47" spans="1:33" ht="15.75" x14ac:dyDescent="0.25">
      <c r="A47" s="7" t="s">
        <v>262</v>
      </c>
      <c r="B47" s="15">
        <v>8.1999999999999993</v>
      </c>
      <c r="C47" s="15">
        <v>9.4</v>
      </c>
      <c r="D47" s="15">
        <v>11.8</v>
      </c>
      <c r="E47" s="15">
        <v>12</v>
      </c>
      <c r="F47" s="15">
        <v>12.5</v>
      </c>
      <c r="G47" s="15">
        <v>12.5</v>
      </c>
      <c r="H47" s="15">
        <v>10.4</v>
      </c>
      <c r="I47" s="15">
        <v>8.3000000000000007</v>
      </c>
      <c r="J47" s="15">
        <v>7.1</v>
      </c>
      <c r="K47" s="15">
        <v>6.8</v>
      </c>
      <c r="L47" s="15">
        <v>6.2</v>
      </c>
      <c r="M47" s="15">
        <v>5.4</v>
      </c>
      <c r="N47" s="15">
        <v>4.9000000000000004</v>
      </c>
      <c r="O47" s="15">
        <v>5.0999999999999996</v>
      </c>
      <c r="P47" s="15">
        <v>4.4000000000000004</v>
      </c>
      <c r="Q47" s="15">
        <v>4.5999999999999996</v>
      </c>
      <c r="R47" s="15">
        <v>3.9</v>
      </c>
      <c r="S47" s="15">
        <v>3.9</v>
      </c>
      <c r="T47" s="15">
        <v>4.0999999999999996</v>
      </c>
      <c r="U47" s="15">
        <v>3.5</v>
      </c>
      <c r="V47" s="15">
        <v>3.3</v>
      </c>
      <c r="W47" s="15">
        <v>3</v>
      </c>
      <c r="X47" s="15">
        <v>2.9</v>
      </c>
      <c r="Y47" s="15">
        <v>2.7</v>
      </c>
      <c r="Z47" s="15">
        <v>2.9</v>
      </c>
      <c r="AA47" s="15">
        <v>2.9</v>
      </c>
      <c r="AB47" s="15">
        <v>2.8</v>
      </c>
      <c r="AC47" s="15">
        <v>2.2999999999999998</v>
      </c>
      <c r="AD47" s="15">
        <v>2.1</v>
      </c>
      <c r="AE47" s="15">
        <v>2</v>
      </c>
      <c r="AF47" s="16">
        <v>2.1</v>
      </c>
      <c r="AG47" s="15">
        <v>1.9</v>
      </c>
    </row>
    <row r="48" spans="1:33" ht="15.75" x14ac:dyDescent="0.25">
      <c r="A48" s="7" t="s">
        <v>263</v>
      </c>
      <c r="B48" s="15">
        <v>2.1</v>
      </c>
      <c r="C48" s="15">
        <v>2</v>
      </c>
      <c r="D48" s="15">
        <v>2.5</v>
      </c>
      <c r="E48" s="15">
        <v>3.2</v>
      </c>
      <c r="F48" s="15">
        <v>3.4</v>
      </c>
      <c r="G48" s="15">
        <v>2.9</v>
      </c>
      <c r="H48" s="15">
        <v>2.2000000000000002</v>
      </c>
      <c r="I48" s="15">
        <v>1.8</v>
      </c>
      <c r="J48" s="15">
        <v>1.7</v>
      </c>
      <c r="K48" s="15">
        <v>1.5</v>
      </c>
      <c r="L48" s="15">
        <v>1.3</v>
      </c>
      <c r="M48" s="15">
        <v>1.1000000000000001</v>
      </c>
      <c r="N48" s="15">
        <v>0.9</v>
      </c>
      <c r="O48" s="15">
        <v>0.9</v>
      </c>
      <c r="P48" s="15">
        <v>0.8</v>
      </c>
      <c r="Q48" s="15">
        <v>0.7</v>
      </c>
      <c r="R48" s="15">
        <v>0.6</v>
      </c>
      <c r="S48" s="15">
        <v>0.5</v>
      </c>
      <c r="T48" s="15">
        <v>0.5</v>
      </c>
      <c r="U48" s="15">
        <v>0.4</v>
      </c>
      <c r="V48" s="15">
        <v>0.3</v>
      </c>
      <c r="W48" s="15">
        <v>0.3</v>
      </c>
      <c r="X48" s="15">
        <v>0.4</v>
      </c>
      <c r="Y48" s="15">
        <v>0.3</v>
      </c>
      <c r="Z48" s="15">
        <v>0.4</v>
      </c>
      <c r="AA48" s="15">
        <v>0.4</v>
      </c>
      <c r="AB48" s="15">
        <v>0.4</v>
      </c>
      <c r="AC48" s="15">
        <v>0.5</v>
      </c>
      <c r="AD48" s="15">
        <v>0.4</v>
      </c>
      <c r="AE48" s="15">
        <v>0.5</v>
      </c>
      <c r="AF48" s="16">
        <v>0.5</v>
      </c>
      <c r="AG48" s="15">
        <v>0.5</v>
      </c>
    </row>
    <row r="49" spans="1:33" ht="30" customHeight="1" x14ac:dyDescent="0.25">
      <c r="A49" s="7" t="s">
        <v>264</v>
      </c>
      <c r="B49" s="15">
        <v>1.1000000000000001</v>
      </c>
      <c r="C49" s="15">
        <v>1.6</v>
      </c>
      <c r="D49" s="15">
        <v>2.4</v>
      </c>
      <c r="E49" s="15">
        <v>4.8</v>
      </c>
      <c r="F49" s="15">
        <v>6.4</v>
      </c>
      <c r="G49" s="15">
        <v>6.6</v>
      </c>
      <c r="H49" s="15">
        <v>5</v>
      </c>
      <c r="I49" s="15">
        <v>3.9</v>
      </c>
      <c r="J49" s="15">
        <v>3.3</v>
      </c>
      <c r="K49" s="15">
        <v>3.2</v>
      </c>
      <c r="L49" s="15">
        <v>2.7</v>
      </c>
      <c r="M49" s="15">
        <v>2.2000000000000002</v>
      </c>
      <c r="N49" s="15">
        <v>1.9</v>
      </c>
      <c r="O49" s="15">
        <v>1.8</v>
      </c>
      <c r="P49" s="15">
        <v>1.6</v>
      </c>
      <c r="Q49" s="15">
        <v>1.4</v>
      </c>
      <c r="R49" s="15">
        <v>1.2</v>
      </c>
      <c r="S49" s="15">
        <v>1.1000000000000001</v>
      </c>
      <c r="T49" s="15">
        <v>1</v>
      </c>
      <c r="U49" s="15">
        <v>0.8</v>
      </c>
      <c r="V49" s="15">
        <v>0.8</v>
      </c>
      <c r="W49" s="15">
        <v>0.9</v>
      </c>
      <c r="X49" s="15">
        <v>0.7</v>
      </c>
      <c r="Y49" s="15">
        <v>0.7</v>
      </c>
      <c r="Z49" s="15">
        <v>0.8</v>
      </c>
      <c r="AA49" s="15">
        <v>0.8</v>
      </c>
      <c r="AB49" s="15">
        <v>0.7</v>
      </c>
      <c r="AC49" s="15">
        <v>0.6</v>
      </c>
      <c r="AD49" s="15">
        <v>0.8</v>
      </c>
      <c r="AE49" s="15">
        <v>0.6</v>
      </c>
      <c r="AF49" s="16">
        <v>0.7</v>
      </c>
      <c r="AG49" s="15">
        <v>0.6</v>
      </c>
    </row>
    <row r="50" spans="1:33" ht="30" customHeight="1" x14ac:dyDescent="0.25">
      <c r="A50" s="4" t="s">
        <v>165</v>
      </c>
      <c r="B50" s="13">
        <v>8.5</v>
      </c>
      <c r="C50" s="13">
        <v>9.1999999999999993</v>
      </c>
      <c r="D50" s="13">
        <v>8.4</v>
      </c>
      <c r="E50" s="13">
        <v>7.6</v>
      </c>
      <c r="F50" s="13">
        <v>8.1999999999999993</v>
      </c>
      <c r="G50" s="13">
        <v>8.6</v>
      </c>
      <c r="H50" s="13">
        <v>6.8</v>
      </c>
      <c r="I50" s="13">
        <v>6.6</v>
      </c>
      <c r="J50" s="13">
        <v>6.3</v>
      </c>
      <c r="K50" s="13">
        <v>6.3</v>
      </c>
      <c r="L50" s="13">
        <v>5.9</v>
      </c>
      <c r="M50" s="13">
        <v>6.2</v>
      </c>
      <c r="N50" s="13">
        <v>6.6</v>
      </c>
      <c r="O50" s="13">
        <v>7.1</v>
      </c>
      <c r="P50" s="13">
        <v>6.5</v>
      </c>
      <c r="Q50" s="13">
        <v>7</v>
      </c>
      <c r="R50" s="13">
        <v>6.1</v>
      </c>
      <c r="S50" s="13">
        <v>5.7</v>
      </c>
      <c r="T50" s="13">
        <v>5.4</v>
      </c>
      <c r="U50" s="13">
        <v>4.7</v>
      </c>
      <c r="V50" s="13">
        <v>4</v>
      </c>
      <c r="W50" s="13">
        <v>3.4</v>
      </c>
      <c r="X50" s="13">
        <v>3.4</v>
      </c>
      <c r="Y50" s="13">
        <v>3.2</v>
      </c>
      <c r="Z50" s="13">
        <v>2.9</v>
      </c>
      <c r="AA50" s="13">
        <v>3.2</v>
      </c>
      <c r="AB50" s="13">
        <v>2.8</v>
      </c>
      <c r="AC50" s="13">
        <v>1.8</v>
      </c>
      <c r="AD50" s="13">
        <v>1.7</v>
      </c>
      <c r="AE50" s="13">
        <v>1.6</v>
      </c>
      <c r="AF50" s="14">
        <v>1.8</v>
      </c>
      <c r="AG50" s="13">
        <v>1.5</v>
      </c>
    </row>
    <row r="51" spans="1:33" ht="30" customHeight="1" x14ac:dyDescent="0.25">
      <c r="A51" s="10" t="s">
        <v>235</v>
      </c>
      <c r="B51" s="11">
        <v>6864</v>
      </c>
      <c r="C51" s="11">
        <v>8074</v>
      </c>
      <c r="D51" s="11">
        <v>7842</v>
      </c>
      <c r="E51" s="11">
        <v>7247</v>
      </c>
      <c r="F51" s="11">
        <v>10465</v>
      </c>
      <c r="G51" s="11">
        <v>11721</v>
      </c>
      <c r="H51" s="11">
        <v>10930</v>
      </c>
      <c r="I51" s="11">
        <v>15042</v>
      </c>
      <c r="J51" s="11">
        <v>25071</v>
      </c>
      <c r="K51" s="11">
        <v>28151</v>
      </c>
      <c r="L51" s="11">
        <v>29457</v>
      </c>
      <c r="M51" s="11">
        <v>35458</v>
      </c>
      <c r="N51" s="11">
        <v>38144</v>
      </c>
      <c r="O51" s="11">
        <v>37638</v>
      </c>
      <c r="P51" s="11">
        <v>37621</v>
      </c>
      <c r="Q51" s="11">
        <v>36882</v>
      </c>
      <c r="R51" s="11">
        <v>35618</v>
      </c>
      <c r="S51" s="11">
        <v>37248</v>
      </c>
      <c r="T51" s="11">
        <v>36566</v>
      </c>
      <c r="U51" s="11">
        <v>27368</v>
      </c>
      <c r="V51" s="11">
        <v>27749</v>
      </c>
      <c r="W51" s="11">
        <v>26339</v>
      </c>
      <c r="X51" s="11">
        <v>28252</v>
      </c>
      <c r="Y51" s="11">
        <v>28216</v>
      </c>
      <c r="Z51" s="11">
        <v>27912</v>
      </c>
      <c r="AA51" s="11">
        <v>27455</v>
      </c>
      <c r="AB51" s="11">
        <v>27091</v>
      </c>
      <c r="AC51" s="11">
        <v>24733</v>
      </c>
      <c r="AD51" s="11">
        <v>23479</v>
      </c>
      <c r="AE51" s="11">
        <v>24003</v>
      </c>
      <c r="AF51" s="12">
        <v>24065</v>
      </c>
      <c r="AG51" s="11">
        <v>24230</v>
      </c>
    </row>
    <row r="52" spans="1:33" ht="30" customHeight="1" x14ac:dyDescent="0.25">
      <c r="A52" s="4" t="s">
        <v>163</v>
      </c>
      <c r="B52" s="13">
        <v>2.7</v>
      </c>
      <c r="C52" s="13">
        <v>3.2</v>
      </c>
      <c r="D52" s="13">
        <v>3.9</v>
      </c>
      <c r="E52" s="13">
        <v>5.6</v>
      </c>
      <c r="F52" s="13">
        <v>5.4</v>
      </c>
      <c r="G52" s="13">
        <v>6</v>
      </c>
      <c r="H52" s="13">
        <v>4.8</v>
      </c>
      <c r="I52" s="13">
        <v>3.4</v>
      </c>
      <c r="J52" s="13">
        <v>3.6</v>
      </c>
      <c r="K52" s="13">
        <v>3.3</v>
      </c>
      <c r="L52" s="13">
        <v>3.4</v>
      </c>
      <c r="M52" s="13">
        <v>3.6</v>
      </c>
      <c r="N52" s="13">
        <v>3.8</v>
      </c>
      <c r="O52" s="13">
        <v>4</v>
      </c>
      <c r="P52" s="13">
        <v>3.7</v>
      </c>
      <c r="Q52" s="13">
        <v>4.4000000000000004</v>
      </c>
      <c r="R52" s="13">
        <v>3.9</v>
      </c>
      <c r="S52" s="13">
        <v>4.0999999999999996</v>
      </c>
      <c r="T52" s="13">
        <v>3.4</v>
      </c>
      <c r="U52" s="13">
        <v>3.3</v>
      </c>
      <c r="V52" s="13">
        <v>2.7</v>
      </c>
      <c r="W52" s="13">
        <v>2.7</v>
      </c>
      <c r="X52" s="13">
        <v>2.2999999999999998</v>
      </c>
      <c r="Y52" s="13">
        <v>2.1</v>
      </c>
      <c r="Z52" s="13">
        <v>2.2999999999999998</v>
      </c>
      <c r="AA52" s="13">
        <v>2.2999999999999998</v>
      </c>
      <c r="AB52" s="13">
        <v>2</v>
      </c>
      <c r="AC52" s="13">
        <v>1.8</v>
      </c>
      <c r="AD52" s="13">
        <v>1.6</v>
      </c>
      <c r="AE52" s="13">
        <v>1.4</v>
      </c>
      <c r="AF52" s="14">
        <v>1.6</v>
      </c>
      <c r="AG52" s="13">
        <v>1.5</v>
      </c>
    </row>
    <row r="53" spans="1:33" ht="30" customHeight="1" x14ac:dyDescent="0.25">
      <c r="A53" s="10" t="s">
        <v>236</v>
      </c>
      <c r="B53" s="11">
        <v>4241</v>
      </c>
      <c r="C53" s="11">
        <v>5190</v>
      </c>
      <c r="D53" s="11">
        <v>4808</v>
      </c>
      <c r="E53" s="11">
        <v>4021</v>
      </c>
      <c r="F53" s="11">
        <v>6171</v>
      </c>
      <c r="G53" s="11">
        <v>6863</v>
      </c>
      <c r="H53" s="11">
        <v>6362</v>
      </c>
      <c r="I53" s="11">
        <v>8568</v>
      </c>
      <c r="J53" s="11">
        <v>13525</v>
      </c>
      <c r="K53" s="11">
        <v>15592</v>
      </c>
      <c r="L53" s="11">
        <v>16070</v>
      </c>
      <c r="M53" s="11">
        <v>19378</v>
      </c>
      <c r="N53" s="11">
        <v>20917</v>
      </c>
      <c r="O53" s="11">
        <v>21106</v>
      </c>
      <c r="P53" s="11">
        <v>20846</v>
      </c>
      <c r="Q53" s="11">
        <v>20636</v>
      </c>
      <c r="R53" s="11">
        <v>20129</v>
      </c>
      <c r="S53" s="11">
        <v>20736</v>
      </c>
      <c r="T53" s="11">
        <v>22087</v>
      </c>
      <c r="U53" s="11">
        <v>16646</v>
      </c>
      <c r="V53" s="11">
        <v>16891</v>
      </c>
      <c r="W53" s="11">
        <v>15859</v>
      </c>
      <c r="X53" s="11">
        <v>16811</v>
      </c>
      <c r="Y53" s="11">
        <v>16824</v>
      </c>
      <c r="Z53" s="11">
        <v>16259</v>
      </c>
      <c r="AA53" s="11">
        <v>15821</v>
      </c>
      <c r="AB53" s="11">
        <v>15283</v>
      </c>
      <c r="AC53" s="11">
        <v>12850</v>
      </c>
      <c r="AD53" s="11">
        <v>11825</v>
      </c>
      <c r="AE53" s="11">
        <v>11964</v>
      </c>
      <c r="AF53" s="12">
        <v>12317</v>
      </c>
      <c r="AG53" s="11">
        <v>11867</v>
      </c>
    </row>
    <row r="54" spans="1:33" ht="15.75" x14ac:dyDescent="0.25">
      <c r="A54" s="4" t="s">
        <v>164</v>
      </c>
      <c r="B54" s="13">
        <v>9.1999999999999993</v>
      </c>
      <c r="C54" s="13">
        <v>9.5</v>
      </c>
      <c r="D54" s="13">
        <v>9.8000000000000007</v>
      </c>
      <c r="E54" s="13">
        <v>8.4</v>
      </c>
      <c r="F54" s="13">
        <v>9.8000000000000007</v>
      </c>
      <c r="G54" s="13">
        <v>10.1</v>
      </c>
      <c r="H54" s="13">
        <v>8.1999999999999993</v>
      </c>
      <c r="I54" s="13">
        <v>7.7</v>
      </c>
      <c r="J54" s="13">
        <v>7.4</v>
      </c>
      <c r="K54" s="13">
        <v>7.3</v>
      </c>
      <c r="L54" s="13">
        <v>7.1</v>
      </c>
      <c r="M54" s="13">
        <v>7.1</v>
      </c>
      <c r="N54" s="13">
        <v>7.6</v>
      </c>
      <c r="O54" s="13">
        <v>7.9</v>
      </c>
      <c r="P54" s="13">
        <v>7.3</v>
      </c>
      <c r="Q54" s="13">
        <v>7.6</v>
      </c>
      <c r="R54" s="13">
        <v>6.7</v>
      </c>
      <c r="S54" s="13">
        <v>6.1</v>
      </c>
      <c r="T54" s="13">
        <v>5.8</v>
      </c>
      <c r="U54" s="13">
        <v>5</v>
      </c>
      <c r="V54" s="13">
        <v>4.2</v>
      </c>
      <c r="W54" s="13">
        <v>3.8</v>
      </c>
      <c r="X54" s="13">
        <v>3.7</v>
      </c>
      <c r="Y54" s="13">
        <v>3.5</v>
      </c>
      <c r="Z54" s="13">
        <v>3.2</v>
      </c>
      <c r="AA54" s="13">
        <v>3.5</v>
      </c>
      <c r="AB54" s="13">
        <v>3</v>
      </c>
      <c r="AC54" s="13">
        <v>2</v>
      </c>
      <c r="AD54" s="13">
        <v>2</v>
      </c>
      <c r="AE54" s="13">
        <v>2</v>
      </c>
      <c r="AF54" s="14">
        <v>2.1</v>
      </c>
      <c r="AG54" s="13">
        <v>1.9</v>
      </c>
    </row>
    <row r="55" spans="1:33" ht="16.5" customHeight="1" x14ac:dyDescent="0.25">
      <c r="A55" s="7" t="s">
        <v>165</v>
      </c>
      <c r="B55" s="15">
        <v>5.7</v>
      </c>
      <c r="C55" s="15">
        <v>6.4</v>
      </c>
      <c r="D55" s="15">
        <v>5.9</v>
      </c>
      <c r="E55" s="15">
        <v>5.6</v>
      </c>
      <c r="F55" s="15">
        <v>6.1</v>
      </c>
      <c r="G55" s="15">
        <v>6.3</v>
      </c>
      <c r="H55" s="15">
        <v>5.2</v>
      </c>
      <c r="I55" s="15">
        <v>5</v>
      </c>
      <c r="J55" s="15">
        <v>4.7</v>
      </c>
      <c r="K55" s="15">
        <v>4.8</v>
      </c>
      <c r="L55" s="15">
        <v>4.5</v>
      </c>
      <c r="M55" s="15">
        <v>4.8</v>
      </c>
      <c r="N55" s="15">
        <v>5.0999999999999996</v>
      </c>
      <c r="O55" s="15">
        <v>5.5</v>
      </c>
      <c r="P55" s="15">
        <v>5</v>
      </c>
      <c r="Q55" s="15">
        <v>5.4</v>
      </c>
      <c r="R55" s="15">
        <v>4.7</v>
      </c>
      <c r="S55" s="15">
        <v>4.4000000000000004</v>
      </c>
      <c r="T55" s="15">
        <v>4.2</v>
      </c>
      <c r="U55" s="15">
        <v>3.6</v>
      </c>
      <c r="V55" s="15">
        <v>3.1</v>
      </c>
      <c r="W55" s="15">
        <v>2.6</v>
      </c>
      <c r="X55" s="15">
        <v>2.7</v>
      </c>
      <c r="Y55" s="15">
        <v>2.5</v>
      </c>
      <c r="Z55" s="15">
        <v>2.2000000000000002</v>
      </c>
      <c r="AA55" s="15">
        <v>2.6</v>
      </c>
      <c r="AB55" s="15">
        <v>2.2000000000000002</v>
      </c>
      <c r="AC55" s="15">
        <v>1.4</v>
      </c>
      <c r="AD55" s="15">
        <v>1.3</v>
      </c>
      <c r="AE55" s="15">
        <v>1.3</v>
      </c>
      <c r="AF55" s="16">
        <v>1.4</v>
      </c>
      <c r="AG55" s="15">
        <v>1.2</v>
      </c>
    </row>
    <row r="56" spans="1:33" ht="21.75" customHeight="1" x14ac:dyDescent="0.25">
      <c r="A56" s="7" t="s">
        <v>166</v>
      </c>
      <c r="B56" s="15">
        <v>3.9</v>
      </c>
      <c r="C56" s="15">
        <v>3.5</v>
      </c>
      <c r="D56" s="15">
        <v>4.4000000000000004</v>
      </c>
      <c r="E56" s="15">
        <v>3.3</v>
      </c>
      <c r="F56" s="15">
        <v>4.0999999999999996</v>
      </c>
      <c r="G56" s="15">
        <v>4.3</v>
      </c>
      <c r="H56" s="15">
        <v>3.5</v>
      </c>
      <c r="I56" s="15">
        <v>3</v>
      </c>
      <c r="J56" s="15">
        <v>3</v>
      </c>
      <c r="K56" s="15">
        <v>2.8</v>
      </c>
      <c r="L56" s="15">
        <v>2.8</v>
      </c>
      <c r="M56" s="15">
        <v>2.7</v>
      </c>
      <c r="N56" s="15">
        <v>2.8</v>
      </c>
      <c r="O56" s="15">
        <v>2.8</v>
      </c>
      <c r="P56" s="15">
        <v>2.5</v>
      </c>
      <c r="Q56" s="15">
        <v>2.5</v>
      </c>
      <c r="R56" s="15">
        <v>2.2999999999999998</v>
      </c>
      <c r="S56" s="15">
        <v>1.9</v>
      </c>
      <c r="T56" s="15">
        <v>1.8</v>
      </c>
      <c r="U56" s="15">
        <v>1.5</v>
      </c>
      <c r="V56" s="15">
        <v>1.3</v>
      </c>
      <c r="W56" s="15">
        <v>1.2</v>
      </c>
      <c r="X56" s="15">
        <v>1.1000000000000001</v>
      </c>
      <c r="Y56" s="15">
        <v>1.1000000000000001</v>
      </c>
      <c r="Z56" s="15">
        <v>1.1000000000000001</v>
      </c>
      <c r="AA56" s="15">
        <v>1</v>
      </c>
      <c r="AB56" s="15">
        <v>0.9</v>
      </c>
      <c r="AC56" s="15">
        <v>0.7</v>
      </c>
      <c r="AD56" s="15">
        <v>0.7</v>
      </c>
      <c r="AE56" s="15">
        <v>0.7</v>
      </c>
      <c r="AF56" s="16">
        <v>0.7</v>
      </c>
      <c r="AG56" s="15">
        <v>0.7</v>
      </c>
    </row>
    <row r="57" spans="1:33" ht="30" customHeight="1" x14ac:dyDescent="0.25">
      <c r="A57" s="10" t="s">
        <v>167</v>
      </c>
      <c r="B57" s="11">
        <v>9916</v>
      </c>
      <c r="C57" s="11">
        <v>11030</v>
      </c>
      <c r="D57" s="11">
        <v>10392</v>
      </c>
      <c r="E57" s="11">
        <v>10043</v>
      </c>
      <c r="F57" s="11">
        <v>14491</v>
      </c>
      <c r="G57" s="11">
        <v>16310</v>
      </c>
      <c r="H57" s="11">
        <v>14900</v>
      </c>
      <c r="I57" s="11">
        <v>19357</v>
      </c>
      <c r="J57" s="11">
        <v>32782</v>
      </c>
      <c r="K57" s="11">
        <v>36447</v>
      </c>
      <c r="L57" s="11">
        <v>37890</v>
      </c>
      <c r="M57" s="11">
        <v>45081</v>
      </c>
      <c r="N57" s="11">
        <v>47768</v>
      </c>
      <c r="O57" s="11">
        <v>47173</v>
      </c>
      <c r="P57" s="11">
        <v>46942</v>
      </c>
      <c r="Q57" s="11">
        <v>46254</v>
      </c>
      <c r="R57" s="11">
        <v>44611</v>
      </c>
      <c r="S57" s="11">
        <v>46728</v>
      </c>
      <c r="T57" s="11">
        <v>45998</v>
      </c>
      <c r="U57" s="11">
        <v>34851</v>
      </c>
      <c r="V57" s="11">
        <v>35339</v>
      </c>
      <c r="W57" s="11">
        <v>33299</v>
      </c>
      <c r="X57" s="11">
        <v>35248</v>
      </c>
      <c r="Y57" s="11">
        <v>35334</v>
      </c>
      <c r="Z57" s="11">
        <v>34636</v>
      </c>
      <c r="AA57" s="11">
        <v>34103</v>
      </c>
      <c r="AB57" s="11">
        <v>33655</v>
      </c>
      <c r="AC57" s="11">
        <v>30822</v>
      </c>
      <c r="AD57" s="11">
        <v>30704</v>
      </c>
      <c r="AE57" s="11">
        <v>31375</v>
      </c>
      <c r="AF57" s="12">
        <v>31647</v>
      </c>
      <c r="AG57" s="11">
        <v>31631</v>
      </c>
    </row>
    <row r="58" spans="1:33" ht="30" customHeight="1" x14ac:dyDescent="0.25">
      <c r="A58" s="4" t="s">
        <v>1430</v>
      </c>
      <c r="B58" s="13">
        <v>27.7</v>
      </c>
      <c r="C58" s="13">
        <v>29.9</v>
      </c>
      <c r="D58" s="13">
        <v>32.5</v>
      </c>
      <c r="E58" s="13">
        <v>34.9</v>
      </c>
      <c r="F58" s="13">
        <v>39.4</v>
      </c>
      <c r="G58" s="13">
        <v>39.5</v>
      </c>
      <c r="H58" s="13">
        <v>34.5</v>
      </c>
      <c r="I58" s="13">
        <v>30.8</v>
      </c>
      <c r="J58" s="13">
        <v>27.7</v>
      </c>
      <c r="K58" s="13">
        <v>26.8</v>
      </c>
      <c r="L58" s="13">
        <v>25.6</v>
      </c>
      <c r="M58" s="13">
        <v>23.9</v>
      </c>
      <c r="N58" s="13">
        <v>23.5</v>
      </c>
      <c r="O58" s="13">
        <v>24.5</v>
      </c>
      <c r="P58" s="13">
        <v>22.2</v>
      </c>
      <c r="Q58" s="13">
        <v>23.3</v>
      </c>
      <c r="R58" s="13">
        <v>21.4</v>
      </c>
      <c r="S58" s="13">
        <v>21.4</v>
      </c>
      <c r="T58" s="13">
        <v>21.3</v>
      </c>
      <c r="U58" s="13">
        <v>18.7</v>
      </c>
      <c r="V58" s="13">
        <v>17</v>
      </c>
      <c r="W58" s="13">
        <v>15.9</v>
      </c>
      <c r="X58" s="13">
        <v>15.2</v>
      </c>
      <c r="Y58" s="13">
        <v>14</v>
      </c>
      <c r="Z58" s="13">
        <v>14.4</v>
      </c>
      <c r="AA58" s="13">
        <v>14.9</v>
      </c>
      <c r="AB58" s="13">
        <v>13.3</v>
      </c>
      <c r="AC58" s="13">
        <v>10.1</v>
      </c>
      <c r="AD58" s="13">
        <v>10.1</v>
      </c>
      <c r="AE58" s="13">
        <v>10.199999999999999</v>
      </c>
      <c r="AF58" s="14">
        <v>10.3</v>
      </c>
      <c r="AG58" s="13">
        <v>10.1</v>
      </c>
    </row>
    <row r="59" spans="1:33" ht="30" customHeight="1" x14ac:dyDescent="0.25">
      <c r="A59" s="10" t="s">
        <v>146</v>
      </c>
      <c r="B59" s="11">
        <v>9898</v>
      </c>
      <c r="C59" s="11">
        <v>11017</v>
      </c>
      <c r="D59" s="11">
        <v>10391</v>
      </c>
      <c r="E59" s="11">
        <v>10059</v>
      </c>
      <c r="F59" s="11">
        <v>14510</v>
      </c>
      <c r="G59" s="11">
        <v>16337</v>
      </c>
      <c r="H59" s="11">
        <v>14937</v>
      </c>
      <c r="I59" s="11">
        <v>19398</v>
      </c>
      <c r="J59" s="11">
        <v>32787</v>
      </c>
      <c r="K59" s="11">
        <v>36450</v>
      </c>
      <c r="L59" s="11">
        <v>37891</v>
      </c>
      <c r="M59" s="11">
        <v>45118</v>
      </c>
      <c r="N59" s="11">
        <v>47796</v>
      </c>
      <c r="O59" s="11">
        <v>47138</v>
      </c>
      <c r="P59" s="11">
        <v>46911</v>
      </c>
      <c r="Q59" s="11">
        <v>46220</v>
      </c>
      <c r="R59" s="11">
        <v>44559</v>
      </c>
      <c r="S59" s="11">
        <v>46754</v>
      </c>
      <c r="T59" s="11">
        <v>46031</v>
      </c>
      <c r="U59" s="11">
        <v>34880</v>
      </c>
      <c r="V59" s="11">
        <v>35371</v>
      </c>
      <c r="W59" s="11">
        <v>33350</v>
      </c>
      <c r="X59" s="11">
        <v>35324</v>
      </c>
      <c r="Y59" s="11">
        <v>35420</v>
      </c>
      <c r="Z59" s="11">
        <v>34715</v>
      </c>
      <c r="AA59" s="11">
        <v>34163</v>
      </c>
      <c r="AB59" s="11">
        <v>33734</v>
      </c>
      <c r="AC59" s="11">
        <v>31183</v>
      </c>
      <c r="AD59" s="11">
        <v>30847</v>
      </c>
      <c r="AE59" s="11">
        <v>31532</v>
      </c>
      <c r="AF59" s="12">
        <v>31799</v>
      </c>
      <c r="AG59" s="11">
        <v>31791</v>
      </c>
    </row>
    <row r="60" spans="1:33" ht="25.5" customHeight="1" x14ac:dyDescent="0.25">
      <c r="A60" s="4" t="s">
        <v>1475</v>
      </c>
      <c r="B60" s="13" t="s">
        <v>169</v>
      </c>
      <c r="C60" s="13" t="s">
        <v>169</v>
      </c>
      <c r="D60" s="13" t="s">
        <v>169</v>
      </c>
      <c r="E60" s="13" t="s">
        <v>169</v>
      </c>
      <c r="F60" s="13" t="s">
        <v>169</v>
      </c>
      <c r="G60" s="13" t="s">
        <v>169</v>
      </c>
      <c r="H60" s="13" t="s">
        <v>169</v>
      </c>
      <c r="I60" s="13" t="s">
        <v>169</v>
      </c>
      <c r="J60" s="13" t="s">
        <v>169</v>
      </c>
      <c r="K60" s="13" t="s">
        <v>169</v>
      </c>
      <c r="L60" s="13" t="s">
        <v>169</v>
      </c>
      <c r="M60" s="13" t="s">
        <v>169</v>
      </c>
      <c r="N60" s="13" t="s">
        <v>169</v>
      </c>
      <c r="O60" s="13" t="s">
        <v>169</v>
      </c>
      <c r="P60" s="13" t="s">
        <v>169</v>
      </c>
      <c r="Q60" s="13" t="s">
        <v>169</v>
      </c>
      <c r="R60" s="13" t="s">
        <v>169</v>
      </c>
      <c r="S60" s="13" t="s">
        <v>169</v>
      </c>
      <c r="T60" s="13" t="s">
        <v>169</v>
      </c>
      <c r="U60" s="13" t="s">
        <v>169</v>
      </c>
      <c r="V60" s="13" t="s">
        <v>169</v>
      </c>
      <c r="W60" s="13" t="s">
        <v>169</v>
      </c>
      <c r="X60" s="13" t="s">
        <v>169</v>
      </c>
      <c r="Y60" s="13">
        <v>6</v>
      </c>
      <c r="Z60" s="13">
        <v>6</v>
      </c>
      <c r="AA60" s="13">
        <v>6.8</v>
      </c>
      <c r="AB60" s="13">
        <v>6.6</v>
      </c>
      <c r="AC60" s="13">
        <v>6.3</v>
      </c>
      <c r="AD60" s="13">
        <v>5.7</v>
      </c>
      <c r="AE60" s="13">
        <v>7.1</v>
      </c>
      <c r="AF60" s="14">
        <v>6.2</v>
      </c>
      <c r="AG60" s="13">
        <v>7.1</v>
      </c>
    </row>
    <row r="61" spans="1:33" ht="15.75" x14ac:dyDescent="0.25">
      <c r="A61" s="7" t="s">
        <v>170</v>
      </c>
      <c r="B61" s="15" t="s">
        <v>169</v>
      </c>
      <c r="C61" s="15" t="s">
        <v>169</v>
      </c>
      <c r="D61" s="15" t="s">
        <v>169</v>
      </c>
      <c r="E61" s="15" t="s">
        <v>169</v>
      </c>
      <c r="F61" s="15" t="s">
        <v>169</v>
      </c>
      <c r="G61" s="15" t="s">
        <v>169</v>
      </c>
      <c r="H61" s="15" t="s">
        <v>169</v>
      </c>
      <c r="I61" s="15" t="s">
        <v>169</v>
      </c>
      <c r="J61" s="15" t="s">
        <v>169</v>
      </c>
      <c r="K61" s="15" t="s">
        <v>169</v>
      </c>
      <c r="L61" s="15" t="s">
        <v>169</v>
      </c>
      <c r="M61" s="15" t="s">
        <v>169</v>
      </c>
      <c r="N61" s="15" t="s">
        <v>169</v>
      </c>
      <c r="O61" s="15" t="s">
        <v>169</v>
      </c>
      <c r="P61" s="15" t="s">
        <v>169</v>
      </c>
      <c r="Q61" s="15" t="s">
        <v>169</v>
      </c>
      <c r="R61" s="15" t="s">
        <v>169</v>
      </c>
      <c r="S61" s="15" t="s">
        <v>169</v>
      </c>
      <c r="T61" s="15" t="s">
        <v>169</v>
      </c>
      <c r="U61" s="15" t="s">
        <v>169</v>
      </c>
      <c r="V61" s="15" t="s">
        <v>169</v>
      </c>
      <c r="W61" s="15" t="s">
        <v>169</v>
      </c>
      <c r="X61" s="15" t="s">
        <v>169</v>
      </c>
      <c r="Y61" s="15">
        <v>4.3</v>
      </c>
      <c r="Z61" s="15">
        <v>4.2</v>
      </c>
      <c r="AA61" s="15">
        <v>4.5999999999999996</v>
      </c>
      <c r="AB61" s="15">
        <v>4.5</v>
      </c>
      <c r="AC61" s="15">
        <v>3.7</v>
      </c>
      <c r="AD61" s="15">
        <v>3.3</v>
      </c>
      <c r="AE61" s="15">
        <v>4</v>
      </c>
      <c r="AF61" s="16">
        <v>3.5</v>
      </c>
      <c r="AG61" s="15">
        <v>4.3</v>
      </c>
    </row>
    <row r="62" spans="1:33" ht="15.75" x14ac:dyDescent="0.25">
      <c r="A62" s="7" t="s">
        <v>171</v>
      </c>
      <c r="B62" s="15" t="s">
        <v>169</v>
      </c>
      <c r="C62" s="15" t="s">
        <v>169</v>
      </c>
      <c r="D62" s="15" t="s">
        <v>169</v>
      </c>
      <c r="E62" s="15" t="s">
        <v>169</v>
      </c>
      <c r="F62" s="15" t="s">
        <v>169</v>
      </c>
      <c r="G62" s="15" t="s">
        <v>169</v>
      </c>
      <c r="H62" s="15" t="s">
        <v>169</v>
      </c>
      <c r="I62" s="15" t="s">
        <v>169</v>
      </c>
      <c r="J62" s="15" t="s">
        <v>169</v>
      </c>
      <c r="K62" s="15" t="s">
        <v>169</v>
      </c>
      <c r="L62" s="15" t="s">
        <v>169</v>
      </c>
      <c r="M62" s="15" t="s">
        <v>169</v>
      </c>
      <c r="N62" s="15" t="s">
        <v>169</v>
      </c>
      <c r="O62" s="15" t="s">
        <v>169</v>
      </c>
      <c r="P62" s="15" t="s">
        <v>169</v>
      </c>
      <c r="Q62" s="15" t="s">
        <v>169</v>
      </c>
      <c r="R62" s="15" t="s">
        <v>169</v>
      </c>
      <c r="S62" s="15" t="s">
        <v>169</v>
      </c>
      <c r="T62" s="15" t="s">
        <v>169</v>
      </c>
      <c r="U62" s="15" t="s">
        <v>169</v>
      </c>
      <c r="V62" s="15" t="s">
        <v>169</v>
      </c>
      <c r="W62" s="15" t="s">
        <v>169</v>
      </c>
      <c r="X62" s="15" t="s">
        <v>169</v>
      </c>
      <c r="Y62" s="15">
        <v>1.5</v>
      </c>
      <c r="Z62" s="15">
        <v>1.7</v>
      </c>
      <c r="AA62" s="15">
        <v>2</v>
      </c>
      <c r="AB62" s="15">
        <v>1.8</v>
      </c>
      <c r="AC62" s="15">
        <v>1.6</v>
      </c>
      <c r="AD62" s="15">
        <v>1.7</v>
      </c>
      <c r="AE62" s="15">
        <v>2.1</v>
      </c>
      <c r="AF62" s="16">
        <v>1.9</v>
      </c>
      <c r="AG62" s="15">
        <v>2</v>
      </c>
    </row>
    <row r="63" spans="1:33" ht="18" customHeight="1" x14ac:dyDescent="0.25">
      <c r="A63" s="7" t="s">
        <v>172</v>
      </c>
      <c r="B63" s="15" t="s">
        <v>169</v>
      </c>
      <c r="C63" s="15" t="s">
        <v>169</v>
      </c>
      <c r="D63" s="15" t="s">
        <v>169</v>
      </c>
      <c r="E63" s="15" t="s">
        <v>169</v>
      </c>
      <c r="F63" s="15" t="s">
        <v>169</v>
      </c>
      <c r="G63" s="15" t="s">
        <v>169</v>
      </c>
      <c r="H63" s="15" t="s">
        <v>169</v>
      </c>
      <c r="I63" s="15" t="s">
        <v>169</v>
      </c>
      <c r="J63" s="15" t="s">
        <v>169</v>
      </c>
      <c r="K63" s="15" t="s">
        <v>169</v>
      </c>
      <c r="L63" s="15" t="s">
        <v>169</v>
      </c>
      <c r="M63" s="15" t="s">
        <v>169</v>
      </c>
      <c r="N63" s="15" t="s">
        <v>169</v>
      </c>
      <c r="O63" s="15" t="s">
        <v>169</v>
      </c>
      <c r="P63" s="15" t="s">
        <v>169</v>
      </c>
      <c r="Q63" s="15" t="s">
        <v>169</v>
      </c>
      <c r="R63" s="15" t="s">
        <v>169</v>
      </c>
      <c r="S63" s="15" t="s">
        <v>169</v>
      </c>
      <c r="T63" s="15" t="s">
        <v>169</v>
      </c>
      <c r="U63" s="15" t="s">
        <v>169</v>
      </c>
      <c r="V63" s="15" t="s">
        <v>169</v>
      </c>
      <c r="W63" s="15" t="s">
        <v>169</v>
      </c>
      <c r="X63" s="15" t="s">
        <v>169</v>
      </c>
      <c r="Y63" s="15">
        <v>0.1</v>
      </c>
      <c r="Z63" s="15">
        <v>0.1</v>
      </c>
      <c r="AA63" s="15">
        <v>0.1</v>
      </c>
      <c r="AB63" s="15">
        <v>0.1</v>
      </c>
      <c r="AC63" s="15">
        <v>0.8</v>
      </c>
      <c r="AD63" s="15">
        <v>0.6</v>
      </c>
      <c r="AE63" s="15">
        <v>0.7</v>
      </c>
      <c r="AF63" s="16">
        <v>0.6</v>
      </c>
      <c r="AG63" s="15">
        <v>0.6</v>
      </c>
    </row>
    <row r="64" spans="1:33" ht="17.25" customHeight="1" x14ac:dyDescent="0.25">
      <c r="A64" s="7" t="s">
        <v>173</v>
      </c>
      <c r="B64" s="15" t="s">
        <v>169</v>
      </c>
      <c r="C64" s="15" t="s">
        <v>169</v>
      </c>
      <c r="D64" s="15" t="s">
        <v>169</v>
      </c>
      <c r="E64" s="15" t="s">
        <v>169</v>
      </c>
      <c r="F64" s="15" t="s">
        <v>169</v>
      </c>
      <c r="G64" s="15" t="s">
        <v>169</v>
      </c>
      <c r="H64" s="15" t="s">
        <v>169</v>
      </c>
      <c r="I64" s="15" t="s">
        <v>169</v>
      </c>
      <c r="J64" s="15" t="s">
        <v>169</v>
      </c>
      <c r="K64" s="15" t="s">
        <v>169</v>
      </c>
      <c r="L64" s="15" t="s">
        <v>169</v>
      </c>
      <c r="M64" s="15" t="s">
        <v>169</v>
      </c>
      <c r="N64" s="15" t="s">
        <v>169</v>
      </c>
      <c r="O64" s="15" t="s">
        <v>169</v>
      </c>
      <c r="P64" s="15" t="s">
        <v>169</v>
      </c>
      <c r="Q64" s="15" t="s">
        <v>169</v>
      </c>
      <c r="R64" s="15" t="s">
        <v>169</v>
      </c>
      <c r="S64" s="15" t="s">
        <v>169</v>
      </c>
      <c r="T64" s="15" t="s">
        <v>169</v>
      </c>
      <c r="U64" s="15" t="s">
        <v>169</v>
      </c>
      <c r="V64" s="15" t="s">
        <v>169</v>
      </c>
      <c r="W64" s="15" t="s">
        <v>169</v>
      </c>
      <c r="X64" s="15" t="s">
        <v>169</v>
      </c>
      <c r="Y64" s="15">
        <v>0.2</v>
      </c>
      <c r="Z64" s="15">
        <v>0.1</v>
      </c>
      <c r="AA64" s="15">
        <v>0.3</v>
      </c>
      <c r="AB64" s="15">
        <v>0.4</v>
      </c>
      <c r="AC64" s="15">
        <v>0.3</v>
      </c>
      <c r="AD64" s="15">
        <v>0.2</v>
      </c>
      <c r="AE64" s="15">
        <v>0.4</v>
      </c>
      <c r="AF64" s="16">
        <v>0.3</v>
      </c>
      <c r="AG64" s="15">
        <v>0.4</v>
      </c>
    </row>
    <row r="65" spans="1:33" ht="24" customHeight="1" x14ac:dyDescent="0.25">
      <c r="A65" s="4" t="s">
        <v>1481</v>
      </c>
      <c r="B65" s="13" t="s">
        <v>169</v>
      </c>
      <c r="C65" s="13" t="s">
        <v>169</v>
      </c>
      <c r="D65" s="13" t="s">
        <v>169</v>
      </c>
      <c r="E65" s="13" t="s">
        <v>169</v>
      </c>
      <c r="F65" s="13" t="s">
        <v>169</v>
      </c>
      <c r="G65" s="13" t="s">
        <v>169</v>
      </c>
      <c r="H65" s="13" t="s">
        <v>169</v>
      </c>
      <c r="I65" s="13" t="s">
        <v>169</v>
      </c>
      <c r="J65" s="13" t="s">
        <v>169</v>
      </c>
      <c r="K65" s="13" t="s">
        <v>169</v>
      </c>
      <c r="L65" s="13" t="s">
        <v>169</v>
      </c>
      <c r="M65" s="13" t="s">
        <v>169</v>
      </c>
      <c r="N65" s="13" t="s">
        <v>169</v>
      </c>
      <c r="O65" s="13" t="s">
        <v>169</v>
      </c>
      <c r="P65" s="13" t="s">
        <v>169</v>
      </c>
      <c r="Q65" s="13" t="s">
        <v>169</v>
      </c>
      <c r="R65" s="13" t="s">
        <v>169</v>
      </c>
      <c r="S65" s="13" t="s">
        <v>169</v>
      </c>
      <c r="T65" s="13" t="s">
        <v>169</v>
      </c>
      <c r="U65" s="13" t="s">
        <v>169</v>
      </c>
      <c r="V65" s="13" t="s">
        <v>169</v>
      </c>
      <c r="W65" s="13" t="s">
        <v>169</v>
      </c>
      <c r="X65" s="13" t="s">
        <v>169</v>
      </c>
      <c r="Y65" s="13">
        <v>2.9</v>
      </c>
      <c r="Z65" s="13">
        <v>2.2000000000000002</v>
      </c>
      <c r="AA65" s="13">
        <v>1.8</v>
      </c>
      <c r="AB65" s="13">
        <v>1.6</v>
      </c>
      <c r="AC65" s="13">
        <v>1.3</v>
      </c>
      <c r="AD65" s="13">
        <v>1.7</v>
      </c>
      <c r="AE65" s="13">
        <v>1.3</v>
      </c>
      <c r="AF65" s="14">
        <v>1.7</v>
      </c>
      <c r="AG65" s="13">
        <v>1.2</v>
      </c>
    </row>
    <row r="66" spans="1:33" ht="15.75" x14ac:dyDescent="0.25">
      <c r="A66" s="7" t="s">
        <v>174</v>
      </c>
      <c r="B66" s="15" t="s">
        <v>169</v>
      </c>
      <c r="C66" s="15" t="s">
        <v>169</v>
      </c>
      <c r="D66" s="15" t="s">
        <v>169</v>
      </c>
      <c r="E66" s="15" t="s">
        <v>169</v>
      </c>
      <c r="F66" s="15" t="s">
        <v>169</v>
      </c>
      <c r="G66" s="15" t="s">
        <v>169</v>
      </c>
      <c r="H66" s="15" t="s">
        <v>169</v>
      </c>
      <c r="I66" s="15" t="s">
        <v>169</v>
      </c>
      <c r="J66" s="15" t="s">
        <v>169</v>
      </c>
      <c r="K66" s="15" t="s">
        <v>169</v>
      </c>
      <c r="L66" s="15" t="s">
        <v>169</v>
      </c>
      <c r="M66" s="15" t="s">
        <v>169</v>
      </c>
      <c r="N66" s="15" t="s">
        <v>169</v>
      </c>
      <c r="O66" s="15" t="s">
        <v>169</v>
      </c>
      <c r="P66" s="15" t="s">
        <v>169</v>
      </c>
      <c r="Q66" s="15" t="s">
        <v>169</v>
      </c>
      <c r="R66" s="15" t="s">
        <v>169</v>
      </c>
      <c r="S66" s="15" t="s">
        <v>169</v>
      </c>
      <c r="T66" s="15" t="s">
        <v>169</v>
      </c>
      <c r="U66" s="15" t="s">
        <v>169</v>
      </c>
      <c r="V66" s="15" t="s">
        <v>169</v>
      </c>
      <c r="W66" s="15" t="s">
        <v>169</v>
      </c>
      <c r="X66" s="15" t="s">
        <v>169</v>
      </c>
      <c r="Y66" s="15">
        <v>1.9</v>
      </c>
      <c r="Z66" s="15">
        <v>1.3</v>
      </c>
      <c r="AA66" s="15">
        <v>0.8</v>
      </c>
      <c r="AB66" s="15">
        <v>0.6</v>
      </c>
      <c r="AC66" s="15">
        <v>0.2</v>
      </c>
      <c r="AD66" s="15">
        <v>0.3</v>
      </c>
      <c r="AE66" s="15">
        <v>0.3</v>
      </c>
      <c r="AF66" s="16">
        <v>0.2</v>
      </c>
      <c r="AG66" s="15">
        <v>0.3</v>
      </c>
    </row>
    <row r="67" spans="1:33" ht="13.5" customHeight="1" x14ac:dyDescent="0.25">
      <c r="A67" s="7" t="s">
        <v>175</v>
      </c>
      <c r="B67" s="15" t="s">
        <v>169</v>
      </c>
      <c r="C67" s="15" t="s">
        <v>169</v>
      </c>
      <c r="D67" s="15" t="s">
        <v>169</v>
      </c>
      <c r="E67" s="15" t="s">
        <v>169</v>
      </c>
      <c r="F67" s="15" t="s">
        <v>169</v>
      </c>
      <c r="G67" s="15" t="s">
        <v>169</v>
      </c>
      <c r="H67" s="15" t="s">
        <v>169</v>
      </c>
      <c r="I67" s="15" t="s">
        <v>169</v>
      </c>
      <c r="J67" s="15" t="s">
        <v>169</v>
      </c>
      <c r="K67" s="15" t="s">
        <v>169</v>
      </c>
      <c r="L67" s="15" t="s">
        <v>169</v>
      </c>
      <c r="M67" s="15" t="s">
        <v>169</v>
      </c>
      <c r="N67" s="15" t="s">
        <v>169</v>
      </c>
      <c r="O67" s="15" t="s">
        <v>169</v>
      </c>
      <c r="P67" s="15" t="s">
        <v>169</v>
      </c>
      <c r="Q67" s="15" t="s">
        <v>169</v>
      </c>
      <c r="R67" s="15" t="s">
        <v>169</v>
      </c>
      <c r="S67" s="15" t="s">
        <v>169</v>
      </c>
      <c r="T67" s="15" t="s">
        <v>169</v>
      </c>
      <c r="U67" s="15" t="s">
        <v>169</v>
      </c>
      <c r="V67" s="15" t="s">
        <v>169</v>
      </c>
      <c r="W67" s="15" t="s">
        <v>169</v>
      </c>
      <c r="X67" s="15" t="s">
        <v>169</v>
      </c>
      <c r="Y67" s="15">
        <v>1.1000000000000001</v>
      </c>
      <c r="Z67" s="15">
        <v>0.9</v>
      </c>
      <c r="AA67" s="15">
        <v>1</v>
      </c>
      <c r="AB67" s="15">
        <v>1</v>
      </c>
      <c r="AC67" s="15">
        <v>1.1000000000000001</v>
      </c>
      <c r="AD67" s="15">
        <v>1.5</v>
      </c>
      <c r="AE67" s="15">
        <v>1</v>
      </c>
      <c r="AF67" s="16">
        <v>1.4</v>
      </c>
      <c r="AG67" s="15">
        <v>1</v>
      </c>
    </row>
    <row r="68" spans="1:33" ht="26.25" customHeight="1" x14ac:dyDescent="0.25">
      <c r="A68" s="10" t="s">
        <v>146</v>
      </c>
      <c r="B68" s="17" t="s">
        <v>169</v>
      </c>
      <c r="C68" s="17" t="s">
        <v>169</v>
      </c>
      <c r="D68" s="17" t="s">
        <v>169</v>
      </c>
      <c r="E68" s="17" t="s">
        <v>169</v>
      </c>
      <c r="F68" s="17" t="s">
        <v>169</v>
      </c>
      <c r="G68" s="17" t="s">
        <v>169</v>
      </c>
      <c r="H68" s="17" t="s">
        <v>169</v>
      </c>
      <c r="I68" s="17" t="s">
        <v>169</v>
      </c>
      <c r="J68" s="17" t="s">
        <v>169</v>
      </c>
      <c r="K68" s="17" t="s">
        <v>169</v>
      </c>
      <c r="L68" s="17" t="s">
        <v>169</v>
      </c>
      <c r="M68" s="17" t="s">
        <v>169</v>
      </c>
      <c r="N68" s="17" t="s">
        <v>169</v>
      </c>
      <c r="O68" s="17" t="s">
        <v>169</v>
      </c>
      <c r="P68" s="17" t="s">
        <v>169</v>
      </c>
      <c r="Q68" s="17" t="s">
        <v>169</v>
      </c>
      <c r="R68" s="17" t="s">
        <v>169</v>
      </c>
      <c r="S68" s="17" t="s">
        <v>169</v>
      </c>
      <c r="T68" s="17" t="s">
        <v>169</v>
      </c>
      <c r="U68" s="17" t="s">
        <v>169</v>
      </c>
      <c r="V68" s="17" t="s">
        <v>169</v>
      </c>
      <c r="W68" s="17" t="s">
        <v>169</v>
      </c>
      <c r="X68" s="17" t="s">
        <v>169</v>
      </c>
      <c r="Y68" s="11">
        <v>17171</v>
      </c>
      <c r="Z68" s="11">
        <v>25725</v>
      </c>
      <c r="AA68" s="11">
        <v>34163</v>
      </c>
      <c r="AB68" s="11">
        <v>33734</v>
      </c>
      <c r="AC68" s="11">
        <v>31183</v>
      </c>
      <c r="AD68" s="11">
        <v>30847</v>
      </c>
      <c r="AE68" s="11">
        <v>31532</v>
      </c>
      <c r="AF68" s="12">
        <v>31799</v>
      </c>
      <c r="AG68" s="11">
        <v>31791</v>
      </c>
    </row>
    <row r="69" spans="1:33" ht="30" customHeight="1" x14ac:dyDescent="0.25">
      <c r="A69" s="4" t="s">
        <v>1482</v>
      </c>
      <c r="B69" s="13" t="s">
        <v>169</v>
      </c>
      <c r="C69" s="13" t="s">
        <v>169</v>
      </c>
      <c r="D69" s="13" t="s">
        <v>169</v>
      </c>
      <c r="E69" s="13" t="s">
        <v>169</v>
      </c>
      <c r="F69" s="13" t="s">
        <v>169</v>
      </c>
      <c r="G69" s="13" t="s">
        <v>169</v>
      </c>
      <c r="H69" s="13" t="s">
        <v>169</v>
      </c>
      <c r="I69" s="13" t="s">
        <v>169</v>
      </c>
      <c r="J69" s="13" t="s">
        <v>169</v>
      </c>
      <c r="K69" s="13" t="s">
        <v>169</v>
      </c>
      <c r="L69" s="13" t="s">
        <v>169</v>
      </c>
      <c r="M69" s="13" t="s">
        <v>169</v>
      </c>
      <c r="N69" s="13" t="s">
        <v>169</v>
      </c>
      <c r="O69" s="13" t="s">
        <v>169</v>
      </c>
      <c r="P69" s="13" t="s">
        <v>169</v>
      </c>
      <c r="Q69" s="13" t="s">
        <v>169</v>
      </c>
      <c r="R69" s="13" t="s">
        <v>169</v>
      </c>
      <c r="S69" s="13" t="s">
        <v>169</v>
      </c>
      <c r="T69" s="13" t="s">
        <v>169</v>
      </c>
      <c r="U69" s="13" t="s">
        <v>169</v>
      </c>
      <c r="V69" s="13" t="s">
        <v>169</v>
      </c>
      <c r="W69" s="13" t="s">
        <v>169</v>
      </c>
      <c r="X69" s="13" t="s">
        <v>169</v>
      </c>
      <c r="Y69" s="13">
        <v>20.5</v>
      </c>
      <c r="Z69" s="13">
        <v>20.2</v>
      </c>
      <c r="AA69" s="13">
        <v>21.1</v>
      </c>
      <c r="AB69" s="13">
        <v>19.3</v>
      </c>
      <c r="AC69" s="13">
        <v>16.100000000000001</v>
      </c>
      <c r="AD69" s="13">
        <v>16.100000000000001</v>
      </c>
      <c r="AE69" s="13">
        <v>17.100000000000001</v>
      </c>
      <c r="AF69" s="14">
        <v>16.7</v>
      </c>
      <c r="AG69" s="13">
        <v>17</v>
      </c>
    </row>
    <row r="70" spans="1:33" ht="21" customHeight="1" x14ac:dyDescent="0.25">
      <c r="A70" s="10" t="s">
        <v>146</v>
      </c>
      <c r="B70" s="17" t="s">
        <v>169</v>
      </c>
      <c r="C70" s="17" t="s">
        <v>169</v>
      </c>
      <c r="D70" s="17" t="s">
        <v>169</v>
      </c>
      <c r="E70" s="17" t="s">
        <v>169</v>
      </c>
      <c r="F70" s="17" t="s">
        <v>169</v>
      </c>
      <c r="G70" s="17" t="s">
        <v>169</v>
      </c>
      <c r="H70" s="17" t="s">
        <v>169</v>
      </c>
      <c r="I70" s="17" t="s">
        <v>169</v>
      </c>
      <c r="J70" s="17" t="s">
        <v>169</v>
      </c>
      <c r="K70" s="17" t="s">
        <v>169</v>
      </c>
      <c r="L70" s="17" t="s">
        <v>169</v>
      </c>
      <c r="M70" s="17" t="s">
        <v>169</v>
      </c>
      <c r="N70" s="17" t="s">
        <v>169</v>
      </c>
      <c r="O70" s="17" t="s">
        <v>169</v>
      </c>
      <c r="P70" s="17" t="s">
        <v>169</v>
      </c>
      <c r="Q70" s="17" t="s">
        <v>169</v>
      </c>
      <c r="R70" s="17" t="s">
        <v>169</v>
      </c>
      <c r="S70" s="17" t="s">
        <v>169</v>
      </c>
      <c r="T70" s="17" t="s">
        <v>169</v>
      </c>
      <c r="U70" s="17" t="s">
        <v>169</v>
      </c>
      <c r="V70" s="17" t="s">
        <v>169</v>
      </c>
      <c r="W70" s="17" t="s">
        <v>169</v>
      </c>
      <c r="X70" s="17" t="s">
        <v>169</v>
      </c>
      <c r="Y70" s="11">
        <v>17171</v>
      </c>
      <c r="Z70" s="11">
        <v>25725</v>
      </c>
      <c r="AA70" s="11">
        <v>34163</v>
      </c>
      <c r="AB70" s="11">
        <v>33734</v>
      </c>
      <c r="AC70" s="11">
        <v>31183</v>
      </c>
      <c r="AD70" s="11">
        <v>30847</v>
      </c>
      <c r="AE70" s="11">
        <v>31532</v>
      </c>
      <c r="AF70" s="12">
        <v>31799</v>
      </c>
      <c r="AG70" s="11">
        <v>31791</v>
      </c>
    </row>
  </sheetData>
  <hyperlinks>
    <hyperlink ref="A4" location=" 'Table of contents'!A1" display="Link to Table of contents." xr:uid="{00000000-0004-0000-0700-000001000000}"/>
    <hyperlink ref="A6" location="'Notes_A1 to A4'!A1" display="Link to Notes page." xr:uid="{558DBCBC-87DF-474D-B2CB-51CE258662ED}"/>
  </hyperlink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W62"/>
  <sheetViews>
    <sheetView showGridLines="0" workbookViewId="0"/>
  </sheetViews>
  <sheetFormatPr defaultRowHeight="15" customHeight="1" x14ac:dyDescent="0.25"/>
  <cols>
    <col min="1" max="1" width="105.7109375" customWidth="1"/>
    <col min="2" max="49" width="16.7109375" customWidth="1"/>
  </cols>
  <sheetData>
    <row r="1" spans="1:49" ht="20.100000000000001" customHeight="1" x14ac:dyDescent="0.25">
      <c r="A1" s="836" t="s">
        <v>1483</v>
      </c>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4"/>
      <c r="AM1" s="124"/>
      <c r="AN1" s="124"/>
      <c r="AO1" s="124"/>
      <c r="AP1" s="124"/>
      <c r="AQ1" s="124"/>
      <c r="AR1" s="124"/>
      <c r="AS1" s="124"/>
      <c r="AT1" s="124"/>
      <c r="AU1" s="124"/>
      <c r="AV1" s="124"/>
      <c r="AW1" s="124"/>
    </row>
    <row r="2" spans="1:49" ht="20.100000000000001" customHeight="1" x14ac:dyDescent="0.25">
      <c r="A2" s="185" t="s">
        <v>176</v>
      </c>
      <c r="B2" s="124"/>
      <c r="C2" s="124"/>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c r="AH2" s="124"/>
      <c r="AI2" s="124"/>
      <c r="AJ2" s="124"/>
      <c r="AK2" s="124"/>
      <c r="AL2" s="124"/>
      <c r="AM2" s="124"/>
      <c r="AN2" s="124"/>
      <c r="AO2" s="124"/>
      <c r="AP2" s="124"/>
      <c r="AQ2" s="124"/>
      <c r="AR2" s="124"/>
      <c r="AS2" s="124"/>
      <c r="AT2" s="124"/>
      <c r="AU2" s="124"/>
      <c r="AV2" s="124"/>
      <c r="AW2" s="124"/>
    </row>
    <row r="3" spans="1:49" ht="20.100000000000001" customHeight="1" x14ac:dyDescent="0.25">
      <c r="A3" s="1" t="s">
        <v>177</v>
      </c>
      <c r="B3" s="124"/>
      <c r="C3" s="124"/>
      <c r="D3" s="124"/>
      <c r="E3" s="124"/>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c r="AH3" s="124"/>
      <c r="AI3" s="124"/>
      <c r="AJ3" s="124"/>
      <c r="AK3" s="124"/>
      <c r="AL3" s="124"/>
      <c r="AM3" s="124"/>
      <c r="AN3" s="124"/>
      <c r="AO3" s="124"/>
      <c r="AP3" s="124"/>
      <c r="AQ3" s="124"/>
      <c r="AR3" s="124"/>
      <c r="AS3" s="124"/>
      <c r="AT3" s="124"/>
      <c r="AU3" s="124"/>
      <c r="AV3" s="124"/>
      <c r="AW3" s="124"/>
    </row>
    <row r="4" spans="1:49" ht="20.100000000000001" customHeight="1" x14ac:dyDescent="0.25">
      <c r="A4" s="2" t="s">
        <v>97</v>
      </c>
      <c r="B4" s="124"/>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c r="AH4" s="124"/>
      <c r="AI4" s="124"/>
      <c r="AJ4" s="124"/>
      <c r="AK4" s="124"/>
      <c r="AL4" s="124"/>
      <c r="AM4" s="124"/>
      <c r="AN4" s="124"/>
      <c r="AO4" s="124"/>
      <c r="AP4" s="124"/>
      <c r="AQ4" s="124"/>
      <c r="AR4" s="124"/>
      <c r="AS4" s="124"/>
      <c r="AT4" s="124"/>
      <c r="AU4" s="124"/>
      <c r="AV4" s="124"/>
      <c r="AW4" s="124"/>
    </row>
    <row r="5" spans="1:49" ht="20.100000000000001" customHeight="1" x14ac:dyDescent="0.25">
      <c r="A5" s="1" t="s">
        <v>98</v>
      </c>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c r="AG5" s="124"/>
      <c r="AH5" s="124"/>
      <c r="AI5" s="124"/>
      <c r="AJ5" s="124"/>
      <c r="AK5" s="124"/>
      <c r="AL5" s="124"/>
      <c r="AM5" s="124"/>
      <c r="AN5" s="124"/>
      <c r="AO5" s="124"/>
      <c r="AP5" s="124"/>
      <c r="AQ5" s="124"/>
      <c r="AR5" s="124"/>
      <c r="AS5" s="124"/>
      <c r="AT5" s="124"/>
      <c r="AU5" s="124"/>
      <c r="AV5" s="124"/>
      <c r="AW5" s="124"/>
    </row>
    <row r="6" spans="1:49" ht="20.100000000000001" customHeight="1" x14ac:dyDescent="0.25">
      <c r="A6" s="2" t="s">
        <v>99</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4"/>
      <c r="AH6" s="124"/>
      <c r="AI6" s="124"/>
      <c r="AJ6" s="124"/>
      <c r="AK6" s="124"/>
      <c r="AL6" s="124"/>
      <c r="AM6" s="124"/>
      <c r="AN6" s="124"/>
      <c r="AO6" s="124"/>
      <c r="AP6" s="124"/>
      <c r="AQ6" s="124"/>
      <c r="AR6" s="124"/>
      <c r="AS6" s="124"/>
      <c r="AT6" s="124"/>
      <c r="AU6" s="124"/>
      <c r="AV6" s="124"/>
      <c r="AW6" s="124"/>
    </row>
    <row r="7" spans="1:49" ht="20.100000000000001" customHeight="1" x14ac:dyDescent="0.25">
      <c r="A7" s="1" t="s">
        <v>100</v>
      </c>
      <c r="B7" s="124"/>
      <c r="C7" s="124"/>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c r="AG7" s="124"/>
      <c r="AH7" s="124"/>
      <c r="AI7" s="124"/>
      <c r="AJ7" s="124"/>
      <c r="AK7" s="124"/>
      <c r="AL7" s="124"/>
      <c r="AM7" s="124"/>
      <c r="AN7" s="124"/>
      <c r="AO7" s="124"/>
      <c r="AP7" s="124"/>
      <c r="AQ7" s="124"/>
      <c r="AR7" s="124"/>
      <c r="AS7" s="124"/>
      <c r="AT7" s="124"/>
      <c r="AU7" s="124"/>
      <c r="AV7" s="124"/>
      <c r="AW7" s="124"/>
    </row>
    <row r="8" spans="1:49" ht="80.099999999999994" customHeight="1" x14ac:dyDescent="0.25">
      <c r="A8" s="31" t="s">
        <v>101</v>
      </c>
      <c r="B8" s="99" t="s">
        <v>178</v>
      </c>
      <c r="C8" s="99" t="s">
        <v>179</v>
      </c>
      <c r="D8" s="99" t="s">
        <v>180</v>
      </c>
      <c r="E8" s="99" t="s">
        <v>181</v>
      </c>
      <c r="F8" s="99" t="s">
        <v>182</v>
      </c>
      <c r="G8" s="99" t="s">
        <v>183</v>
      </c>
      <c r="H8" s="99" t="s">
        <v>184</v>
      </c>
      <c r="I8" s="99" t="s">
        <v>185</v>
      </c>
      <c r="J8" s="99" t="s">
        <v>186</v>
      </c>
      <c r="K8" s="99" t="s">
        <v>187</v>
      </c>
      <c r="L8" s="99" t="s">
        <v>188</v>
      </c>
      <c r="M8" s="99" t="s">
        <v>189</v>
      </c>
      <c r="N8" s="99" t="s">
        <v>190</v>
      </c>
      <c r="O8" s="99" t="s">
        <v>191</v>
      </c>
      <c r="P8" s="99" t="s">
        <v>192</v>
      </c>
      <c r="Q8" s="99" t="s">
        <v>193</v>
      </c>
      <c r="R8" s="99" t="s">
        <v>194</v>
      </c>
      <c r="S8" s="99" t="s">
        <v>195</v>
      </c>
      <c r="T8" s="99" t="s">
        <v>196</v>
      </c>
      <c r="U8" s="99" t="s">
        <v>197</v>
      </c>
      <c r="V8" s="99" t="s">
        <v>198</v>
      </c>
      <c r="W8" s="99" t="s">
        <v>199</v>
      </c>
      <c r="X8" s="99" t="s">
        <v>200</v>
      </c>
      <c r="Y8" s="99" t="s">
        <v>201</v>
      </c>
      <c r="Z8" s="99" t="s">
        <v>202</v>
      </c>
      <c r="AA8" s="99" t="s">
        <v>203</v>
      </c>
      <c r="AB8" s="99" t="s">
        <v>204</v>
      </c>
      <c r="AC8" s="99" t="s">
        <v>205</v>
      </c>
      <c r="AD8" s="99" t="s">
        <v>206</v>
      </c>
      <c r="AE8" s="99" t="s">
        <v>207</v>
      </c>
      <c r="AF8" s="99" t="s">
        <v>208</v>
      </c>
      <c r="AG8" s="99" t="s">
        <v>209</v>
      </c>
      <c r="AH8" s="99" t="s">
        <v>210</v>
      </c>
      <c r="AI8" s="99" t="s">
        <v>211</v>
      </c>
      <c r="AJ8" s="99" t="s">
        <v>212</v>
      </c>
      <c r="AK8" s="99" t="s">
        <v>213</v>
      </c>
      <c r="AL8" s="99" t="s">
        <v>214</v>
      </c>
      <c r="AM8" s="99" t="s">
        <v>215</v>
      </c>
      <c r="AN8" s="99" t="s">
        <v>216</v>
      </c>
      <c r="AO8" s="99" t="s">
        <v>217</v>
      </c>
      <c r="AP8" s="99" t="s">
        <v>218</v>
      </c>
      <c r="AQ8" s="99" t="s">
        <v>219</v>
      </c>
      <c r="AR8" s="99" t="s">
        <v>220</v>
      </c>
      <c r="AS8" s="99" t="s">
        <v>221</v>
      </c>
      <c r="AT8" s="99" t="s">
        <v>222</v>
      </c>
      <c r="AU8" s="99" t="s">
        <v>223</v>
      </c>
      <c r="AV8" s="99" t="s">
        <v>224</v>
      </c>
      <c r="AW8" s="99" t="s">
        <v>225</v>
      </c>
    </row>
    <row r="9" spans="1:49" ht="15.75" x14ac:dyDescent="0.25">
      <c r="A9" s="4" t="s">
        <v>134</v>
      </c>
      <c r="B9" s="13">
        <v>-3.3140987113964382</v>
      </c>
      <c r="C9" s="5" t="s">
        <v>226</v>
      </c>
      <c r="D9" s="13">
        <v>-2.9866293113964382</v>
      </c>
      <c r="E9" s="5" t="s">
        <v>226</v>
      </c>
      <c r="F9" s="13">
        <v>-2.5837871113964379</v>
      </c>
      <c r="G9" s="5" t="s">
        <v>226</v>
      </c>
      <c r="H9" s="13">
        <v>-1.920948511396438</v>
      </c>
      <c r="I9" s="5" t="s">
        <v>226</v>
      </c>
      <c r="J9" s="13">
        <v>-1.8727974113964381</v>
      </c>
      <c r="K9" s="5" t="s">
        <v>226</v>
      </c>
      <c r="L9" s="13">
        <v>-1.963156611396438</v>
      </c>
      <c r="M9" s="5" t="s">
        <v>226</v>
      </c>
      <c r="N9" s="13">
        <v>-1.5229288113964381</v>
      </c>
      <c r="O9" s="5" t="s">
        <v>226</v>
      </c>
      <c r="P9" s="13">
        <v>-1.3720756113964381</v>
      </c>
      <c r="Q9" s="5" t="s">
        <v>226</v>
      </c>
      <c r="R9" s="13">
        <v>-1.6521510113964379</v>
      </c>
      <c r="S9" s="5" t="s">
        <v>226</v>
      </c>
      <c r="T9" s="13">
        <v>-1.3310055113964381</v>
      </c>
      <c r="U9" s="5" t="s">
        <v>226</v>
      </c>
      <c r="V9" s="13">
        <v>-1.302904711396438</v>
      </c>
      <c r="W9" s="5" t="s">
        <v>226</v>
      </c>
      <c r="X9" s="13">
        <v>-1.042725611396438</v>
      </c>
      <c r="Y9" s="5" t="s">
        <v>226</v>
      </c>
      <c r="Z9" s="13">
        <v>-1.3088912113964379</v>
      </c>
      <c r="AA9" s="5" t="s">
        <v>226</v>
      </c>
      <c r="AB9" s="13">
        <v>-1.1053420113964381</v>
      </c>
      <c r="AC9" s="5" t="s">
        <v>226</v>
      </c>
      <c r="AD9" s="13">
        <v>-0.80534441139643786</v>
      </c>
      <c r="AE9" s="5" t="s">
        <v>226</v>
      </c>
      <c r="AF9" s="13">
        <v>-0.44795641139643799</v>
      </c>
      <c r="AG9" s="5" t="s">
        <v>226</v>
      </c>
      <c r="AH9" s="13">
        <v>-0.393616811396438</v>
      </c>
      <c r="AI9" s="5" t="s">
        <v>226</v>
      </c>
      <c r="AJ9" s="13">
        <v>-0.40314211139643802</v>
      </c>
      <c r="AK9" s="5" t="s">
        <v>226</v>
      </c>
      <c r="AL9" s="13">
        <v>-0.27970831139643798</v>
      </c>
      <c r="AM9" s="5" t="s">
        <v>226</v>
      </c>
      <c r="AN9" s="13">
        <v>-0.35144921139643798</v>
      </c>
      <c r="AO9" s="5" t="s">
        <v>226</v>
      </c>
      <c r="AP9" s="13">
        <v>-0.33248988239643801</v>
      </c>
      <c r="AQ9" s="5" t="s">
        <v>226</v>
      </c>
      <c r="AR9" s="13">
        <v>-0.227886359396438</v>
      </c>
      <c r="AS9" s="5"/>
      <c r="AT9" s="13">
        <v>0.1113822246035621</v>
      </c>
      <c r="AU9" s="5"/>
      <c r="AV9" s="14">
        <v>-3.3165307568206133E-2</v>
      </c>
      <c r="AW9" s="5"/>
    </row>
    <row r="10" spans="1:49" ht="15.75" x14ac:dyDescent="0.25">
      <c r="A10" s="7" t="s">
        <v>241</v>
      </c>
      <c r="B10" s="15">
        <v>-2.3563098287661788</v>
      </c>
      <c r="C10" s="8" t="s">
        <v>226</v>
      </c>
      <c r="D10" s="15">
        <v>-2.2212934287661792</v>
      </c>
      <c r="E10" s="8" t="s">
        <v>226</v>
      </c>
      <c r="F10" s="15">
        <v>-1.929710328766179</v>
      </c>
      <c r="G10" s="8" t="s">
        <v>226</v>
      </c>
      <c r="H10" s="15">
        <v>-1.435630828766179</v>
      </c>
      <c r="I10" s="8" t="s">
        <v>226</v>
      </c>
      <c r="J10" s="15">
        <v>-1.4017353287661789</v>
      </c>
      <c r="K10" s="8" t="s">
        <v>226</v>
      </c>
      <c r="L10" s="15">
        <v>-1.4324107287661789</v>
      </c>
      <c r="M10" s="8" t="s">
        <v>226</v>
      </c>
      <c r="N10" s="15">
        <v>-1.230667428766179</v>
      </c>
      <c r="O10" s="8" t="s">
        <v>226</v>
      </c>
      <c r="P10" s="15">
        <v>-1.093325628766179</v>
      </c>
      <c r="Q10" s="8" t="s">
        <v>226</v>
      </c>
      <c r="R10" s="15">
        <v>-1.2196560287661791</v>
      </c>
      <c r="S10" s="8" t="s">
        <v>226</v>
      </c>
      <c r="T10" s="15">
        <v>-0.9667401287661791</v>
      </c>
      <c r="U10" s="8" t="s">
        <v>226</v>
      </c>
      <c r="V10" s="15">
        <v>-1.005739128766179</v>
      </c>
      <c r="W10" s="8" t="s">
        <v>226</v>
      </c>
      <c r="X10" s="15">
        <v>-0.8435994287661791</v>
      </c>
      <c r="Y10" s="8" t="s">
        <v>226</v>
      </c>
      <c r="Z10" s="15">
        <v>-1.0581819287661789</v>
      </c>
      <c r="AA10" s="8" t="s">
        <v>226</v>
      </c>
      <c r="AB10" s="15">
        <v>-0.8572457287661791</v>
      </c>
      <c r="AC10" s="8" t="s">
        <v>226</v>
      </c>
      <c r="AD10" s="15">
        <v>-0.77718352876617913</v>
      </c>
      <c r="AE10" s="8" t="s">
        <v>226</v>
      </c>
      <c r="AF10" s="15">
        <v>-0.44634082876617909</v>
      </c>
      <c r="AG10" s="8" t="s">
        <v>226</v>
      </c>
      <c r="AH10" s="15">
        <v>-0.39680652876617911</v>
      </c>
      <c r="AI10" s="8" t="s">
        <v>226</v>
      </c>
      <c r="AJ10" s="15">
        <v>-0.37379392876617901</v>
      </c>
      <c r="AK10" s="8" t="s">
        <v>226</v>
      </c>
      <c r="AL10" s="15">
        <v>-0.26902112876617901</v>
      </c>
      <c r="AM10" s="8" t="s">
        <v>226</v>
      </c>
      <c r="AN10" s="15">
        <v>-0.36532542876617902</v>
      </c>
      <c r="AO10" s="8" t="s">
        <v>226</v>
      </c>
      <c r="AP10" s="15">
        <v>-0.37293326976617902</v>
      </c>
      <c r="AQ10" s="8" t="s">
        <v>226</v>
      </c>
      <c r="AR10" s="15">
        <v>-0.26731743276617898</v>
      </c>
      <c r="AS10" s="8" t="s">
        <v>226</v>
      </c>
      <c r="AT10" s="15">
        <v>-5.305363976617905E-2</v>
      </c>
      <c r="AU10" s="8"/>
      <c r="AV10" s="16">
        <v>-0.1501376704884532</v>
      </c>
      <c r="AW10" s="8"/>
    </row>
    <row r="11" spans="1:49" ht="15.75" x14ac:dyDescent="0.25">
      <c r="A11" s="7" t="s">
        <v>242</v>
      </c>
      <c r="B11" s="15">
        <v>-0.95334793077003555</v>
      </c>
      <c r="C11" s="8" t="s">
        <v>226</v>
      </c>
      <c r="D11" s="15">
        <v>-0.89762223077003556</v>
      </c>
      <c r="E11" s="8" t="s">
        <v>226</v>
      </c>
      <c r="F11" s="15">
        <v>-0.72139173077003549</v>
      </c>
      <c r="G11" s="8" t="s">
        <v>226</v>
      </c>
      <c r="H11" s="15">
        <v>-0.71514843077003554</v>
      </c>
      <c r="I11" s="8" t="s">
        <v>226</v>
      </c>
      <c r="J11" s="15">
        <v>-0.8445178307700355</v>
      </c>
      <c r="K11" s="8" t="s">
        <v>226</v>
      </c>
      <c r="L11" s="15">
        <v>-0.86784773077003552</v>
      </c>
      <c r="M11" s="8" t="s">
        <v>226</v>
      </c>
      <c r="N11" s="15">
        <v>-0.71971393077003554</v>
      </c>
      <c r="O11" s="8" t="s">
        <v>226</v>
      </c>
      <c r="P11" s="15">
        <v>-0.60220253077003549</v>
      </c>
      <c r="Q11" s="8" t="s">
        <v>226</v>
      </c>
      <c r="R11" s="15">
        <v>-0.69154283077003553</v>
      </c>
      <c r="S11" s="8" t="s">
        <v>226</v>
      </c>
      <c r="T11" s="15">
        <v>-0.5222072307700355</v>
      </c>
      <c r="U11" s="8" t="s">
        <v>226</v>
      </c>
      <c r="V11" s="15">
        <v>-0.53852793077003558</v>
      </c>
      <c r="W11" s="8" t="s">
        <v>226</v>
      </c>
      <c r="X11" s="15">
        <v>-0.48814523077003558</v>
      </c>
      <c r="Y11" s="8" t="s">
        <v>226</v>
      </c>
      <c r="Z11" s="15">
        <v>-0.56547173077003554</v>
      </c>
      <c r="AA11" s="8" t="s">
        <v>226</v>
      </c>
      <c r="AB11" s="15">
        <v>-0.57740583077003549</v>
      </c>
      <c r="AC11" s="8" t="s">
        <v>226</v>
      </c>
      <c r="AD11" s="15">
        <v>-0.41485703077003561</v>
      </c>
      <c r="AE11" s="8" t="s">
        <v>226</v>
      </c>
      <c r="AF11" s="15">
        <v>-0.27994523077003552</v>
      </c>
      <c r="AG11" s="8" t="s">
        <v>226</v>
      </c>
      <c r="AH11" s="15">
        <v>-0.2036273307700355</v>
      </c>
      <c r="AI11" s="8" t="s">
        <v>226</v>
      </c>
      <c r="AJ11" s="15">
        <v>-0.24527233077003549</v>
      </c>
      <c r="AK11" s="8" t="s">
        <v>226</v>
      </c>
      <c r="AL11" s="15">
        <v>-0.16666003077003549</v>
      </c>
      <c r="AM11" s="8" t="s">
        <v>226</v>
      </c>
      <c r="AN11" s="15">
        <v>-0.13651593077003549</v>
      </c>
      <c r="AO11" s="8" t="s">
        <v>226</v>
      </c>
      <c r="AP11" s="15">
        <v>-0.25281811777003549</v>
      </c>
      <c r="AQ11" s="8" t="s">
        <v>226</v>
      </c>
      <c r="AR11" s="15">
        <v>-0.19044747477003551</v>
      </c>
      <c r="AS11" s="8" t="s">
        <v>226</v>
      </c>
      <c r="AT11" s="15">
        <v>1.31589372299645E-2</v>
      </c>
      <c r="AU11" s="8"/>
      <c r="AV11" s="16">
        <v>-6.0102150193889453E-2</v>
      </c>
      <c r="AW11" s="8"/>
    </row>
    <row r="12" spans="1:49" ht="15.75" x14ac:dyDescent="0.25">
      <c r="A12" s="7" t="s">
        <v>243</v>
      </c>
      <c r="B12" s="15">
        <v>-1.5170739506747219</v>
      </c>
      <c r="C12" s="8" t="s">
        <v>226</v>
      </c>
      <c r="D12" s="15">
        <v>-1.427614850674721</v>
      </c>
      <c r="E12" s="8" t="s">
        <v>226</v>
      </c>
      <c r="F12" s="15">
        <v>-1.3220031506747221</v>
      </c>
      <c r="G12" s="8" t="s">
        <v>226</v>
      </c>
      <c r="H12" s="15">
        <v>-0.76005855067472139</v>
      </c>
      <c r="I12" s="8" t="s">
        <v>226</v>
      </c>
      <c r="J12" s="15">
        <v>-0.58122515067472147</v>
      </c>
      <c r="K12" s="8" t="s">
        <v>226</v>
      </c>
      <c r="L12" s="15">
        <v>-0.59701775067472151</v>
      </c>
      <c r="M12" s="8" t="s">
        <v>226</v>
      </c>
      <c r="N12" s="15">
        <v>-0.55241135067472147</v>
      </c>
      <c r="O12" s="8" t="s">
        <v>226</v>
      </c>
      <c r="P12" s="15">
        <v>-0.51361295067472146</v>
      </c>
      <c r="Q12" s="8" t="s">
        <v>226</v>
      </c>
      <c r="R12" s="15">
        <v>-0.57773495067472147</v>
      </c>
      <c r="S12" s="8" t="s">
        <v>226</v>
      </c>
      <c r="T12" s="15">
        <v>-0.44459975067472152</v>
      </c>
      <c r="U12" s="8" t="s">
        <v>226</v>
      </c>
      <c r="V12" s="15">
        <v>-0.47264175067472147</v>
      </c>
      <c r="W12" s="8" t="s">
        <v>226</v>
      </c>
      <c r="X12" s="15">
        <v>-0.36254145067472149</v>
      </c>
      <c r="Y12" s="8" t="s">
        <v>226</v>
      </c>
      <c r="Z12" s="15">
        <v>-0.51113095067472147</v>
      </c>
      <c r="AA12" s="8" t="s">
        <v>226</v>
      </c>
      <c r="AB12" s="15">
        <v>-0.28435005067472152</v>
      </c>
      <c r="AC12" s="8" t="s">
        <v>226</v>
      </c>
      <c r="AD12" s="15">
        <v>-0.3567602506747215</v>
      </c>
      <c r="AE12" s="8" t="s">
        <v>226</v>
      </c>
      <c r="AF12" s="15">
        <v>-0.14950655067472149</v>
      </c>
      <c r="AG12" s="8" t="s">
        <v>226</v>
      </c>
      <c r="AH12" s="15">
        <v>-0.17298175067472149</v>
      </c>
      <c r="AI12" s="8" t="s">
        <v>226</v>
      </c>
      <c r="AJ12" s="15">
        <v>-0.1099284506747215</v>
      </c>
      <c r="AK12" s="8"/>
      <c r="AL12" s="15">
        <v>-8.0689950674721511E-2</v>
      </c>
      <c r="AM12" s="8"/>
      <c r="AN12" s="15">
        <v>-0.21709015067472151</v>
      </c>
      <c r="AO12" s="8" t="s">
        <v>226</v>
      </c>
      <c r="AP12" s="15">
        <v>-9.9422646674721504E-2</v>
      </c>
      <c r="AQ12" s="8"/>
      <c r="AR12" s="15">
        <v>-6.6040124674721479E-2</v>
      </c>
      <c r="AS12" s="8"/>
      <c r="AT12" s="15">
        <v>-3.8826850674721518E-2</v>
      </c>
      <c r="AU12" s="8"/>
      <c r="AV12" s="16">
        <v>-5.7664672973141713E-2</v>
      </c>
      <c r="AW12" s="8"/>
    </row>
    <row r="13" spans="1:49" ht="15.75" x14ac:dyDescent="0.25">
      <c r="A13" s="7" t="s">
        <v>244</v>
      </c>
      <c r="B13" s="15">
        <v>-1.250916581607598</v>
      </c>
      <c r="C13" s="8" t="s">
        <v>226</v>
      </c>
      <c r="D13" s="15">
        <v>-0.93060908160759848</v>
      </c>
      <c r="E13" s="8" t="s">
        <v>226</v>
      </c>
      <c r="F13" s="15">
        <v>-0.83687668160759854</v>
      </c>
      <c r="G13" s="8" t="s">
        <v>226</v>
      </c>
      <c r="H13" s="15">
        <v>-0.65328338160759847</v>
      </c>
      <c r="I13" s="8" t="s">
        <v>226</v>
      </c>
      <c r="J13" s="15">
        <v>-0.66739478160759846</v>
      </c>
      <c r="K13" s="8" t="s">
        <v>226</v>
      </c>
      <c r="L13" s="15">
        <v>-0.67744238160759851</v>
      </c>
      <c r="M13" s="8" t="s">
        <v>226</v>
      </c>
      <c r="N13" s="15">
        <v>-0.41919478160759849</v>
      </c>
      <c r="O13" s="8" t="s">
        <v>226</v>
      </c>
      <c r="P13" s="15">
        <v>-0.37517508160759849</v>
      </c>
      <c r="Q13" s="8" t="s">
        <v>226</v>
      </c>
      <c r="R13" s="15">
        <v>-0.54901048160759847</v>
      </c>
      <c r="S13" s="8" t="s">
        <v>226</v>
      </c>
      <c r="T13" s="15">
        <v>-0.49065838160759873</v>
      </c>
      <c r="U13" s="8" t="s">
        <v>226</v>
      </c>
      <c r="V13" s="15">
        <v>-0.39727048160759848</v>
      </c>
      <c r="W13" s="8" t="s">
        <v>226</v>
      </c>
      <c r="X13" s="15">
        <v>-0.29165368160759853</v>
      </c>
      <c r="Y13" s="8" t="s">
        <v>226</v>
      </c>
      <c r="Z13" s="15">
        <v>-0.32150918160759862</v>
      </c>
      <c r="AA13" s="8" t="s">
        <v>226</v>
      </c>
      <c r="AB13" s="15">
        <v>-0.31191768160759858</v>
      </c>
      <c r="AC13" s="8" t="s">
        <v>226</v>
      </c>
      <c r="AD13" s="15">
        <v>-9.9115881607598544E-2</v>
      </c>
      <c r="AE13" s="8"/>
      <c r="AF13" s="15">
        <v>-5.3756481607598612E-2</v>
      </c>
      <c r="AG13" s="8"/>
      <c r="AH13" s="15">
        <v>-2.4744081607598559E-2</v>
      </c>
      <c r="AI13" s="8"/>
      <c r="AJ13" s="15">
        <v>-5.3087481607598568E-2</v>
      </c>
      <c r="AK13" s="8"/>
      <c r="AL13" s="15">
        <v>-4.2996281607598608E-2</v>
      </c>
      <c r="AM13" s="8"/>
      <c r="AN13" s="15">
        <v>-2.304388160759863E-2</v>
      </c>
      <c r="AO13" s="8"/>
      <c r="AP13" s="15">
        <v>-1.348586360759862E-2</v>
      </c>
      <c r="AQ13" s="8"/>
      <c r="AR13" s="15">
        <v>5.5042373924014676E-3</v>
      </c>
      <c r="AS13" s="8"/>
      <c r="AT13" s="15">
        <v>0.14194117239240139</v>
      </c>
      <c r="AU13" s="8"/>
      <c r="AV13" s="16">
        <v>0.1247803549018187</v>
      </c>
      <c r="AW13" s="8"/>
    </row>
    <row r="14" spans="1:49" ht="30" customHeight="1" x14ac:dyDescent="0.25">
      <c r="A14" s="4" t="s">
        <v>139</v>
      </c>
      <c r="B14" s="13">
        <v>-0.5282227318330931</v>
      </c>
      <c r="C14" s="5" t="s">
        <v>226</v>
      </c>
      <c r="D14" s="13">
        <v>-0.58641613183309305</v>
      </c>
      <c r="E14" s="5" t="s">
        <v>226</v>
      </c>
      <c r="F14" s="13">
        <v>-0.43601463183309308</v>
      </c>
      <c r="G14" s="5" t="s">
        <v>226</v>
      </c>
      <c r="H14" s="13">
        <v>-0.42883393183309299</v>
      </c>
      <c r="I14" s="5" t="s">
        <v>226</v>
      </c>
      <c r="J14" s="13">
        <v>-0.48444503183309312</v>
      </c>
      <c r="K14" s="5" t="s">
        <v>226</v>
      </c>
      <c r="L14" s="13">
        <v>-0.44841753183309307</v>
      </c>
      <c r="M14" s="5" t="s">
        <v>226</v>
      </c>
      <c r="N14" s="13">
        <v>-0.38704523183309297</v>
      </c>
      <c r="O14" s="5" t="s">
        <v>226</v>
      </c>
      <c r="P14" s="13">
        <v>-0.42823883183309308</v>
      </c>
      <c r="Q14" s="5" t="s">
        <v>226</v>
      </c>
      <c r="R14" s="13">
        <v>-0.41846733183309298</v>
      </c>
      <c r="S14" s="5" t="s">
        <v>226</v>
      </c>
      <c r="T14" s="13">
        <v>-0.39350763183309301</v>
      </c>
      <c r="U14" s="5" t="s">
        <v>226</v>
      </c>
      <c r="V14" s="13">
        <v>-0.4019624318330931</v>
      </c>
      <c r="W14" s="5" t="s">
        <v>226</v>
      </c>
      <c r="X14" s="13">
        <v>-0.42664143183309311</v>
      </c>
      <c r="Y14" s="5" t="s">
        <v>226</v>
      </c>
      <c r="Z14" s="13">
        <v>-0.31817033183309312</v>
      </c>
      <c r="AA14" s="5" t="s">
        <v>226</v>
      </c>
      <c r="AB14" s="13">
        <v>-0.34256203183309308</v>
      </c>
      <c r="AC14" s="5" t="s">
        <v>226</v>
      </c>
      <c r="AD14" s="13">
        <v>-0.22275583183309311</v>
      </c>
      <c r="AE14" s="5" t="s">
        <v>226</v>
      </c>
      <c r="AF14" s="13">
        <v>-0.18008293183309301</v>
      </c>
      <c r="AG14" s="5" t="s">
        <v>226</v>
      </c>
      <c r="AH14" s="13">
        <v>-5.7651531833093038E-2</v>
      </c>
      <c r="AI14" s="5"/>
      <c r="AJ14" s="13">
        <v>-0.14699203183309309</v>
      </c>
      <c r="AK14" s="5" t="s">
        <v>226</v>
      </c>
      <c r="AL14" s="13">
        <v>-0.10105973183309309</v>
      </c>
      <c r="AM14" s="5" t="s">
        <v>226</v>
      </c>
      <c r="AN14" s="13">
        <v>-0.15724543183309311</v>
      </c>
      <c r="AO14" s="5" t="s">
        <v>226</v>
      </c>
      <c r="AP14" s="13">
        <v>-0.22973386183309311</v>
      </c>
      <c r="AQ14" s="5" t="s">
        <v>226</v>
      </c>
      <c r="AR14" s="13">
        <v>-0.12375659183309309</v>
      </c>
      <c r="AS14" s="5" t="s">
        <v>226</v>
      </c>
      <c r="AT14" s="13">
        <v>-1.419857883309306E-2</v>
      </c>
      <c r="AU14" s="5"/>
      <c r="AV14" s="14">
        <v>-0.1021069129119254</v>
      </c>
      <c r="AW14" s="5" t="s">
        <v>226</v>
      </c>
    </row>
    <row r="15" spans="1:49" ht="30" customHeight="1" x14ac:dyDescent="0.25">
      <c r="A15" s="4" t="s">
        <v>245</v>
      </c>
      <c r="B15" s="13">
        <v>-24.041701770026741</v>
      </c>
      <c r="C15" s="5" t="s">
        <v>226</v>
      </c>
      <c r="D15" s="13">
        <v>-19.892674170026741</v>
      </c>
      <c r="E15" s="5" t="s">
        <v>226</v>
      </c>
      <c r="F15" s="13">
        <v>-16.084470870026749</v>
      </c>
      <c r="G15" s="5" t="s">
        <v>226</v>
      </c>
      <c r="H15" s="13">
        <v>-13.13639167002675</v>
      </c>
      <c r="I15" s="5" t="s">
        <v>226</v>
      </c>
      <c r="J15" s="13">
        <v>-12.31483127002674</v>
      </c>
      <c r="K15" s="5" t="s">
        <v>226</v>
      </c>
      <c r="L15" s="13">
        <v>-11.13325667002675</v>
      </c>
      <c r="M15" s="5" t="s">
        <v>226</v>
      </c>
      <c r="N15" s="13">
        <v>-9.2098450700267449</v>
      </c>
      <c r="O15" s="5" t="s">
        <v>226</v>
      </c>
      <c r="P15" s="13">
        <v>-8.287484570026745</v>
      </c>
      <c r="Q15" s="5" t="s">
        <v>226</v>
      </c>
      <c r="R15" s="13">
        <v>-9.0139604700267455</v>
      </c>
      <c r="S15" s="5" t="s">
        <v>226</v>
      </c>
      <c r="T15" s="13">
        <v>-7.1540742700267446</v>
      </c>
      <c r="U15" s="5" t="s">
        <v>226</v>
      </c>
      <c r="V15" s="13">
        <v>-8.2532182700267427</v>
      </c>
      <c r="W15" s="5" t="s">
        <v>226</v>
      </c>
      <c r="X15" s="13">
        <v>-6.9407011700267436</v>
      </c>
      <c r="Y15" s="5" t="s">
        <v>226</v>
      </c>
      <c r="Z15" s="13">
        <v>-7.2622596700267454</v>
      </c>
      <c r="AA15" s="5" t="s">
        <v>226</v>
      </c>
      <c r="AB15" s="13">
        <v>-7.5910865700267438</v>
      </c>
      <c r="AC15" s="5" t="s">
        <v>226</v>
      </c>
      <c r="AD15" s="13">
        <v>-5.8353589700267436</v>
      </c>
      <c r="AE15" s="5" t="s">
        <v>226</v>
      </c>
      <c r="AF15" s="13">
        <v>-4.9150422700267447</v>
      </c>
      <c r="AG15" s="5" t="s">
        <v>226</v>
      </c>
      <c r="AH15" s="13">
        <v>-4.1109432700267439</v>
      </c>
      <c r="AI15" s="5" t="s">
        <v>226</v>
      </c>
      <c r="AJ15" s="13">
        <v>-3.2380014700267439</v>
      </c>
      <c r="AK15" s="5" t="s">
        <v>226</v>
      </c>
      <c r="AL15" s="13">
        <v>-2.1549591700267441</v>
      </c>
      <c r="AM15" s="5" t="s">
        <v>226</v>
      </c>
      <c r="AN15" s="13">
        <v>-2.8330289700267448</v>
      </c>
      <c r="AO15" s="5" t="s">
        <v>226</v>
      </c>
      <c r="AP15" s="13">
        <v>-3.1979674500267441</v>
      </c>
      <c r="AQ15" s="5" t="s">
        <v>226</v>
      </c>
      <c r="AR15" s="13">
        <v>-2.026327993026745</v>
      </c>
      <c r="AS15" s="5" t="s">
        <v>226</v>
      </c>
      <c r="AT15" s="13">
        <v>-0.1001658880267442</v>
      </c>
      <c r="AU15" s="5"/>
      <c r="AV15" s="14">
        <v>-3.3642511636906569E-2</v>
      </c>
      <c r="AW15" s="5"/>
    </row>
    <row r="16" spans="1:49" ht="30" customHeight="1" x14ac:dyDescent="0.25">
      <c r="A16" s="4" t="s">
        <v>246</v>
      </c>
      <c r="B16" s="13">
        <v>-0.76566978868714741</v>
      </c>
      <c r="C16" s="5" t="s">
        <v>226</v>
      </c>
      <c r="D16" s="13">
        <v>-0.50274988868714743</v>
      </c>
      <c r="E16" s="5" t="s">
        <v>226</v>
      </c>
      <c r="F16" s="13">
        <v>-0.54002178868714756</v>
      </c>
      <c r="G16" s="5" t="s">
        <v>226</v>
      </c>
      <c r="H16" s="13">
        <v>-0.46544488868714751</v>
      </c>
      <c r="I16" s="5" t="s">
        <v>226</v>
      </c>
      <c r="J16" s="13">
        <v>-0.61990148868714756</v>
      </c>
      <c r="K16" s="5" t="s">
        <v>226</v>
      </c>
      <c r="L16" s="13">
        <v>-0.51135678868714762</v>
      </c>
      <c r="M16" s="5" t="s">
        <v>226</v>
      </c>
      <c r="N16" s="13">
        <v>-0.40724548868714761</v>
      </c>
      <c r="O16" s="5" t="s">
        <v>226</v>
      </c>
      <c r="P16" s="13">
        <v>-0.3732751886871476</v>
      </c>
      <c r="Q16" s="5" t="s">
        <v>226</v>
      </c>
      <c r="R16" s="13">
        <v>-0.35047688868714749</v>
      </c>
      <c r="S16" s="5" t="s">
        <v>226</v>
      </c>
      <c r="T16" s="13">
        <v>-0.38379948868714753</v>
      </c>
      <c r="U16" s="5" t="s">
        <v>226</v>
      </c>
      <c r="V16" s="13">
        <v>-0.61426678868714746</v>
      </c>
      <c r="W16" s="5" t="s">
        <v>226</v>
      </c>
      <c r="X16" s="13">
        <v>-0.27051158868714748</v>
      </c>
      <c r="Y16" s="5" t="s">
        <v>226</v>
      </c>
      <c r="Z16" s="13">
        <v>-0.27744688868714762</v>
      </c>
      <c r="AA16" s="5" t="s">
        <v>226</v>
      </c>
      <c r="AB16" s="13">
        <v>-0.42912008868714752</v>
      </c>
      <c r="AC16" s="5" t="s">
        <v>226</v>
      </c>
      <c r="AD16" s="13">
        <v>-0.28320248868714748</v>
      </c>
      <c r="AE16" s="5" t="s">
        <v>226</v>
      </c>
      <c r="AF16" s="13">
        <v>-0.31205518868714749</v>
      </c>
      <c r="AG16" s="5" t="s">
        <v>226</v>
      </c>
      <c r="AH16" s="13">
        <v>-5.8039388687147531E-2</v>
      </c>
      <c r="AI16" s="5"/>
      <c r="AJ16" s="13">
        <v>0.10059981131285239</v>
      </c>
      <c r="AK16" s="5"/>
      <c r="AL16" s="13">
        <v>8.2327511312852431E-2</v>
      </c>
      <c r="AM16" s="5"/>
      <c r="AN16" s="13">
        <v>-1.0506188687147479E-2</v>
      </c>
      <c r="AO16" s="5"/>
      <c r="AP16" s="13">
        <v>-3.0478542687147558E-2</v>
      </c>
      <c r="AQ16" s="5"/>
      <c r="AR16" s="13">
        <v>8.0776135312852437E-2</v>
      </c>
      <c r="AS16" s="5"/>
      <c r="AT16" s="13">
        <v>0.3498869993128525</v>
      </c>
      <c r="AU16" s="5" t="s">
        <v>226</v>
      </c>
      <c r="AV16" s="14">
        <v>0.13917740008433449</v>
      </c>
      <c r="AW16" s="5"/>
    </row>
    <row r="17" spans="1:49" ht="15.75" x14ac:dyDescent="0.25">
      <c r="A17" s="7" t="s">
        <v>247</v>
      </c>
      <c r="B17" s="15">
        <v>1.4888645885237471E-2</v>
      </c>
      <c r="C17" s="8"/>
      <c r="D17" s="15">
        <v>-2.2929541147625469E-3</v>
      </c>
      <c r="E17" s="8"/>
      <c r="F17" s="15">
        <v>5.4335645885237448E-2</v>
      </c>
      <c r="G17" s="8"/>
      <c r="H17" s="15">
        <v>2.9498045885237471E-2</v>
      </c>
      <c r="I17" s="8"/>
      <c r="J17" s="15">
        <v>-1.563945411476253E-2</v>
      </c>
      <c r="K17" s="8"/>
      <c r="L17" s="15">
        <v>-6.7501554114762524E-2</v>
      </c>
      <c r="M17" s="8"/>
      <c r="N17" s="15">
        <v>-2.4915654114762539E-2</v>
      </c>
      <c r="O17" s="8"/>
      <c r="P17" s="15">
        <v>3.1805845885237473E-2</v>
      </c>
      <c r="Q17" s="8"/>
      <c r="R17" s="15">
        <v>3.7679545885237482E-2</v>
      </c>
      <c r="S17" s="8"/>
      <c r="T17" s="15">
        <v>1.2893345885237471E-2</v>
      </c>
      <c r="U17" s="8"/>
      <c r="V17" s="15">
        <v>-1.346775411476253E-2</v>
      </c>
      <c r="W17" s="8"/>
      <c r="X17" s="15">
        <v>5.2888545885237483E-2</v>
      </c>
      <c r="Y17" s="8"/>
      <c r="Z17" s="15">
        <v>3.6978745885237467E-2</v>
      </c>
      <c r="AA17" s="8"/>
      <c r="AB17" s="15">
        <v>1.817284588523746E-2</v>
      </c>
      <c r="AC17" s="8"/>
      <c r="AD17" s="15">
        <v>5.5642445885237479E-2</v>
      </c>
      <c r="AE17" s="8"/>
      <c r="AF17" s="15">
        <v>6.724664588523746E-2</v>
      </c>
      <c r="AG17" s="8"/>
      <c r="AH17" s="15">
        <v>7.4293545885237469E-2</v>
      </c>
      <c r="AI17" s="8"/>
      <c r="AJ17" s="15">
        <v>0.1095984458852375</v>
      </c>
      <c r="AK17" s="8" t="s">
        <v>226</v>
      </c>
      <c r="AL17" s="15">
        <v>0.1109373458852375</v>
      </c>
      <c r="AM17" s="8" t="s">
        <v>226</v>
      </c>
      <c r="AN17" s="15">
        <v>6.7866945885237465E-2</v>
      </c>
      <c r="AO17" s="8"/>
      <c r="AP17" s="15">
        <v>6.7888026885237471E-2</v>
      </c>
      <c r="AQ17" s="8"/>
      <c r="AR17" s="15">
        <v>0.1181036708852375</v>
      </c>
      <c r="AS17" s="8" t="s">
        <v>226</v>
      </c>
      <c r="AT17" s="15">
        <v>0.12482546188523749</v>
      </c>
      <c r="AU17" s="8" t="s">
        <v>226</v>
      </c>
      <c r="AV17" s="16">
        <v>4.3127182172964913E-2</v>
      </c>
      <c r="AW17" s="8"/>
    </row>
    <row r="18" spans="1:49" ht="15.75" x14ac:dyDescent="0.25">
      <c r="A18" s="7" t="s">
        <v>248</v>
      </c>
      <c r="B18" s="15">
        <v>-0.55296818433964701</v>
      </c>
      <c r="C18" s="8" t="s">
        <v>226</v>
      </c>
      <c r="D18" s="15">
        <v>-0.45664328433964702</v>
      </c>
      <c r="E18" s="8" t="s">
        <v>226</v>
      </c>
      <c r="F18" s="15">
        <v>-0.44737368433964703</v>
      </c>
      <c r="G18" s="8" t="s">
        <v>226</v>
      </c>
      <c r="H18" s="15">
        <v>-0.46483438433964702</v>
      </c>
      <c r="I18" s="8" t="s">
        <v>226</v>
      </c>
      <c r="J18" s="15">
        <v>-0.53182588433964706</v>
      </c>
      <c r="K18" s="8" t="s">
        <v>226</v>
      </c>
      <c r="L18" s="15">
        <v>-0.474823684339647</v>
      </c>
      <c r="M18" s="8" t="s">
        <v>226</v>
      </c>
      <c r="N18" s="15">
        <v>-0.336847284339647</v>
      </c>
      <c r="O18" s="8" t="s">
        <v>226</v>
      </c>
      <c r="P18" s="15">
        <v>-0.39688068433964702</v>
      </c>
      <c r="Q18" s="8" t="s">
        <v>226</v>
      </c>
      <c r="R18" s="15">
        <v>-0.414282984339647</v>
      </c>
      <c r="S18" s="8" t="s">
        <v>226</v>
      </c>
      <c r="T18" s="15">
        <v>-0.41658628433964701</v>
      </c>
      <c r="U18" s="8" t="s">
        <v>226</v>
      </c>
      <c r="V18" s="15">
        <v>-0.59832978433964712</v>
      </c>
      <c r="W18" s="8" t="s">
        <v>226</v>
      </c>
      <c r="X18" s="15">
        <v>-0.34607628433964699</v>
      </c>
      <c r="Y18" s="8" t="s">
        <v>226</v>
      </c>
      <c r="Z18" s="15">
        <v>-0.33101008433964701</v>
      </c>
      <c r="AA18" s="8" t="s">
        <v>226</v>
      </c>
      <c r="AB18" s="15">
        <v>-0.37817708433964708</v>
      </c>
      <c r="AC18" s="8" t="s">
        <v>226</v>
      </c>
      <c r="AD18" s="15">
        <v>-0.36452418433964701</v>
      </c>
      <c r="AE18" s="8" t="s">
        <v>226</v>
      </c>
      <c r="AF18" s="15">
        <v>-0.32863918433964712</v>
      </c>
      <c r="AG18" s="8" t="s">
        <v>226</v>
      </c>
      <c r="AH18" s="15">
        <v>-0.124576884339647</v>
      </c>
      <c r="AI18" s="8"/>
      <c r="AJ18" s="15">
        <v>-0.10742948433964709</v>
      </c>
      <c r="AK18" s="8"/>
      <c r="AL18" s="15">
        <v>-9.0338184339647021E-2</v>
      </c>
      <c r="AM18" s="8"/>
      <c r="AN18" s="15">
        <v>-5.168438433964706E-2</v>
      </c>
      <c r="AO18" s="8"/>
      <c r="AP18" s="15">
        <v>-9.8775773339647044E-2</v>
      </c>
      <c r="AQ18" s="8"/>
      <c r="AR18" s="15">
        <v>-9.4470812339647048E-2</v>
      </c>
      <c r="AS18" s="8"/>
      <c r="AT18" s="15">
        <v>8.3479832660352971E-2</v>
      </c>
      <c r="AU18" s="8"/>
      <c r="AV18" s="16">
        <v>3.8661287608582451E-2</v>
      </c>
      <c r="AW18" s="8"/>
    </row>
    <row r="19" spans="1:49" ht="15.75" x14ac:dyDescent="0.25">
      <c r="A19" s="7" t="s">
        <v>249</v>
      </c>
      <c r="B19" s="15">
        <v>-0.23086312194127251</v>
      </c>
      <c r="C19" s="8" t="s">
        <v>226</v>
      </c>
      <c r="D19" s="15">
        <v>-4.5983121941272583E-2</v>
      </c>
      <c r="E19" s="8"/>
      <c r="F19" s="15">
        <v>-0.14981722194127259</v>
      </c>
      <c r="G19" s="8" t="s">
        <v>226</v>
      </c>
      <c r="H19" s="15">
        <v>-4.0533721941272582E-2</v>
      </c>
      <c r="I19" s="8"/>
      <c r="J19" s="15">
        <v>-9.4725421941272592E-2</v>
      </c>
      <c r="K19" s="8"/>
      <c r="L19" s="15">
        <v>-9.0406219412725863E-3</v>
      </c>
      <c r="M19" s="8"/>
      <c r="N19" s="15">
        <v>-6.2941021941272546E-2</v>
      </c>
      <c r="O19" s="8"/>
      <c r="P19" s="15">
        <v>-2.8686221941272572E-2</v>
      </c>
      <c r="Q19" s="8"/>
      <c r="R19" s="15">
        <v>1.2076078058727459E-2</v>
      </c>
      <c r="S19" s="8"/>
      <c r="T19" s="15">
        <v>1.0099478058727461E-2</v>
      </c>
      <c r="U19" s="8"/>
      <c r="V19" s="15">
        <v>-1.3915621941272551E-2</v>
      </c>
      <c r="W19" s="8"/>
      <c r="X19" s="15">
        <v>1.6720978058727409E-2</v>
      </c>
      <c r="Y19" s="8"/>
      <c r="Z19" s="15">
        <v>7.8517805872740931E-4</v>
      </c>
      <c r="AA19" s="8"/>
      <c r="AB19" s="15">
        <v>-8.6987021941272558E-2</v>
      </c>
      <c r="AC19" s="8"/>
      <c r="AD19" s="15">
        <v>2.667167805872744E-2</v>
      </c>
      <c r="AE19" s="8"/>
      <c r="AF19" s="15">
        <v>-5.2972521941272548E-2</v>
      </c>
      <c r="AG19" s="8"/>
      <c r="AH19" s="15">
        <v>-1.494742194127258E-2</v>
      </c>
      <c r="AI19" s="8"/>
      <c r="AJ19" s="15">
        <v>0.10130657805872741</v>
      </c>
      <c r="AK19" s="8"/>
      <c r="AL19" s="15">
        <v>6.7613578058727419E-2</v>
      </c>
      <c r="AM19" s="8"/>
      <c r="AN19" s="15">
        <v>-2.237782194127258E-2</v>
      </c>
      <c r="AO19" s="8"/>
      <c r="AP19" s="15">
        <v>-8.3857169412725474E-3</v>
      </c>
      <c r="AQ19" s="8"/>
      <c r="AR19" s="15">
        <v>6.3460574058727459E-2</v>
      </c>
      <c r="AS19" s="8"/>
      <c r="AT19" s="15">
        <v>0.13362057105872741</v>
      </c>
      <c r="AU19" s="8" t="s">
        <v>226</v>
      </c>
      <c r="AV19" s="16">
        <v>4.4631799909465197E-2</v>
      </c>
      <c r="AW19" s="8"/>
    </row>
    <row r="20" spans="1:49" ht="30" customHeight="1" x14ac:dyDescent="0.25">
      <c r="A20" s="819" t="s">
        <v>250</v>
      </c>
      <c r="B20" s="822">
        <v>-3.3447379847443588</v>
      </c>
      <c r="C20" s="820" t="s">
        <v>226</v>
      </c>
      <c r="D20" s="822">
        <v>-3.1084737847443589</v>
      </c>
      <c r="E20" s="820" t="s">
        <v>226</v>
      </c>
      <c r="F20" s="822">
        <v>-2.358546184744359</v>
      </c>
      <c r="G20" s="820" t="s">
        <v>226</v>
      </c>
      <c r="H20" s="822">
        <v>-2.0511592847443589</v>
      </c>
      <c r="I20" s="820" t="s">
        <v>226</v>
      </c>
      <c r="J20" s="822">
        <v>-1.9739587847443589</v>
      </c>
      <c r="K20" s="820" t="s">
        <v>226</v>
      </c>
      <c r="L20" s="822">
        <v>-1.844493384744359</v>
      </c>
      <c r="M20" s="820" t="s">
        <v>226</v>
      </c>
      <c r="N20" s="822">
        <v>-1.508828284744359</v>
      </c>
      <c r="O20" s="820" t="s">
        <v>226</v>
      </c>
      <c r="P20" s="822">
        <v>-1.6246980847443591</v>
      </c>
      <c r="Q20" s="820" t="s">
        <v>226</v>
      </c>
      <c r="R20" s="822">
        <v>-1.5023602847443589</v>
      </c>
      <c r="S20" s="820" t="s">
        <v>226</v>
      </c>
      <c r="T20" s="822">
        <v>-1.1839894847443591</v>
      </c>
      <c r="U20" s="820" t="s">
        <v>226</v>
      </c>
      <c r="V20" s="822">
        <v>-1.356750484744359</v>
      </c>
      <c r="W20" s="820" t="s">
        <v>226</v>
      </c>
      <c r="X20" s="822">
        <v>-1.2287622847443589</v>
      </c>
      <c r="Y20" s="820" t="s">
        <v>226</v>
      </c>
      <c r="Z20" s="822">
        <v>-1.1602178847443589</v>
      </c>
      <c r="AA20" s="820" t="s">
        <v>226</v>
      </c>
      <c r="AB20" s="822">
        <v>-1.2900539847443591</v>
      </c>
      <c r="AC20" s="820" t="s">
        <v>226</v>
      </c>
      <c r="AD20" s="822">
        <v>-1.127901684744359</v>
      </c>
      <c r="AE20" s="820" t="s">
        <v>226</v>
      </c>
      <c r="AF20" s="822">
        <v>-1.0908370847443589</v>
      </c>
      <c r="AG20" s="820" t="s">
        <v>226</v>
      </c>
      <c r="AH20" s="822">
        <v>-0.62983278474435911</v>
      </c>
      <c r="AI20" s="820" t="s">
        <v>226</v>
      </c>
      <c r="AJ20" s="822">
        <v>-0.72126588474435904</v>
      </c>
      <c r="AK20" s="820" t="s">
        <v>226</v>
      </c>
      <c r="AL20" s="822">
        <v>-0.48447998474435922</v>
      </c>
      <c r="AM20" s="820" t="s">
        <v>226</v>
      </c>
      <c r="AN20" s="822">
        <v>-0.48985938474435919</v>
      </c>
      <c r="AO20" s="820" t="s">
        <v>226</v>
      </c>
      <c r="AP20" s="822">
        <v>-0.67477451274435907</v>
      </c>
      <c r="AQ20" s="820" t="s">
        <v>226</v>
      </c>
      <c r="AR20" s="822">
        <v>-0.43631182374435917</v>
      </c>
      <c r="AS20" s="820" t="s">
        <v>226</v>
      </c>
      <c r="AT20" s="822">
        <v>-1.932417744359149E-3</v>
      </c>
      <c r="AU20" s="820"/>
      <c r="AV20" s="823">
        <v>-3.1020136663320489E-2</v>
      </c>
      <c r="AW20" s="820"/>
    </row>
    <row r="21" spans="1:49" ht="30" customHeight="1" x14ac:dyDescent="0.25">
      <c r="A21" s="4" t="s">
        <v>251</v>
      </c>
      <c r="B21" s="13">
        <v>-7.4018981488369864</v>
      </c>
      <c r="C21" s="5" t="s">
        <v>226</v>
      </c>
      <c r="D21" s="13">
        <v>-6.2879905488369872</v>
      </c>
      <c r="E21" s="5" t="s">
        <v>226</v>
      </c>
      <c r="F21" s="13">
        <v>-5.2131483488369863</v>
      </c>
      <c r="G21" s="5" t="s">
        <v>226</v>
      </c>
      <c r="H21" s="13">
        <v>-3.9400863488369859</v>
      </c>
      <c r="I21" s="5" t="s">
        <v>226</v>
      </c>
      <c r="J21" s="13">
        <v>-3.665753848836987</v>
      </c>
      <c r="K21" s="5" t="s">
        <v>226</v>
      </c>
      <c r="L21" s="13">
        <v>-3.3959354488369859</v>
      </c>
      <c r="M21" s="5" t="s">
        <v>226</v>
      </c>
      <c r="N21" s="13">
        <v>-2.7005741488369859</v>
      </c>
      <c r="O21" s="5" t="s">
        <v>226</v>
      </c>
      <c r="P21" s="13">
        <v>-2.3630023488369858</v>
      </c>
      <c r="Q21" s="5" t="s">
        <v>226</v>
      </c>
      <c r="R21" s="13">
        <v>-2.5013455488369858</v>
      </c>
      <c r="S21" s="5" t="s">
        <v>226</v>
      </c>
      <c r="T21" s="13">
        <v>-2.1553944488369861</v>
      </c>
      <c r="U21" s="5" t="s">
        <v>226</v>
      </c>
      <c r="V21" s="13">
        <v>-2.2776919488369858</v>
      </c>
      <c r="W21" s="5" t="s">
        <v>226</v>
      </c>
      <c r="X21" s="13">
        <v>-2.0347684488369859</v>
      </c>
      <c r="Y21" s="5" t="s">
        <v>226</v>
      </c>
      <c r="Z21" s="13">
        <v>-2.3769322488369862</v>
      </c>
      <c r="AA21" s="5" t="s">
        <v>226</v>
      </c>
      <c r="AB21" s="13">
        <v>-2.0698432488369858</v>
      </c>
      <c r="AC21" s="5" t="s">
        <v>226</v>
      </c>
      <c r="AD21" s="13">
        <v>-1.8057811488369859</v>
      </c>
      <c r="AE21" s="5" t="s">
        <v>226</v>
      </c>
      <c r="AF21" s="13">
        <v>-1.521320148836987</v>
      </c>
      <c r="AG21" s="5" t="s">
        <v>226</v>
      </c>
      <c r="AH21" s="13">
        <v>-1.5389726488369859</v>
      </c>
      <c r="AI21" s="5" t="s">
        <v>226</v>
      </c>
      <c r="AJ21" s="13">
        <v>-1.148267548836986</v>
      </c>
      <c r="AK21" s="5" t="s">
        <v>226</v>
      </c>
      <c r="AL21" s="13">
        <v>-0.98055914883698625</v>
      </c>
      <c r="AM21" s="5" t="s">
        <v>226</v>
      </c>
      <c r="AN21" s="13">
        <v>-1.185001648836987</v>
      </c>
      <c r="AO21" s="5" t="s">
        <v>226</v>
      </c>
      <c r="AP21" s="13">
        <v>-1.2271932328369859</v>
      </c>
      <c r="AQ21" s="5" t="s">
        <v>226</v>
      </c>
      <c r="AR21" s="13">
        <v>-0.85821548283698634</v>
      </c>
      <c r="AS21" s="5" t="s">
        <v>226</v>
      </c>
      <c r="AT21" s="13">
        <v>-0.1937951738369863</v>
      </c>
      <c r="AU21" s="5"/>
      <c r="AV21" s="14">
        <v>-0.18096831664879681</v>
      </c>
      <c r="AW21" s="5"/>
    </row>
    <row r="22" spans="1:49" ht="15.75" x14ac:dyDescent="0.25">
      <c r="A22" s="7" t="s">
        <v>252</v>
      </c>
      <c r="B22" s="15">
        <v>-5.0958103547561224</v>
      </c>
      <c r="C22" s="8" t="s">
        <v>226</v>
      </c>
      <c r="D22" s="15">
        <v>-4.0549915547561222</v>
      </c>
      <c r="E22" s="8" t="s">
        <v>226</v>
      </c>
      <c r="F22" s="15">
        <v>-3.5843661547561219</v>
      </c>
      <c r="G22" s="8" t="s">
        <v>226</v>
      </c>
      <c r="H22" s="15">
        <v>-2.7205117547561222</v>
      </c>
      <c r="I22" s="8" t="s">
        <v>226</v>
      </c>
      <c r="J22" s="15">
        <v>-2.6164055547561218</v>
      </c>
      <c r="K22" s="8" t="s">
        <v>226</v>
      </c>
      <c r="L22" s="15">
        <v>-2.3150333547561219</v>
      </c>
      <c r="M22" s="8" t="s">
        <v>226</v>
      </c>
      <c r="N22" s="15">
        <v>-2.0043558547561222</v>
      </c>
      <c r="O22" s="8" t="s">
        <v>226</v>
      </c>
      <c r="P22" s="15">
        <v>-1.709055354756122</v>
      </c>
      <c r="Q22" s="8" t="s">
        <v>226</v>
      </c>
      <c r="R22" s="15">
        <v>-1.762841954756122</v>
      </c>
      <c r="S22" s="8" t="s">
        <v>226</v>
      </c>
      <c r="T22" s="15">
        <v>-1.500106354756122</v>
      </c>
      <c r="U22" s="8" t="s">
        <v>226</v>
      </c>
      <c r="V22" s="15">
        <v>-1.631614054756122</v>
      </c>
      <c r="W22" s="8" t="s">
        <v>226</v>
      </c>
      <c r="X22" s="15">
        <v>-1.5066070547561221</v>
      </c>
      <c r="Y22" s="8" t="s">
        <v>226</v>
      </c>
      <c r="Z22" s="15">
        <v>-1.6585622547561221</v>
      </c>
      <c r="AA22" s="8" t="s">
        <v>226</v>
      </c>
      <c r="AB22" s="15">
        <v>-1.502532354756122</v>
      </c>
      <c r="AC22" s="8" t="s">
        <v>226</v>
      </c>
      <c r="AD22" s="15">
        <v>-1.223056054756122</v>
      </c>
      <c r="AE22" s="8" t="s">
        <v>226</v>
      </c>
      <c r="AF22" s="15">
        <v>-1.070641354756122</v>
      </c>
      <c r="AG22" s="8" t="s">
        <v>226</v>
      </c>
      <c r="AH22" s="15">
        <v>-1.036319654756122</v>
      </c>
      <c r="AI22" s="8" t="s">
        <v>226</v>
      </c>
      <c r="AJ22" s="15">
        <v>-0.84461315475612164</v>
      </c>
      <c r="AK22" s="8" t="s">
        <v>226</v>
      </c>
      <c r="AL22" s="15">
        <v>-0.73304845475612168</v>
      </c>
      <c r="AM22" s="8" t="s">
        <v>226</v>
      </c>
      <c r="AN22" s="15">
        <v>-0.85168435475612181</v>
      </c>
      <c r="AO22" s="8" t="s">
        <v>226</v>
      </c>
      <c r="AP22" s="15">
        <v>-0.87348308575612166</v>
      </c>
      <c r="AQ22" s="8" t="s">
        <v>226</v>
      </c>
      <c r="AR22" s="15">
        <v>-0.56984506375612176</v>
      </c>
      <c r="AS22" s="8" t="s">
        <v>226</v>
      </c>
      <c r="AT22" s="15">
        <v>-5.8037546756121723E-2</v>
      </c>
      <c r="AU22" s="8"/>
      <c r="AV22" s="16">
        <v>-4.4871772055824037E-2</v>
      </c>
      <c r="AW22" s="8"/>
    </row>
    <row r="23" spans="1:49" ht="15.75" x14ac:dyDescent="0.25">
      <c r="A23" s="7" t="s">
        <v>253</v>
      </c>
      <c r="B23" s="15">
        <v>-4.2468016856458863</v>
      </c>
      <c r="C23" s="8" t="s">
        <v>226</v>
      </c>
      <c r="D23" s="15">
        <v>-3.5912583856458862</v>
      </c>
      <c r="E23" s="8" t="s">
        <v>226</v>
      </c>
      <c r="F23" s="15">
        <v>-3.008150085645886</v>
      </c>
      <c r="G23" s="8" t="s">
        <v>226</v>
      </c>
      <c r="H23" s="15">
        <v>-2.1459019856458861</v>
      </c>
      <c r="I23" s="8" t="s">
        <v>226</v>
      </c>
      <c r="J23" s="15">
        <v>-2.1525883856458861</v>
      </c>
      <c r="K23" s="8" t="s">
        <v>226</v>
      </c>
      <c r="L23" s="15">
        <v>-2.0226529856458861</v>
      </c>
      <c r="M23" s="8" t="s">
        <v>226</v>
      </c>
      <c r="N23" s="15">
        <v>-1.608204185645886</v>
      </c>
      <c r="O23" s="8" t="s">
        <v>226</v>
      </c>
      <c r="P23" s="15">
        <v>-1.4284279856458859</v>
      </c>
      <c r="Q23" s="8" t="s">
        <v>226</v>
      </c>
      <c r="R23" s="15">
        <v>-1.499384485645886</v>
      </c>
      <c r="S23" s="8" t="s">
        <v>226</v>
      </c>
      <c r="T23" s="15">
        <v>-1.2599230856458861</v>
      </c>
      <c r="U23" s="8" t="s">
        <v>226</v>
      </c>
      <c r="V23" s="15">
        <v>-1.370723685645886</v>
      </c>
      <c r="W23" s="8" t="s">
        <v>226</v>
      </c>
      <c r="X23" s="15">
        <v>-1.2298224856458859</v>
      </c>
      <c r="Y23" s="8" t="s">
        <v>226</v>
      </c>
      <c r="Z23" s="15">
        <v>-1.265481785645886</v>
      </c>
      <c r="AA23" s="8" t="s">
        <v>226</v>
      </c>
      <c r="AB23" s="15">
        <v>-1.2075189856458859</v>
      </c>
      <c r="AC23" s="8" t="s">
        <v>226</v>
      </c>
      <c r="AD23" s="15">
        <v>-1.0203607856458861</v>
      </c>
      <c r="AE23" s="8" t="s">
        <v>226</v>
      </c>
      <c r="AF23" s="15">
        <v>-0.83118048564588598</v>
      </c>
      <c r="AG23" s="8" t="s">
        <v>226</v>
      </c>
      <c r="AH23" s="15">
        <v>-0.83396098564588605</v>
      </c>
      <c r="AI23" s="8" t="s">
        <v>226</v>
      </c>
      <c r="AJ23" s="15">
        <v>-0.6837517856458859</v>
      </c>
      <c r="AK23" s="8" t="s">
        <v>226</v>
      </c>
      <c r="AL23" s="15">
        <v>-0.50567648564588596</v>
      </c>
      <c r="AM23" s="8" t="s">
        <v>226</v>
      </c>
      <c r="AN23" s="15">
        <v>-0.68534488564588592</v>
      </c>
      <c r="AO23" s="8" t="s">
        <v>226</v>
      </c>
      <c r="AP23" s="15">
        <v>-0.67677936564588603</v>
      </c>
      <c r="AQ23" s="8" t="s">
        <v>226</v>
      </c>
      <c r="AR23" s="15">
        <v>-0.46483739464588603</v>
      </c>
      <c r="AS23" s="8" t="s">
        <v>226</v>
      </c>
      <c r="AT23" s="15">
        <v>-7.2466575645886044E-2</v>
      </c>
      <c r="AU23" s="8"/>
      <c r="AV23" s="16">
        <v>-2.512221162411965E-2</v>
      </c>
      <c r="AW23" s="8"/>
    </row>
    <row r="24" spans="1:49" ht="15.75" x14ac:dyDescent="0.25">
      <c r="A24" s="7" t="s">
        <v>254</v>
      </c>
      <c r="B24" s="15">
        <v>-0.96072859965097224</v>
      </c>
      <c r="C24" s="8" t="s">
        <v>226</v>
      </c>
      <c r="D24" s="15">
        <v>-0.60412349965097234</v>
      </c>
      <c r="E24" s="8" t="s">
        <v>226</v>
      </c>
      <c r="F24" s="15">
        <v>-0.61663109965097229</v>
      </c>
      <c r="G24" s="8" t="s">
        <v>226</v>
      </c>
      <c r="H24" s="15">
        <v>-0.61390909965097218</v>
      </c>
      <c r="I24" s="8" t="s">
        <v>226</v>
      </c>
      <c r="J24" s="15">
        <v>-0.51419219965097218</v>
      </c>
      <c r="K24" s="8" t="s">
        <v>226</v>
      </c>
      <c r="L24" s="15">
        <v>-0.36136379965097232</v>
      </c>
      <c r="M24" s="8" t="s">
        <v>226</v>
      </c>
      <c r="N24" s="15">
        <v>-0.43377469965097221</v>
      </c>
      <c r="O24" s="8" t="s">
        <v>226</v>
      </c>
      <c r="P24" s="15">
        <v>-0.32927139965097219</v>
      </c>
      <c r="Q24" s="8" t="s">
        <v>226</v>
      </c>
      <c r="R24" s="15">
        <v>-0.29500889965097232</v>
      </c>
      <c r="S24" s="8" t="s">
        <v>226</v>
      </c>
      <c r="T24" s="15">
        <v>-0.27235189965097217</v>
      </c>
      <c r="U24" s="8" t="s">
        <v>226</v>
      </c>
      <c r="V24" s="15">
        <v>-0.28188829965097217</v>
      </c>
      <c r="W24" s="8" t="s">
        <v>226</v>
      </c>
      <c r="X24" s="15">
        <v>-0.30364339965097231</v>
      </c>
      <c r="Y24" s="8" t="s">
        <v>226</v>
      </c>
      <c r="Z24" s="15">
        <v>-0.42644369965097217</v>
      </c>
      <c r="AA24" s="8" t="s">
        <v>226</v>
      </c>
      <c r="AB24" s="15">
        <v>-0.31048289965097231</v>
      </c>
      <c r="AC24" s="8" t="s">
        <v>226</v>
      </c>
      <c r="AD24" s="15">
        <v>-0.22916089965097219</v>
      </c>
      <c r="AE24" s="8" t="s">
        <v>226</v>
      </c>
      <c r="AF24" s="15">
        <v>-0.25141569965097232</v>
      </c>
      <c r="AG24" s="8" t="s">
        <v>226</v>
      </c>
      <c r="AH24" s="15">
        <v>-0.2179095996509722</v>
      </c>
      <c r="AI24" s="8" t="s">
        <v>226</v>
      </c>
      <c r="AJ24" s="15">
        <v>-0.1699882996509722</v>
      </c>
      <c r="AK24" s="8" t="s">
        <v>226</v>
      </c>
      <c r="AL24" s="15">
        <v>-0.23924119965097221</v>
      </c>
      <c r="AM24" s="8" t="s">
        <v>226</v>
      </c>
      <c r="AN24" s="15">
        <v>-0.18228939965097221</v>
      </c>
      <c r="AO24" s="8" t="s">
        <v>226</v>
      </c>
      <c r="AP24" s="15">
        <v>-0.21124922365097229</v>
      </c>
      <c r="AQ24" s="8" t="s">
        <v>226</v>
      </c>
      <c r="AR24" s="15">
        <v>-0.1072558816509723</v>
      </c>
      <c r="AS24" s="8" t="s">
        <v>226</v>
      </c>
      <c r="AT24" s="15">
        <v>2.3137397349027759E-2</v>
      </c>
      <c r="AU24" s="8"/>
      <c r="AV24" s="16">
        <v>-1.5089604599750671E-2</v>
      </c>
      <c r="AW24" s="8"/>
    </row>
    <row r="25" spans="1:49" ht="15.75" x14ac:dyDescent="0.25">
      <c r="A25" s="7" t="s">
        <v>255</v>
      </c>
      <c r="B25" s="15">
        <v>-2.7395395648683518</v>
      </c>
      <c r="C25" s="8" t="s">
        <v>226</v>
      </c>
      <c r="D25" s="15">
        <v>-2.570842264868352</v>
      </c>
      <c r="E25" s="8" t="s">
        <v>226</v>
      </c>
      <c r="F25" s="15">
        <v>-1.9035910648683509</v>
      </c>
      <c r="G25" s="8" t="s">
        <v>226</v>
      </c>
      <c r="H25" s="15">
        <v>-1.323252164868352</v>
      </c>
      <c r="I25" s="8" t="s">
        <v>226</v>
      </c>
      <c r="J25" s="15">
        <v>-1.2048807648683511</v>
      </c>
      <c r="K25" s="8" t="s">
        <v>226</v>
      </c>
      <c r="L25" s="15">
        <v>-1.204453264868351</v>
      </c>
      <c r="M25" s="8" t="s">
        <v>226</v>
      </c>
      <c r="N25" s="15">
        <v>-0.79043206486835138</v>
      </c>
      <c r="O25" s="8" t="s">
        <v>226</v>
      </c>
      <c r="P25" s="15">
        <v>-0.73738566486835144</v>
      </c>
      <c r="Q25" s="8" t="s">
        <v>226</v>
      </c>
      <c r="R25" s="15">
        <v>-0.82549586486835147</v>
      </c>
      <c r="S25" s="8" t="s">
        <v>226</v>
      </c>
      <c r="T25" s="15">
        <v>-0.7160218648683514</v>
      </c>
      <c r="U25" s="8" t="s">
        <v>226</v>
      </c>
      <c r="V25" s="15">
        <v>-0.72159466486835133</v>
      </c>
      <c r="W25" s="8" t="s">
        <v>226</v>
      </c>
      <c r="X25" s="15">
        <v>-0.60941236486835137</v>
      </c>
      <c r="Y25" s="8" t="s">
        <v>226</v>
      </c>
      <c r="Z25" s="15">
        <v>-0.82001546486835153</v>
      </c>
      <c r="AA25" s="8" t="s">
        <v>226</v>
      </c>
      <c r="AB25" s="15">
        <v>-0.63508446486835135</v>
      </c>
      <c r="AC25" s="8" t="s">
        <v>226</v>
      </c>
      <c r="AD25" s="15">
        <v>-0.64705536486835147</v>
      </c>
      <c r="AE25" s="8" t="s">
        <v>226</v>
      </c>
      <c r="AF25" s="15">
        <v>-0.48902546486835152</v>
      </c>
      <c r="AG25" s="8" t="s">
        <v>226</v>
      </c>
      <c r="AH25" s="15">
        <v>-0.54211496486835142</v>
      </c>
      <c r="AI25" s="8" t="s">
        <v>226</v>
      </c>
      <c r="AJ25" s="15">
        <v>-0.36443486486835153</v>
      </c>
      <c r="AK25" s="8" t="s">
        <v>226</v>
      </c>
      <c r="AL25" s="15">
        <v>-0.26900066486835139</v>
      </c>
      <c r="AM25" s="8" t="s">
        <v>226</v>
      </c>
      <c r="AN25" s="15">
        <v>-0.38068226486835149</v>
      </c>
      <c r="AO25" s="8" t="s">
        <v>226</v>
      </c>
      <c r="AP25" s="15">
        <v>-0.38340628786835151</v>
      </c>
      <c r="AQ25" s="8" t="s">
        <v>226</v>
      </c>
      <c r="AR25" s="15">
        <v>-0.31419643686835153</v>
      </c>
      <c r="AS25" s="8" t="s">
        <v>226</v>
      </c>
      <c r="AT25" s="15">
        <v>-0.15771793286835151</v>
      </c>
      <c r="AU25" s="8" t="s">
        <v>226</v>
      </c>
      <c r="AV25" s="16">
        <v>-0.1407082817584919</v>
      </c>
      <c r="AW25" s="8" t="s">
        <v>226</v>
      </c>
    </row>
    <row r="26" spans="1:49" ht="24" customHeight="1" x14ac:dyDescent="0.25">
      <c r="A26" s="7" t="s">
        <v>239</v>
      </c>
      <c r="B26" s="15">
        <v>-5.4534483069300288</v>
      </c>
      <c r="C26" s="8" t="s">
        <v>226</v>
      </c>
      <c r="D26" s="15">
        <v>-4.7144766069300283</v>
      </c>
      <c r="E26" s="8" t="s">
        <v>226</v>
      </c>
      <c r="F26" s="15">
        <v>-3.4400004069300292</v>
      </c>
      <c r="G26" s="8" t="s">
        <v>226</v>
      </c>
      <c r="H26" s="15">
        <v>-2.6528026069300279</v>
      </c>
      <c r="I26" s="8" t="s">
        <v>226</v>
      </c>
      <c r="J26" s="15">
        <v>-2.5784988069300292</v>
      </c>
      <c r="K26" s="8" t="s">
        <v>226</v>
      </c>
      <c r="L26" s="15">
        <v>-2.4507918069300292</v>
      </c>
      <c r="M26" s="8" t="s">
        <v>226</v>
      </c>
      <c r="N26" s="15">
        <v>-1.9291097069300289</v>
      </c>
      <c r="O26" s="8" t="s">
        <v>226</v>
      </c>
      <c r="P26" s="15">
        <v>-1.666727606930029</v>
      </c>
      <c r="Q26" s="8" t="s">
        <v>226</v>
      </c>
      <c r="R26" s="15">
        <v>-1.760871006930028</v>
      </c>
      <c r="S26" s="8" t="s">
        <v>226</v>
      </c>
      <c r="T26" s="15">
        <v>-1.6107460069300279</v>
      </c>
      <c r="U26" s="8" t="s">
        <v>226</v>
      </c>
      <c r="V26" s="15">
        <v>-1.6799523069300291</v>
      </c>
      <c r="W26" s="8" t="s">
        <v>226</v>
      </c>
      <c r="X26" s="15">
        <v>-1.4460583069300279</v>
      </c>
      <c r="Y26" s="8" t="s">
        <v>226</v>
      </c>
      <c r="Z26" s="15">
        <v>-1.7450230069300281</v>
      </c>
      <c r="AA26" s="8" t="s">
        <v>226</v>
      </c>
      <c r="AB26" s="15">
        <v>-1.5739187069300291</v>
      </c>
      <c r="AC26" s="8" t="s">
        <v>226</v>
      </c>
      <c r="AD26" s="15">
        <v>-1.3079472069300291</v>
      </c>
      <c r="AE26" s="8" t="s">
        <v>226</v>
      </c>
      <c r="AF26" s="15">
        <v>-1.142955106930029</v>
      </c>
      <c r="AG26" s="8" t="s">
        <v>226</v>
      </c>
      <c r="AH26" s="15">
        <v>-1.084297706930029</v>
      </c>
      <c r="AI26" s="8" t="s">
        <v>226</v>
      </c>
      <c r="AJ26" s="15">
        <v>-0.77707850693002867</v>
      </c>
      <c r="AK26" s="8" t="s">
        <v>226</v>
      </c>
      <c r="AL26" s="15">
        <v>-0.69014330693002857</v>
      </c>
      <c r="AM26" s="8" t="s">
        <v>226</v>
      </c>
      <c r="AN26" s="15">
        <v>-0.86184800693002861</v>
      </c>
      <c r="AO26" s="8" t="s">
        <v>226</v>
      </c>
      <c r="AP26" s="15">
        <v>-0.93132348793002862</v>
      </c>
      <c r="AQ26" s="8" t="s">
        <v>226</v>
      </c>
      <c r="AR26" s="15">
        <v>-0.7362113529300286</v>
      </c>
      <c r="AS26" s="8" t="s">
        <v>226</v>
      </c>
      <c r="AT26" s="15">
        <v>-0.17152817693002859</v>
      </c>
      <c r="AU26" s="8" t="s">
        <v>226</v>
      </c>
      <c r="AV26" s="16">
        <v>-0.1205472211519365</v>
      </c>
      <c r="AW26" s="8"/>
    </row>
    <row r="27" spans="1:49" ht="15.75" x14ac:dyDescent="0.25">
      <c r="A27" s="7" t="s">
        <v>256</v>
      </c>
      <c r="B27" s="15">
        <v>-3.2704460652632101</v>
      </c>
      <c r="C27" s="8" t="s">
        <v>226</v>
      </c>
      <c r="D27" s="15">
        <v>-2.6930314652632101</v>
      </c>
      <c r="E27" s="8" t="s">
        <v>226</v>
      </c>
      <c r="F27" s="15">
        <v>-2.0811756652632099</v>
      </c>
      <c r="G27" s="8" t="s">
        <v>226</v>
      </c>
      <c r="H27" s="15">
        <v>-1.6200544652632101</v>
      </c>
      <c r="I27" s="8" t="s">
        <v>226</v>
      </c>
      <c r="J27" s="15">
        <v>-1.6294577652632101</v>
      </c>
      <c r="K27" s="8" t="s">
        <v>226</v>
      </c>
      <c r="L27" s="15">
        <v>-1.53030896526321</v>
      </c>
      <c r="M27" s="8" t="s">
        <v>226</v>
      </c>
      <c r="N27" s="15">
        <v>-1.3177907652632099</v>
      </c>
      <c r="O27" s="8" t="s">
        <v>226</v>
      </c>
      <c r="P27" s="15">
        <v>-1.10048826526321</v>
      </c>
      <c r="Q27" s="8" t="s">
        <v>226</v>
      </c>
      <c r="R27" s="15">
        <v>-1.1274536652632099</v>
      </c>
      <c r="S27" s="8" t="s">
        <v>226</v>
      </c>
      <c r="T27" s="15">
        <v>-1.03871156526321</v>
      </c>
      <c r="U27" s="8" t="s">
        <v>226</v>
      </c>
      <c r="V27" s="15">
        <v>-1.14155426526321</v>
      </c>
      <c r="W27" s="8" t="s">
        <v>226</v>
      </c>
      <c r="X27" s="15">
        <v>-1.0250365652632101</v>
      </c>
      <c r="Y27" s="8" t="s">
        <v>226</v>
      </c>
      <c r="Z27" s="15">
        <v>-1.1459708652632099</v>
      </c>
      <c r="AA27" s="8" t="s">
        <v>226</v>
      </c>
      <c r="AB27" s="15">
        <v>-1.09784096526321</v>
      </c>
      <c r="AC27" s="8" t="s">
        <v>226</v>
      </c>
      <c r="AD27" s="15">
        <v>-0.83887026526321018</v>
      </c>
      <c r="AE27" s="8" t="s">
        <v>226</v>
      </c>
      <c r="AF27" s="15">
        <v>-0.77649926526321</v>
      </c>
      <c r="AG27" s="8" t="s">
        <v>226</v>
      </c>
      <c r="AH27" s="15">
        <v>-0.6977885652632102</v>
      </c>
      <c r="AI27" s="8" t="s">
        <v>226</v>
      </c>
      <c r="AJ27" s="15">
        <v>-0.51367246526321009</v>
      </c>
      <c r="AK27" s="8" t="s">
        <v>226</v>
      </c>
      <c r="AL27" s="15">
        <v>-0.47216496526321022</v>
      </c>
      <c r="AM27" s="8" t="s">
        <v>226</v>
      </c>
      <c r="AN27" s="15">
        <v>-0.59524216526321017</v>
      </c>
      <c r="AO27" s="8" t="s">
        <v>226</v>
      </c>
      <c r="AP27" s="15">
        <v>-0.61649643926321007</v>
      </c>
      <c r="AQ27" s="8" t="s">
        <v>226</v>
      </c>
      <c r="AR27" s="15">
        <v>-0.43907837326321009</v>
      </c>
      <c r="AS27" s="8" t="s">
        <v>226</v>
      </c>
      <c r="AT27" s="15">
        <v>-6.1193195263210098E-2</v>
      </c>
      <c r="AU27" s="8"/>
      <c r="AV27" s="16">
        <v>-3.0070672943144802E-2</v>
      </c>
      <c r="AW27" s="8"/>
    </row>
    <row r="28" spans="1:49" ht="15.75" x14ac:dyDescent="0.25">
      <c r="A28" s="7" t="s">
        <v>149</v>
      </c>
      <c r="B28" s="15">
        <v>-2.7764212271266842</v>
      </c>
      <c r="C28" s="8" t="s">
        <v>226</v>
      </c>
      <c r="D28" s="15">
        <v>-2.2678481271266842</v>
      </c>
      <c r="E28" s="8" t="s">
        <v>226</v>
      </c>
      <c r="F28" s="15">
        <v>-1.648591927126684</v>
      </c>
      <c r="G28" s="8" t="s">
        <v>226</v>
      </c>
      <c r="H28" s="15">
        <v>-1.289679027126684</v>
      </c>
      <c r="I28" s="8" t="s">
        <v>226</v>
      </c>
      <c r="J28" s="15">
        <v>-1.349886827126684</v>
      </c>
      <c r="K28" s="8" t="s">
        <v>226</v>
      </c>
      <c r="L28" s="15">
        <v>-1.3381255271266841</v>
      </c>
      <c r="M28" s="8" t="s">
        <v>226</v>
      </c>
      <c r="N28" s="15">
        <v>-1.014376027126684</v>
      </c>
      <c r="O28" s="8" t="s">
        <v>226</v>
      </c>
      <c r="P28" s="15">
        <v>-0.92741872712668361</v>
      </c>
      <c r="Q28" s="8" t="s">
        <v>226</v>
      </c>
      <c r="R28" s="15">
        <v>-0.95505512712668361</v>
      </c>
      <c r="S28" s="8" t="s">
        <v>226</v>
      </c>
      <c r="T28" s="15">
        <v>-0.86189472712668347</v>
      </c>
      <c r="U28" s="8" t="s">
        <v>226</v>
      </c>
      <c r="V28" s="15">
        <v>-0.94389642712668365</v>
      </c>
      <c r="W28" s="8" t="s">
        <v>226</v>
      </c>
      <c r="X28" s="15">
        <v>-0.80859552712668359</v>
      </c>
      <c r="Y28" s="8" t="s">
        <v>226</v>
      </c>
      <c r="Z28" s="15">
        <v>-0.84307172712668366</v>
      </c>
      <c r="AA28" s="8" t="s">
        <v>226</v>
      </c>
      <c r="AB28" s="15">
        <v>-0.84499482712668361</v>
      </c>
      <c r="AC28" s="8" t="s">
        <v>226</v>
      </c>
      <c r="AD28" s="15">
        <v>-0.67006372712668361</v>
      </c>
      <c r="AE28" s="8" t="s">
        <v>226</v>
      </c>
      <c r="AF28" s="15">
        <v>-0.58478252712668355</v>
      </c>
      <c r="AG28" s="8" t="s">
        <v>226</v>
      </c>
      <c r="AH28" s="15">
        <v>-0.52707442712668362</v>
      </c>
      <c r="AI28" s="8" t="s">
        <v>226</v>
      </c>
      <c r="AJ28" s="15">
        <v>-0.38413522712668358</v>
      </c>
      <c r="AK28" s="8" t="s">
        <v>226</v>
      </c>
      <c r="AL28" s="15">
        <v>-0.30996422712668359</v>
      </c>
      <c r="AM28" s="8" t="s">
        <v>226</v>
      </c>
      <c r="AN28" s="15">
        <v>-0.45711372712668352</v>
      </c>
      <c r="AO28" s="8" t="s">
        <v>226</v>
      </c>
      <c r="AP28" s="15">
        <v>-0.46248042312668358</v>
      </c>
      <c r="AQ28" s="8" t="s">
        <v>226</v>
      </c>
      <c r="AR28" s="15">
        <v>-0.34022574912668357</v>
      </c>
      <c r="AS28" s="8" t="s">
        <v>226</v>
      </c>
      <c r="AT28" s="15">
        <v>-6.9382114126683575E-2</v>
      </c>
      <c r="AU28" s="8"/>
      <c r="AV28" s="16">
        <v>-1.271817370865388E-2</v>
      </c>
      <c r="AW28" s="8"/>
    </row>
    <row r="29" spans="1:49" ht="15.75" x14ac:dyDescent="0.25">
      <c r="A29" s="7" t="s">
        <v>150</v>
      </c>
      <c r="B29" s="15">
        <v>-0.55944696684689132</v>
      </c>
      <c r="C29" s="8" t="s">
        <v>226</v>
      </c>
      <c r="D29" s="15">
        <v>-0.49897256684689129</v>
      </c>
      <c r="E29" s="8" t="s">
        <v>226</v>
      </c>
      <c r="F29" s="15">
        <v>-0.46346096684689131</v>
      </c>
      <c r="G29" s="8" t="s">
        <v>226</v>
      </c>
      <c r="H29" s="15">
        <v>-0.34952946684689129</v>
      </c>
      <c r="I29" s="8" t="s">
        <v>226</v>
      </c>
      <c r="J29" s="15">
        <v>-0.31515246684689119</v>
      </c>
      <c r="K29" s="8" t="s">
        <v>226</v>
      </c>
      <c r="L29" s="15">
        <v>-0.24386586684689129</v>
      </c>
      <c r="M29" s="8" t="s">
        <v>226</v>
      </c>
      <c r="N29" s="15">
        <v>-0.33186366684689128</v>
      </c>
      <c r="O29" s="8" t="s">
        <v>226</v>
      </c>
      <c r="P29" s="15">
        <v>-0.2185713668468913</v>
      </c>
      <c r="Q29" s="8" t="s">
        <v>226</v>
      </c>
      <c r="R29" s="15">
        <v>-0.1999243668468913</v>
      </c>
      <c r="S29" s="8" t="s">
        <v>226</v>
      </c>
      <c r="T29" s="15">
        <v>-0.19772776684689131</v>
      </c>
      <c r="U29" s="8" t="s">
        <v>226</v>
      </c>
      <c r="V29" s="15">
        <v>-0.2146449668468913</v>
      </c>
      <c r="W29" s="8" t="s">
        <v>226</v>
      </c>
      <c r="X29" s="15">
        <v>-0.23558196684689131</v>
      </c>
      <c r="Y29" s="8" t="s">
        <v>226</v>
      </c>
      <c r="Z29" s="15">
        <v>-0.32576746684689128</v>
      </c>
      <c r="AA29" s="8" t="s">
        <v>226</v>
      </c>
      <c r="AB29" s="15">
        <v>-0.26272286684689128</v>
      </c>
      <c r="AC29" s="8" t="s">
        <v>226</v>
      </c>
      <c r="AD29" s="15">
        <v>-0.19159896684689129</v>
      </c>
      <c r="AE29" s="8" t="s">
        <v>226</v>
      </c>
      <c r="AF29" s="15">
        <v>-0.20040666684689129</v>
      </c>
      <c r="AG29" s="8" t="s">
        <v>226</v>
      </c>
      <c r="AH29" s="15">
        <v>-0.18656696684689131</v>
      </c>
      <c r="AI29" s="8" t="s">
        <v>226</v>
      </c>
      <c r="AJ29" s="15">
        <v>-0.1408066668468913</v>
      </c>
      <c r="AK29" s="8" t="s">
        <v>226</v>
      </c>
      <c r="AL29" s="15">
        <v>-0.1733277668468913</v>
      </c>
      <c r="AM29" s="8" t="s">
        <v>226</v>
      </c>
      <c r="AN29" s="15">
        <v>-0.15553926684689129</v>
      </c>
      <c r="AO29" s="8" t="s">
        <v>226</v>
      </c>
      <c r="AP29" s="15">
        <v>-0.17215941784689129</v>
      </c>
      <c r="AQ29" s="8" t="s">
        <v>226</v>
      </c>
      <c r="AR29" s="15">
        <v>-0.1064831358468913</v>
      </c>
      <c r="AS29" s="8" t="s">
        <v>226</v>
      </c>
      <c r="AT29" s="15">
        <v>1.1514991153108721E-2</v>
      </c>
      <c r="AU29" s="8"/>
      <c r="AV29" s="16">
        <v>-1.636151848628889E-2</v>
      </c>
      <c r="AW29" s="8"/>
    </row>
    <row r="30" spans="1:49" ht="15.75" x14ac:dyDescent="0.25">
      <c r="A30" s="7" t="s">
        <v>257</v>
      </c>
      <c r="B30" s="15">
        <v>-2.447938556835159</v>
      </c>
      <c r="C30" s="8" t="s">
        <v>226</v>
      </c>
      <c r="D30" s="15">
        <v>-2.25526465683516</v>
      </c>
      <c r="E30" s="8" t="s">
        <v>226</v>
      </c>
      <c r="F30" s="15">
        <v>-1.5288686568351599</v>
      </c>
      <c r="G30" s="8" t="s">
        <v>226</v>
      </c>
      <c r="H30" s="15">
        <v>-1.114717056835159</v>
      </c>
      <c r="I30" s="8" t="s">
        <v>226</v>
      </c>
      <c r="J30" s="15">
        <v>-1.05972365683516</v>
      </c>
      <c r="K30" s="8" t="s">
        <v>226</v>
      </c>
      <c r="L30" s="15">
        <v>-1.01328785683516</v>
      </c>
      <c r="M30" s="8" t="s">
        <v>226</v>
      </c>
      <c r="N30" s="15">
        <v>-0.66655975683515967</v>
      </c>
      <c r="O30" s="8" t="s">
        <v>226</v>
      </c>
      <c r="P30" s="15">
        <v>-0.61252185683515969</v>
      </c>
      <c r="Q30" s="8" t="s">
        <v>226</v>
      </c>
      <c r="R30" s="15">
        <v>-0.70015845683515965</v>
      </c>
      <c r="S30" s="8" t="s">
        <v>226</v>
      </c>
      <c r="T30" s="15">
        <v>-0.60704615683515961</v>
      </c>
      <c r="U30" s="8" t="s">
        <v>226</v>
      </c>
      <c r="V30" s="15">
        <v>-0.60063855683515965</v>
      </c>
      <c r="W30" s="8" t="s">
        <v>226</v>
      </c>
      <c r="X30" s="15">
        <v>-0.48317995683515957</v>
      </c>
      <c r="Y30" s="8" t="s">
        <v>226</v>
      </c>
      <c r="Z30" s="15">
        <v>-0.65551005683515962</v>
      </c>
      <c r="AA30" s="8" t="s">
        <v>226</v>
      </c>
      <c r="AB30" s="15">
        <v>-0.52044355683515964</v>
      </c>
      <c r="AC30" s="8" t="s">
        <v>226</v>
      </c>
      <c r="AD30" s="15">
        <v>-0.51373755683515965</v>
      </c>
      <c r="AE30" s="8" t="s">
        <v>226</v>
      </c>
      <c r="AF30" s="15">
        <v>-0.39128425683515972</v>
      </c>
      <c r="AG30" s="8" t="s">
        <v>226</v>
      </c>
      <c r="AH30" s="15">
        <v>-0.42250795683515963</v>
      </c>
      <c r="AI30" s="8" t="s">
        <v>226</v>
      </c>
      <c r="AJ30" s="15">
        <v>-0.3103890568351596</v>
      </c>
      <c r="AK30" s="8" t="s">
        <v>226</v>
      </c>
      <c r="AL30" s="15">
        <v>-0.22730095683515961</v>
      </c>
      <c r="AM30" s="8" t="s">
        <v>226</v>
      </c>
      <c r="AN30" s="15">
        <v>-0.29898235683515961</v>
      </c>
      <c r="AO30" s="8" t="s">
        <v>226</v>
      </c>
      <c r="AP30" s="15">
        <v>-0.3363967088351596</v>
      </c>
      <c r="AQ30" s="8" t="s">
        <v>226</v>
      </c>
      <c r="AR30" s="15">
        <v>-0.31320845883515958</v>
      </c>
      <c r="AS30" s="8" t="s">
        <v>226</v>
      </c>
      <c r="AT30" s="15">
        <v>-0.12320212083515961</v>
      </c>
      <c r="AU30" s="8" t="s">
        <v>226</v>
      </c>
      <c r="AV30" s="16">
        <v>-8.9516684481460995E-2</v>
      </c>
      <c r="AW30" s="8"/>
    </row>
    <row r="31" spans="1:49" ht="23.25" customHeight="1" x14ac:dyDescent="0.25">
      <c r="A31" s="7" t="s">
        <v>240</v>
      </c>
      <c r="B31" s="15">
        <v>-2.2302448556934942</v>
      </c>
      <c r="C31" s="8" t="s">
        <v>226</v>
      </c>
      <c r="D31" s="15">
        <v>-1.8329845556934941</v>
      </c>
      <c r="E31" s="8" t="s">
        <v>226</v>
      </c>
      <c r="F31" s="15">
        <v>-1.922846955693494</v>
      </c>
      <c r="G31" s="8" t="s">
        <v>226</v>
      </c>
      <c r="H31" s="15">
        <v>-1.3530489556934939</v>
      </c>
      <c r="I31" s="8" t="s">
        <v>226</v>
      </c>
      <c r="J31" s="15">
        <v>-1.177778355693494</v>
      </c>
      <c r="K31" s="8" t="s">
        <v>226</v>
      </c>
      <c r="L31" s="15">
        <v>-1.0438696556934941</v>
      </c>
      <c r="M31" s="8" t="s">
        <v>226</v>
      </c>
      <c r="N31" s="15">
        <v>-0.82391005569349374</v>
      </c>
      <c r="O31" s="8" t="s">
        <v>226</v>
      </c>
      <c r="P31" s="15">
        <v>-0.75804415569349382</v>
      </c>
      <c r="Q31" s="8" t="s">
        <v>226</v>
      </c>
      <c r="R31" s="15">
        <v>-0.76862375569349384</v>
      </c>
      <c r="S31" s="8" t="s">
        <v>226</v>
      </c>
      <c r="T31" s="15">
        <v>-0.5721824556934938</v>
      </c>
      <c r="U31" s="8" t="s">
        <v>226</v>
      </c>
      <c r="V31" s="15">
        <v>-0.6434099556934938</v>
      </c>
      <c r="W31" s="8" t="s">
        <v>226</v>
      </c>
      <c r="X31" s="15">
        <v>-0.61528725569349385</v>
      </c>
      <c r="Y31" s="8" t="s">
        <v>226</v>
      </c>
      <c r="Z31" s="15">
        <v>-0.69061425569349377</v>
      </c>
      <c r="AA31" s="8" t="s">
        <v>226</v>
      </c>
      <c r="AB31" s="15">
        <v>-0.53055395569349395</v>
      </c>
      <c r="AC31" s="8" t="s">
        <v>226</v>
      </c>
      <c r="AD31" s="15">
        <v>-0.53472105569349382</v>
      </c>
      <c r="AE31" s="8" t="s">
        <v>226</v>
      </c>
      <c r="AF31" s="15">
        <v>-0.40627145569349382</v>
      </c>
      <c r="AG31" s="8" t="s">
        <v>226</v>
      </c>
      <c r="AH31" s="15">
        <v>-0.45813565569349379</v>
      </c>
      <c r="AI31" s="8" t="s">
        <v>226</v>
      </c>
      <c r="AJ31" s="15">
        <v>-0.38237655569349388</v>
      </c>
      <c r="AK31" s="8" t="s">
        <v>226</v>
      </c>
      <c r="AL31" s="15">
        <v>-0.30033535569349379</v>
      </c>
      <c r="AM31" s="8" t="s">
        <v>226</v>
      </c>
      <c r="AN31" s="15">
        <v>-0.33235085569349382</v>
      </c>
      <c r="AO31" s="8" t="s">
        <v>226</v>
      </c>
      <c r="AP31" s="15">
        <v>-0.31063062769349392</v>
      </c>
      <c r="AQ31" s="8" t="s">
        <v>226</v>
      </c>
      <c r="AR31" s="15">
        <v>-0.12586207469349389</v>
      </c>
      <c r="AS31" s="8" t="s">
        <v>226</v>
      </c>
      <c r="AT31" s="15">
        <v>-1.165762569349388E-2</v>
      </c>
      <c r="AU31" s="8"/>
      <c r="AV31" s="16">
        <v>-5.8918850763565338E-2</v>
      </c>
      <c r="AW31" s="8"/>
    </row>
    <row r="32" spans="1:49" ht="15.75" x14ac:dyDescent="0.25">
      <c r="A32" s="7" t="s">
        <v>256</v>
      </c>
      <c r="B32" s="15">
        <v>-1.9335723476603019</v>
      </c>
      <c r="C32" s="8" t="s">
        <v>226</v>
      </c>
      <c r="D32" s="15">
        <v>-1.5012100476603021</v>
      </c>
      <c r="E32" s="8" t="s">
        <v>226</v>
      </c>
      <c r="F32" s="15">
        <v>-1.5706448476603021</v>
      </c>
      <c r="G32" s="8" t="s">
        <v>226</v>
      </c>
      <c r="H32" s="15">
        <v>-1.147330247660302</v>
      </c>
      <c r="I32" s="8" t="s">
        <v>226</v>
      </c>
      <c r="J32" s="15">
        <v>-1.0451643476603021</v>
      </c>
      <c r="K32" s="8" t="s">
        <v>226</v>
      </c>
      <c r="L32" s="15">
        <v>-0.84307084766030194</v>
      </c>
      <c r="M32" s="8" t="s">
        <v>226</v>
      </c>
      <c r="N32" s="15">
        <v>-0.70461074766030185</v>
      </c>
      <c r="O32" s="8" t="s">
        <v>226</v>
      </c>
      <c r="P32" s="15">
        <v>-0.62904784766030186</v>
      </c>
      <c r="Q32" s="8" t="s">
        <v>226</v>
      </c>
      <c r="R32" s="15">
        <v>-0.64492964766030192</v>
      </c>
      <c r="S32" s="8" t="s">
        <v>226</v>
      </c>
      <c r="T32" s="15">
        <v>-0.46984534766030178</v>
      </c>
      <c r="U32" s="8" t="s">
        <v>226</v>
      </c>
      <c r="V32" s="15">
        <v>-0.52092084766030189</v>
      </c>
      <c r="W32" s="8" t="s">
        <v>226</v>
      </c>
      <c r="X32" s="15">
        <v>-0.49271094766030188</v>
      </c>
      <c r="Y32" s="8" t="s">
        <v>226</v>
      </c>
      <c r="Z32" s="15">
        <v>-0.52684824766030192</v>
      </c>
      <c r="AA32" s="8" t="s">
        <v>226</v>
      </c>
      <c r="AB32" s="15">
        <v>-0.41342324766030192</v>
      </c>
      <c r="AC32" s="8" t="s">
        <v>226</v>
      </c>
      <c r="AD32" s="15">
        <v>-0.40648574766030188</v>
      </c>
      <c r="AE32" s="8" t="s">
        <v>226</v>
      </c>
      <c r="AF32" s="15">
        <v>-0.31049634766030187</v>
      </c>
      <c r="AG32" s="8" t="s">
        <v>226</v>
      </c>
      <c r="AH32" s="15">
        <v>-0.33659244766030189</v>
      </c>
      <c r="AI32" s="8" t="s">
        <v>226</v>
      </c>
      <c r="AJ32" s="15">
        <v>-0.33107064766030192</v>
      </c>
      <c r="AK32" s="8" t="s">
        <v>226</v>
      </c>
      <c r="AL32" s="15">
        <v>-0.26015534766030191</v>
      </c>
      <c r="AM32" s="8" t="s">
        <v>226</v>
      </c>
      <c r="AN32" s="15">
        <v>-0.25071954766030191</v>
      </c>
      <c r="AO32" s="8" t="s">
        <v>226</v>
      </c>
      <c r="AP32" s="15">
        <v>-0.26046237866030192</v>
      </c>
      <c r="AQ32" s="8" t="s">
        <v>226</v>
      </c>
      <c r="AR32" s="15">
        <v>-0.12206449266030189</v>
      </c>
      <c r="AS32" s="8" t="s">
        <v>226</v>
      </c>
      <c r="AT32" s="15">
        <v>1.312501033969812E-2</v>
      </c>
      <c r="AU32" s="8"/>
      <c r="AV32" s="16">
        <v>-3.055657280069568E-3</v>
      </c>
      <c r="AW32" s="8"/>
    </row>
    <row r="33" spans="1:49" ht="15.75" x14ac:dyDescent="0.25">
      <c r="A33" s="7" t="s">
        <v>149</v>
      </c>
      <c r="B33" s="15">
        <v>-1.539434499838634</v>
      </c>
      <c r="C33" s="8" t="s">
        <v>226</v>
      </c>
      <c r="D33" s="15">
        <v>-1.411177899838634</v>
      </c>
      <c r="E33" s="8" t="s">
        <v>226</v>
      </c>
      <c r="F33" s="15">
        <v>-1.413736699838634</v>
      </c>
      <c r="G33" s="8" t="s">
        <v>226</v>
      </c>
      <c r="H33" s="15">
        <v>-0.89376409983863403</v>
      </c>
      <c r="I33" s="8" t="s">
        <v>226</v>
      </c>
      <c r="J33" s="15">
        <v>-0.85139209983863395</v>
      </c>
      <c r="K33" s="8" t="s">
        <v>226</v>
      </c>
      <c r="L33" s="15">
        <v>-0.73037549983863403</v>
      </c>
      <c r="M33" s="8" t="s">
        <v>226</v>
      </c>
      <c r="N33" s="15">
        <v>-0.60828569983863401</v>
      </c>
      <c r="O33" s="8" t="s">
        <v>226</v>
      </c>
      <c r="P33" s="15">
        <v>-0.52231009983863397</v>
      </c>
      <c r="Q33" s="8" t="s">
        <v>226</v>
      </c>
      <c r="R33" s="15">
        <v>-0.554078499838634</v>
      </c>
      <c r="S33" s="8" t="s">
        <v>226</v>
      </c>
      <c r="T33" s="15">
        <v>-0.40216649983863401</v>
      </c>
      <c r="U33" s="8" t="s">
        <v>226</v>
      </c>
      <c r="V33" s="15">
        <v>-0.45281639983863398</v>
      </c>
      <c r="W33" s="8" t="s">
        <v>226</v>
      </c>
      <c r="X33" s="15">
        <v>-0.42897459983863401</v>
      </c>
      <c r="Y33" s="8" t="s">
        <v>226</v>
      </c>
      <c r="Z33" s="15">
        <v>-0.43277069983863398</v>
      </c>
      <c r="AA33" s="8" t="s">
        <v>226</v>
      </c>
      <c r="AB33" s="15">
        <v>-0.37171079983863398</v>
      </c>
      <c r="AC33" s="8" t="s">
        <v>226</v>
      </c>
      <c r="AD33" s="15">
        <v>-0.37212999983863387</v>
      </c>
      <c r="AE33" s="8" t="s">
        <v>226</v>
      </c>
      <c r="AF33" s="15">
        <v>-0.25274969983863399</v>
      </c>
      <c r="AG33" s="8" t="s">
        <v>226</v>
      </c>
      <c r="AH33" s="15">
        <v>-0.31353639983863402</v>
      </c>
      <c r="AI33" s="8" t="s">
        <v>226</v>
      </c>
      <c r="AJ33" s="15">
        <v>-0.30283959983863401</v>
      </c>
      <c r="AK33" s="8" t="s">
        <v>226</v>
      </c>
      <c r="AL33" s="15">
        <v>-0.19860279983863399</v>
      </c>
      <c r="AM33" s="8" t="s">
        <v>226</v>
      </c>
      <c r="AN33" s="15">
        <v>-0.227175599838634</v>
      </c>
      <c r="AO33" s="8" t="s">
        <v>226</v>
      </c>
      <c r="AP33" s="15">
        <v>-0.221716092838634</v>
      </c>
      <c r="AQ33" s="8" t="s">
        <v>226</v>
      </c>
      <c r="AR33" s="15">
        <v>-0.124497930838634</v>
      </c>
      <c r="AS33" s="8" t="s">
        <v>226</v>
      </c>
      <c r="AT33" s="15">
        <v>-1.703581838633977E-3</v>
      </c>
      <c r="AU33" s="8"/>
      <c r="AV33" s="16">
        <v>-9.247079234897343E-3</v>
      </c>
      <c r="AW33" s="8"/>
    </row>
    <row r="34" spans="1:49" ht="15.75" x14ac:dyDescent="0.25">
      <c r="A34" s="7" t="s">
        <v>150</v>
      </c>
      <c r="B34" s="15">
        <v>-0.40555926915634921</v>
      </c>
      <c r="C34" s="8" t="s">
        <v>226</v>
      </c>
      <c r="D34" s="15">
        <v>-9.977956915634921E-2</v>
      </c>
      <c r="E34" s="8" t="s">
        <v>226</v>
      </c>
      <c r="F34" s="15">
        <v>-0.15474296915634919</v>
      </c>
      <c r="G34" s="8" t="s">
        <v>226</v>
      </c>
      <c r="H34" s="15">
        <v>-0.26147766915634918</v>
      </c>
      <c r="I34" s="8" t="s">
        <v>226</v>
      </c>
      <c r="J34" s="15">
        <v>-0.20404336915634921</v>
      </c>
      <c r="K34" s="8" t="s">
        <v>226</v>
      </c>
      <c r="L34" s="15">
        <v>-0.1166575691563492</v>
      </c>
      <c r="M34" s="8" t="s">
        <v>226</v>
      </c>
      <c r="N34" s="15">
        <v>-0.1020295691563492</v>
      </c>
      <c r="O34" s="8" t="s">
        <v>226</v>
      </c>
      <c r="P34" s="15">
        <v>-0.10681016915634919</v>
      </c>
      <c r="Q34" s="8" t="s">
        <v>226</v>
      </c>
      <c r="R34" s="15">
        <v>-8.9713169156349207E-2</v>
      </c>
      <c r="S34" s="8" t="s">
        <v>226</v>
      </c>
      <c r="T34" s="15">
        <v>-6.9252769156349217E-2</v>
      </c>
      <c r="U34" s="8" t="s">
        <v>226</v>
      </c>
      <c r="V34" s="15">
        <v>-6.7665269156349225E-2</v>
      </c>
      <c r="W34" s="8" t="s">
        <v>226</v>
      </c>
      <c r="X34" s="15">
        <v>-6.2690069156349212E-2</v>
      </c>
      <c r="Y34" s="8" t="s">
        <v>226</v>
      </c>
      <c r="Z34" s="15">
        <v>-9.5304969156349215E-2</v>
      </c>
      <c r="AA34" s="8" t="s">
        <v>226</v>
      </c>
      <c r="AB34" s="15">
        <v>-4.2388669156349222E-2</v>
      </c>
      <c r="AC34" s="8"/>
      <c r="AD34" s="15">
        <v>-3.2190569156349207E-2</v>
      </c>
      <c r="AE34" s="8"/>
      <c r="AF34" s="15">
        <v>-6.1526069156349207E-2</v>
      </c>
      <c r="AG34" s="8" t="s">
        <v>226</v>
      </c>
      <c r="AH34" s="15">
        <v>-2.597126915634922E-2</v>
      </c>
      <c r="AI34" s="8"/>
      <c r="AJ34" s="15">
        <v>-2.606586915634922E-2</v>
      </c>
      <c r="AK34" s="8"/>
      <c r="AL34" s="15">
        <v>-6.2535269156349202E-2</v>
      </c>
      <c r="AM34" s="8" t="s">
        <v>226</v>
      </c>
      <c r="AN34" s="15">
        <v>-2.1378769156349221E-2</v>
      </c>
      <c r="AO34" s="8"/>
      <c r="AP34" s="15">
        <v>-3.6581107156349227E-2</v>
      </c>
      <c r="AQ34" s="8"/>
      <c r="AR34" s="15">
        <v>4.5986178436507874E-3</v>
      </c>
      <c r="AS34" s="8"/>
      <c r="AT34" s="15">
        <v>1.699377084365079E-2</v>
      </c>
      <c r="AU34" s="8"/>
      <c r="AV34" s="16">
        <v>6.6432775342699646E-3</v>
      </c>
      <c r="AW34" s="8"/>
    </row>
    <row r="35" spans="1:49" ht="15.75" x14ac:dyDescent="0.25">
      <c r="A35" s="7" t="s">
        <v>257</v>
      </c>
      <c r="B35" s="15">
        <v>-0.30704890803319201</v>
      </c>
      <c r="C35" s="8" t="s">
        <v>226</v>
      </c>
      <c r="D35" s="15">
        <v>-0.34400010803319198</v>
      </c>
      <c r="E35" s="8" t="s">
        <v>226</v>
      </c>
      <c r="F35" s="15">
        <v>-0.38539830803319203</v>
      </c>
      <c r="G35" s="8" t="s">
        <v>226</v>
      </c>
      <c r="H35" s="15">
        <v>-0.211219308033192</v>
      </c>
      <c r="I35" s="8" t="s">
        <v>226</v>
      </c>
      <c r="J35" s="15">
        <v>-0.149833208033192</v>
      </c>
      <c r="K35" s="8" t="s">
        <v>226</v>
      </c>
      <c r="L35" s="15">
        <v>-0.204373908033192</v>
      </c>
      <c r="M35" s="8" t="s">
        <v>226</v>
      </c>
      <c r="N35" s="15">
        <v>-0.127388908033192</v>
      </c>
      <c r="O35" s="8" t="s">
        <v>226</v>
      </c>
      <c r="P35" s="15">
        <v>-0.130912908033192</v>
      </c>
      <c r="Q35" s="8" t="s">
        <v>226</v>
      </c>
      <c r="R35" s="15">
        <v>-0.13301970803319199</v>
      </c>
      <c r="S35" s="8" t="s">
        <v>226</v>
      </c>
      <c r="T35" s="15">
        <v>-0.11545850803319201</v>
      </c>
      <c r="U35" s="8" t="s">
        <v>226</v>
      </c>
      <c r="V35" s="15">
        <v>-0.12539240803319199</v>
      </c>
      <c r="W35" s="8" t="s">
        <v>226</v>
      </c>
      <c r="X35" s="15">
        <v>-0.126232408033192</v>
      </c>
      <c r="Y35" s="8" t="s">
        <v>226</v>
      </c>
      <c r="Z35" s="15">
        <v>-0.175701208033192</v>
      </c>
      <c r="AA35" s="8" t="s">
        <v>226</v>
      </c>
      <c r="AB35" s="15">
        <v>-0.12078070803319201</v>
      </c>
      <c r="AC35" s="8" t="s">
        <v>226</v>
      </c>
      <c r="AD35" s="15">
        <v>-0.13621910803319201</v>
      </c>
      <c r="AE35" s="8" t="s">
        <v>226</v>
      </c>
      <c r="AF35" s="15">
        <v>-0.102080808033192</v>
      </c>
      <c r="AG35" s="8" t="s">
        <v>226</v>
      </c>
      <c r="AH35" s="15">
        <v>-0.121543208033192</v>
      </c>
      <c r="AI35" s="8" t="s">
        <v>226</v>
      </c>
      <c r="AJ35" s="15">
        <v>-5.4045808033191978E-2</v>
      </c>
      <c r="AK35" s="8" t="s">
        <v>226</v>
      </c>
      <c r="AL35" s="15">
        <v>-4.7922008033191993E-2</v>
      </c>
      <c r="AM35" s="8"/>
      <c r="AN35" s="15">
        <v>-8.3843208033191979E-2</v>
      </c>
      <c r="AO35" s="8" t="s">
        <v>226</v>
      </c>
      <c r="AP35" s="15">
        <v>-5.3513412033191987E-2</v>
      </c>
      <c r="AQ35" s="8" t="s">
        <v>226</v>
      </c>
      <c r="AR35" s="15">
        <v>-3.7975830331919841E-3</v>
      </c>
      <c r="AS35" s="8"/>
      <c r="AT35" s="15">
        <v>-3.8773248033191987E-2</v>
      </c>
      <c r="AU35" s="8"/>
      <c r="AV35" s="16">
        <v>-5.586319348349586E-2</v>
      </c>
      <c r="AW35" s="8"/>
    </row>
    <row r="36" spans="1:49" ht="30" customHeight="1" x14ac:dyDescent="0.25">
      <c r="A36" s="4" t="s">
        <v>258</v>
      </c>
      <c r="B36" s="13">
        <v>-3.1551774275563078</v>
      </c>
      <c r="C36" s="5" t="s">
        <v>226</v>
      </c>
      <c r="D36" s="13">
        <v>-2.6081515275563079</v>
      </c>
      <c r="E36" s="5" t="s">
        <v>226</v>
      </c>
      <c r="F36" s="13">
        <v>-2.187607427556308</v>
      </c>
      <c r="G36" s="5" t="s">
        <v>226</v>
      </c>
      <c r="H36" s="13">
        <v>-1.337990127556308</v>
      </c>
      <c r="I36" s="5" t="s">
        <v>226</v>
      </c>
      <c r="J36" s="13">
        <v>-1.3089065275563081</v>
      </c>
      <c r="K36" s="5" t="s">
        <v>226</v>
      </c>
      <c r="L36" s="13">
        <v>-1.096921927556308</v>
      </c>
      <c r="M36" s="5" t="s">
        <v>226</v>
      </c>
      <c r="N36" s="13">
        <v>-0.845311327556308</v>
      </c>
      <c r="O36" s="5" t="s">
        <v>226</v>
      </c>
      <c r="P36" s="13">
        <v>-0.74856112755630821</v>
      </c>
      <c r="Q36" s="5" t="s">
        <v>226</v>
      </c>
      <c r="R36" s="13">
        <v>-0.99381622755630827</v>
      </c>
      <c r="S36" s="5" t="s">
        <v>226</v>
      </c>
      <c r="T36" s="13">
        <v>-0.6672034275563079</v>
      </c>
      <c r="U36" s="5" t="s">
        <v>226</v>
      </c>
      <c r="V36" s="13">
        <v>-0.83144492755630806</v>
      </c>
      <c r="W36" s="5" t="s">
        <v>226</v>
      </c>
      <c r="X36" s="13">
        <v>-0.96458322755630821</v>
      </c>
      <c r="Y36" s="5" t="s">
        <v>226</v>
      </c>
      <c r="Z36" s="13">
        <v>-1.210202527556308</v>
      </c>
      <c r="AA36" s="5" t="s">
        <v>226</v>
      </c>
      <c r="AB36" s="13">
        <v>-1.752059927556308</v>
      </c>
      <c r="AC36" s="5" t="s">
        <v>226</v>
      </c>
      <c r="AD36" s="13">
        <v>-1.355090027556308</v>
      </c>
      <c r="AE36" s="5" t="s">
        <v>226</v>
      </c>
      <c r="AF36" s="13">
        <v>-0.73777962755630799</v>
      </c>
      <c r="AG36" s="5" t="s">
        <v>226</v>
      </c>
      <c r="AH36" s="13">
        <v>-0.58727442755630799</v>
      </c>
      <c r="AI36" s="5" t="s">
        <v>226</v>
      </c>
      <c r="AJ36" s="13">
        <v>-0.33009002755630812</v>
      </c>
      <c r="AK36" s="5" t="s">
        <v>226</v>
      </c>
      <c r="AL36" s="13">
        <v>-5.6553927556308059E-2</v>
      </c>
      <c r="AM36" s="5"/>
      <c r="AN36" s="13">
        <v>6.2753472443692004E-2</v>
      </c>
      <c r="AO36" s="5"/>
      <c r="AP36" s="13">
        <v>-0.21907853055630791</v>
      </c>
      <c r="AQ36" s="5"/>
      <c r="AR36" s="13">
        <v>9.4670646443691941E-2</v>
      </c>
      <c r="AS36" s="5"/>
      <c r="AT36" s="13">
        <v>9.8976004443692034E-2</v>
      </c>
      <c r="AU36" s="5"/>
      <c r="AV36" s="14">
        <v>0.2366328756963085</v>
      </c>
      <c r="AW36" s="5"/>
    </row>
    <row r="37" spans="1:49" ht="15.75" x14ac:dyDescent="0.25">
      <c r="A37" s="7" t="s">
        <v>259</v>
      </c>
      <c r="B37" s="15">
        <v>-0.50426816634421634</v>
      </c>
      <c r="C37" s="8" t="s">
        <v>226</v>
      </c>
      <c r="D37" s="15">
        <v>-0.47967596634421622</v>
      </c>
      <c r="E37" s="8" t="s">
        <v>226</v>
      </c>
      <c r="F37" s="15">
        <v>-0.42394456634421618</v>
      </c>
      <c r="G37" s="8" t="s">
        <v>226</v>
      </c>
      <c r="H37" s="15">
        <v>-0.24763626634421629</v>
      </c>
      <c r="I37" s="8" t="s">
        <v>226</v>
      </c>
      <c r="J37" s="15">
        <v>-0.28621406634421631</v>
      </c>
      <c r="K37" s="8" t="s">
        <v>226</v>
      </c>
      <c r="L37" s="15">
        <v>-0.28211206634421632</v>
      </c>
      <c r="M37" s="8" t="s">
        <v>226</v>
      </c>
      <c r="N37" s="15">
        <v>-0.25410386634421628</v>
      </c>
      <c r="O37" s="8" t="s">
        <v>226</v>
      </c>
      <c r="P37" s="15">
        <v>-0.2151954663442163</v>
      </c>
      <c r="Q37" s="8" t="s">
        <v>226</v>
      </c>
      <c r="R37" s="15">
        <v>-0.21821316634421631</v>
      </c>
      <c r="S37" s="8" t="s">
        <v>226</v>
      </c>
      <c r="T37" s="15">
        <v>-0.16877206634421629</v>
      </c>
      <c r="U37" s="8" t="s">
        <v>226</v>
      </c>
      <c r="V37" s="15">
        <v>-0.1629540663442163</v>
      </c>
      <c r="W37" s="8" t="s">
        <v>226</v>
      </c>
      <c r="X37" s="15">
        <v>-0.18013146634421631</v>
      </c>
      <c r="Y37" s="8" t="s">
        <v>226</v>
      </c>
      <c r="Z37" s="15">
        <v>-0.19341936634421619</v>
      </c>
      <c r="AA37" s="8" t="s">
        <v>226</v>
      </c>
      <c r="AB37" s="15">
        <v>-0.18171666634421629</v>
      </c>
      <c r="AC37" s="8" t="s">
        <v>226</v>
      </c>
      <c r="AD37" s="15">
        <v>-0.1817738663442163</v>
      </c>
      <c r="AE37" s="8" t="s">
        <v>226</v>
      </c>
      <c r="AF37" s="15">
        <v>-0.1626430663442163</v>
      </c>
      <c r="AG37" s="8" t="s">
        <v>226</v>
      </c>
      <c r="AH37" s="15">
        <v>-0.16307146634421629</v>
      </c>
      <c r="AI37" s="8" t="s">
        <v>226</v>
      </c>
      <c r="AJ37" s="15">
        <v>-0.1440559663442163</v>
      </c>
      <c r="AK37" s="8" t="s">
        <v>226</v>
      </c>
      <c r="AL37" s="15">
        <v>-0.14090576634421631</v>
      </c>
      <c r="AM37" s="8" t="s">
        <v>226</v>
      </c>
      <c r="AN37" s="15">
        <v>-0.10446706634421631</v>
      </c>
      <c r="AO37" s="8" t="s">
        <v>226</v>
      </c>
      <c r="AP37" s="15">
        <v>-0.13457007534421631</v>
      </c>
      <c r="AQ37" s="8" t="s">
        <v>226</v>
      </c>
      <c r="AR37" s="15">
        <v>-0.10671830334421629</v>
      </c>
      <c r="AS37" s="8" t="s">
        <v>226</v>
      </c>
      <c r="AT37" s="15">
        <v>-5.4797009344216288E-2</v>
      </c>
      <c r="AU37" s="8"/>
      <c r="AV37" s="16">
        <v>-1.1349194620879971E-2</v>
      </c>
      <c r="AW37" s="8"/>
    </row>
    <row r="38" spans="1:49" ht="15.75" x14ac:dyDescent="0.25">
      <c r="A38" s="7" t="s">
        <v>260</v>
      </c>
      <c r="B38" s="15">
        <v>-2.6943004612120922</v>
      </c>
      <c r="C38" s="8" t="s">
        <v>226</v>
      </c>
      <c r="D38" s="15">
        <v>-2.1950909612120921</v>
      </c>
      <c r="E38" s="8" t="s">
        <v>226</v>
      </c>
      <c r="F38" s="15">
        <v>-1.7943952612120919</v>
      </c>
      <c r="G38" s="8" t="s">
        <v>226</v>
      </c>
      <c r="H38" s="15">
        <v>-1.112815961212092</v>
      </c>
      <c r="I38" s="8" t="s">
        <v>226</v>
      </c>
      <c r="J38" s="15">
        <v>-1.0586784612120921</v>
      </c>
      <c r="K38" s="8" t="s">
        <v>226</v>
      </c>
      <c r="L38" s="15">
        <v>-0.83575256121209196</v>
      </c>
      <c r="M38" s="8" t="s">
        <v>226</v>
      </c>
      <c r="N38" s="15">
        <v>-0.60815346121209202</v>
      </c>
      <c r="O38" s="8" t="s">
        <v>226</v>
      </c>
      <c r="P38" s="15">
        <v>-0.55181616121209198</v>
      </c>
      <c r="Q38" s="8" t="s">
        <v>226</v>
      </c>
      <c r="R38" s="15">
        <v>-0.79119566121209206</v>
      </c>
      <c r="S38" s="8" t="s">
        <v>226</v>
      </c>
      <c r="T38" s="15">
        <v>-0.52641356121209193</v>
      </c>
      <c r="U38" s="8" t="s">
        <v>226</v>
      </c>
      <c r="V38" s="15">
        <v>-0.6784638612120919</v>
      </c>
      <c r="W38" s="8" t="s">
        <v>226</v>
      </c>
      <c r="X38" s="15">
        <v>-0.79746636121209202</v>
      </c>
      <c r="Y38" s="8" t="s">
        <v>226</v>
      </c>
      <c r="Z38" s="15">
        <v>-1.030536961212092</v>
      </c>
      <c r="AA38" s="8" t="s">
        <v>226</v>
      </c>
      <c r="AB38" s="15">
        <v>-1.598857061212092</v>
      </c>
      <c r="AC38" s="8" t="s">
        <v>226</v>
      </c>
      <c r="AD38" s="15">
        <v>-1.179067961212092</v>
      </c>
      <c r="AE38" s="8" t="s">
        <v>226</v>
      </c>
      <c r="AF38" s="15">
        <v>-0.58954676121209171</v>
      </c>
      <c r="AG38" s="8" t="s">
        <v>226</v>
      </c>
      <c r="AH38" s="15">
        <v>-0.43478376121209172</v>
      </c>
      <c r="AI38" s="8" t="s">
        <v>226</v>
      </c>
      <c r="AJ38" s="15">
        <v>-0.19408486121209181</v>
      </c>
      <c r="AK38" s="8"/>
      <c r="AL38" s="15">
        <v>8.0359538787908136E-2</v>
      </c>
      <c r="AM38" s="8"/>
      <c r="AN38" s="15">
        <v>0.1641614387879082</v>
      </c>
      <c r="AO38" s="8"/>
      <c r="AP38" s="15">
        <v>-0.1080952922120919</v>
      </c>
      <c r="AQ38" s="8"/>
      <c r="AR38" s="15">
        <v>0.19482400278790821</v>
      </c>
      <c r="AS38" s="8"/>
      <c r="AT38" s="15">
        <v>0.14987275978790809</v>
      </c>
      <c r="AU38" s="8"/>
      <c r="AV38" s="16">
        <v>0.24168741533636001</v>
      </c>
      <c r="AW38" s="8"/>
    </row>
    <row r="39" spans="1:49" ht="30" customHeight="1" x14ac:dyDescent="0.25">
      <c r="A39" s="4" t="s">
        <v>261</v>
      </c>
      <c r="B39" s="13">
        <v>-12.40861541577137</v>
      </c>
      <c r="C39" s="5" t="s">
        <v>226</v>
      </c>
      <c r="D39" s="13">
        <v>-9.8364557157713648</v>
      </c>
      <c r="E39" s="5" t="s">
        <v>226</v>
      </c>
      <c r="F39" s="13">
        <v>-7.7001830157713664</v>
      </c>
      <c r="G39" s="5" t="s">
        <v>226</v>
      </c>
      <c r="H39" s="13">
        <v>-6.2958221157713661</v>
      </c>
      <c r="I39" s="5" t="s">
        <v>226</v>
      </c>
      <c r="J39" s="13">
        <v>-5.8490285157713666</v>
      </c>
      <c r="K39" s="5" t="s">
        <v>226</v>
      </c>
      <c r="L39" s="13">
        <v>-5.0460377157713658</v>
      </c>
      <c r="M39" s="5" t="s">
        <v>226</v>
      </c>
      <c r="N39" s="13">
        <v>-4.0899788157713663</v>
      </c>
      <c r="O39" s="5" t="s">
        <v>226</v>
      </c>
      <c r="P39" s="13">
        <v>-3.5733499157713662</v>
      </c>
      <c r="Q39" s="5" t="s">
        <v>226</v>
      </c>
      <c r="R39" s="13">
        <v>-3.572540315771366</v>
      </c>
      <c r="S39" s="5" t="s">
        <v>226</v>
      </c>
      <c r="T39" s="13">
        <v>-2.7880788157713661</v>
      </c>
      <c r="U39" s="5" t="s">
        <v>226</v>
      </c>
      <c r="V39" s="13">
        <v>-2.8085796157713658</v>
      </c>
      <c r="W39" s="5" t="s">
        <v>226</v>
      </c>
      <c r="X39" s="13">
        <v>-2.068383215771366</v>
      </c>
      <c r="Y39" s="5" t="s">
        <v>226</v>
      </c>
      <c r="Z39" s="13">
        <v>-1.8944914157713659</v>
      </c>
      <c r="AA39" s="5" t="s">
        <v>226</v>
      </c>
      <c r="AB39" s="13">
        <v>-1.9823303157713661</v>
      </c>
      <c r="AC39" s="5" t="s">
        <v>226</v>
      </c>
      <c r="AD39" s="13">
        <v>-1.290936215771366</v>
      </c>
      <c r="AE39" s="5" t="s">
        <v>226</v>
      </c>
      <c r="AF39" s="13">
        <v>-1.024057115771366</v>
      </c>
      <c r="AG39" s="5" t="s">
        <v>226</v>
      </c>
      <c r="AH39" s="13">
        <v>-0.91904721577136606</v>
      </c>
      <c r="AI39" s="5" t="s">
        <v>226</v>
      </c>
      <c r="AJ39" s="13">
        <v>-0.81348221577136615</v>
      </c>
      <c r="AK39" s="5" t="s">
        <v>226</v>
      </c>
      <c r="AL39" s="13">
        <v>-0.51166211577136611</v>
      </c>
      <c r="AM39" s="5" t="s">
        <v>226</v>
      </c>
      <c r="AN39" s="13">
        <v>-0.86689001577136615</v>
      </c>
      <c r="AO39" s="5" t="s">
        <v>226</v>
      </c>
      <c r="AP39" s="13">
        <v>-0.89493511777136581</v>
      </c>
      <c r="AQ39" s="5" t="s">
        <v>226</v>
      </c>
      <c r="AR39" s="13">
        <v>-0.77914232577136611</v>
      </c>
      <c r="AS39" s="5" t="s">
        <v>226</v>
      </c>
      <c r="AT39" s="13">
        <v>-0.26354320077136612</v>
      </c>
      <c r="AU39" s="5"/>
      <c r="AV39" s="14">
        <v>-0.27126038882445508</v>
      </c>
      <c r="AW39" s="5"/>
    </row>
    <row r="40" spans="1:49" ht="15.75" x14ac:dyDescent="0.25">
      <c r="A40" s="7" t="s">
        <v>262</v>
      </c>
      <c r="B40" s="15">
        <v>-7.7117397896138096</v>
      </c>
      <c r="C40" s="8" t="s">
        <v>226</v>
      </c>
      <c r="D40" s="15">
        <v>-6.3570549896138102</v>
      </c>
      <c r="E40" s="8" t="s">
        <v>226</v>
      </c>
      <c r="F40" s="15">
        <v>-4.9030210896138096</v>
      </c>
      <c r="G40" s="8" t="s">
        <v>226</v>
      </c>
      <c r="H40" s="15">
        <v>-3.8564324896138098</v>
      </c>
      <c r="I40" s="8" t="s">
        <v>226</v>
      </c>
      <c r="J40" s="15">
        <v>-3.6182926896138099</v>
      </c>
      <c r="K40" s="8" t="s">
        <v>226</v>
      </c>
      <c r="L40" s="15">
        <v>-3.2212372896138102</v>
      </c>
      <c r="M40" s="8" t="s">
        <v>226</v>
      </c>
      <c r="N40" s="15">
        <v>-2.63870318961381</v>
      </c>
      <c r="O40" s="8" t="s">
        <v>226</v>
      </c>
      <c r="P40" s="15">
        <v>-2.3445263896138102</v>
      </c>
      <c r="Q40" s="8" t="s">
        <v>226</v>
      </c>
      <c r="R40" s="15">
        <v>-2.4517471896138101</v>
      </c>
      <c r="S40" s="8" t="s">
        <v>226</v>
      </c>
      <c r="T40" s="15">
        <v>-1.94090918961381</v>
      </c>
      <c r="U40" s="8" t="s">
        <v>226</v>
      </c>
      <c r="V40" s="15">
        <v>-2.11747718961381</v>
      </c>
      <c r="W40" s="8" t="s">
        <v>226</v>
      </c>
      <c r="X40" s="15">
        <v>-1.57727448961381</v>
      </c>
      <c r="Y40" s="8" t="s">
        <v>226</v>
      </c>
      <c r="Z40" s="15">
        <v>-1.5310035896138099</v>
      </c>
      <c r="AA40" s="8" t="s">
        <v>226</v>
      </c>
      <c r="AB40" s="15">
        <v>-1.66583458961381</v>
      </c>
      <c r="AC40" s="8" t="s">
        <v>226</v>
      </c>
      <c r="AD40" s="15">
        <v>-1.1616281896138101</v>
      </c>
      <c r="AE40" s="8" t="s">
        <v>226</v>
      </c>
      <c r="AF40" s="15">
        <v>-1.00517388961381</v>
      </c>
      <c r="AG40" s="8" t="s">
        <v>226</v>
      </c>
      <c r="AH40" s="15">
        <v>-0.86715658961380981</v>
      </c>
      <c r="AI40" s="8" t="s">
        <v>226</v>
      </c>
      <c r="AJ40" s="15">
        <v>-0.77584748961381012</v>
      </c>
      <c r="AK40" s="8" t="s">
        <v>226</v>
      </c>
      <c r="AL40" s="15">
        <v>-0.57784028961380995</v>
      </c>
      <c r="AM40" s="8" t="s">
        <v>226</v>
      </c>
      <c r="AN40" s="15">
        <v>-0.77641708961381006</v>
      </c>
      <c r="AO40" s="8" t="s">
        <v>226</v>
      </c>
      <c r="AP40" s="15">
        <v>-0.78953682561380978</v>
      </c>
      <c r="AQ40" s="8" t="s">
        <v>226</v>
      </c>
      <c r="AR40" s="15">
        <v>-0.70577081361380989</v>
      </c>
      <c r="AS40" s="8" t="s">
        <v>226</v>
      </c>
      <c r="AT40" s="15">
        <v>-0.27358773261381009</v>
      </c>
      <c r="AU40" s="8" t="s">
        <v>226</v>
      </c>
      <c r="AV40" s="16">
        <v>-0.16356981293054559</v>
      </c>
      <c r="AW40" s="8"/>
    </row>
    <row r="41" spans="1:49" ht="15.75" x14ac:dyDescent="0.25">
      <c r="A41" s="7" t="s">
        <v>263</v>
      </c>
      <c r="B41" s="15">
        <v>-1.767568079101939</v>
      </c>
      <c r="C41" s="8" t="s">
        <v>226</v>
      </c>
      <c r="D41" s="15">
        <v>-1.2953396791019389</v>
      </c>
      <c r="E41" s="8" t="s">
        <v>226</v>
      </c>
      <c r="F41" s="15">
        <v>-1.0365287791019391</v>
      </c>
      <c r="G41" s="8" t="s">
        <v>226</v>
      </c>
      <c r="H41" s="15">
        <v>-0.93859987910193921</v>
      </c>
      <c r="I41" s="8" t="s">
        <v>226</v>
      </c>
      <c r="J41" s="15">
        <v>-0.78547687910193931</v>
      </c>
      <c r="K41" s="8" t="s">
        <v>226</v>
      </c>
      <c r="L41" s="15">
        <v>-0.61894207910193932</v>
      </c>
      <c r="M41" s="8" t="s">
        <v>226</v>
      </c>
      <c r="N41" s="15">
        <v>-0.51488977910193934</v>
      </c>
      <c r="O41" s="8" t="s">
        <v>226</v>
      </c>
      <c r="P41" s="15">
        <v>-0.3630147791019393</v>
      </c>
      <c r="Q41" s="8" t="s">
        <v>226</v>
      </c>
      <c r="R41" s="15">
        <v>-0.34552967910193932</v>
      </c>
      <c r="S41" s="8" t="s">
        <v>226</v>
      </c>
      <c r="T41" s="15">
        <v>-0.25104067910193928</v>
      </c>
      <c r="U41" s="8" t="s">
        <v>226</v>
      </c>
      <c r="V41" s="15">
        <v>-0.21587857910193919</v>
      </c>
      <c r="W41" s="8" t="s">
        <v>226</v>
      </c>
      <c r="X41" s="15">
        <v>-8.5549079101939318E-2</v>
      </c>
      <c r="Y41" s="8"/>
      <c r="Z41" s="15">
        <v>-1.497657910193928E-2</v>
      </c>
      <c r="AA41" s="8"/>
      <c r="AB41" s="15">
        <v>-1.2918279101939319E-2</v>
      </c>
      <c r="AC41" s="8"/>
      <c r="AD41" s="15">
        <v>2.327332089806072E-2</v>
      </c>
      <c r="AE41" s="8"/>
      <c r="AF41" s="15">
        <v>0.10957852089806069</v>
      </c>
      <c r="AG41" s="8" t="s">
        <v>226</v>
      </c>
      <c r="AH41" s="15">
        <v>0.1379833208980607</v>
      </c>
      <c r="AI41" s="8" t="s">
        <v>226</v>
      </c>
      <c r="AJ41" s="15">
        <v>6.6497120898060702E-2</v>
      </c>
      <c r="AK41" s="8"/>
      <c r="AL41" s="15">
        <v>0.14104422089806071</v>
      </c>
      <c r="AM41" s="8" t="s">
        <v>226</v>
      </c>
      <c r="AN41" s="15">
        <v>6.0174020898060683E-2</v>
      </c>
      <c r="AO41" s="8"/>
      <c r="AP41" s="15">
        <v>3.7446160898060687E-2</v>
      </c>
      <c r="AQ41" s="8"/>
      <c r="AR41" s="15">
        <v>6.5866714898060674E-2</v>
      </c>
      <c r="AS41" s="8"/>
      <c r="AT41" s="15">
        <v>6.6515878980606957E-3</v>
      </c>
      <c r="AU41" s="8"/>
      <c r="AV41" s="16">
        <v>-1.7661070578362859E-2</v>
      </c>
      <c r="AW41" s="8"/>
    </row>
    <row r="42" spans="1:49" ht="15.75" x14ac:dyDescent="0.25">
      <c r="A42" s="7" t="s">
        <v>264</v>
      </c>
      <c r="B42" s="15">
        <v>-4.3971159727693738</v>
      </c>
      <c r="C42" s="8" t="s">
        <v>226</v>
      </c>
      <c r="D42" s="15">
        <v>-3.306570272769374</v>
      </c>
      <c r="E42" s="8" t="s">
        <v>226</v>
      </c>
      <c r="F42" s="15">
        <v>-2.5512000727693742</v>
      </c>
      <c r="G42" s="8" t="s">
        <v>226</v>
      </c>
      <c r="H42" s="15">
        <v>-2.0137301727693742</v>
      </c>
      <c r="I42" s="8" t="s">
        <v>226</v>
      </c>
      <c r="J42" s="15">
        <v>-1.988478772769374</v>
      </c>
      <c r="K42" s="8" t="s">
        <v>226</v>
      </c>
      <c r="L42" s="15">
        <v>-1.6098816727693741</v>
      </c>
      <c r="M42" s="8" t="s">
        <v>226</v>
      </c>
      <c r="N42" s="15">
        <v>-1.2468060727693739</v>
      </c>
      <c r="O42" s="8" t="s">
        <v>226</v>
      </c>
      <c r="P42" s="15">
        <v>-1.0754956727693741</v>
      </c>
      <c r="Q42" s="8" t="s">
        <v>226</v>
      </c>
      <c r="R42" s="15">
        <v>-0.98444097276937403</v>
      </c>
      <c r="S42" s="8" t="s">
        <v>226</v>
      </c>
      <c r="T42" s="15">
        <v>-0.78154807276937388</v>
      </c>
      <c r="U42" s="8" t="s">
        <v>226</v>
      </c>
      <c r="V42" s="15">
        <v>-0.63000607276937404</v>
      </c>
      <c r="W42" s="8" t="s">
        <v>226</v>
      </c>
      <c r="X42" s="15">
        <v>-0.47943767276937399</v>
      </c>
      <c r="Y42" s="8" t="s">
        <v>226</v>
      </c>
      <c r="Z42" s="15">
        <v>-0.42182667276937402</v>
      </c>
      <c r="AA42" s="8" t="s">
        <v>226</v>
      </c>
      <c r="AB42" s="15">
        <v>-0.368717572769374</v>
      </c>
      <c r="AC42" s="8" t="s">
        <v>226</v>
      </c>
      <c r="AD42" s="15">
        <v>-0.20852757276937389</v>
      </c>
      <c r="AE42" s="8" t="s">
        <v>226</v>
      </c>
      <c r="AF42" s="15">
        <v>-0.13259857276937401</v>
      </c>
      <c r="AG42" s="8" t="s">
        <v>226</v>
      </c>
      <c r="AH42" s="15">
        <v>-0.2146212727693739</v>
      </c>
      <c r="AI42" s="8" t="s">
        <v>226</v>
      </c>
      <c r="AJ42" s="15">
        <v>-0.12891927276937401</v>
      </c>
      <c r="AK42" s="8" t="s">
        <v>226</v>
      </c>
      <c r="AL42" s="15">
        <v>-9.2517972769374013E-2</v>
      </c>
      <c r="AM42" s="8"/>
      <c r="AN42" s="15">
        <v>-0.17384197276937399</v>
      </c>
      <c r="AO42" s="8" t="s">
        <v>226</v>
      </c>
      <c r="AP42" s="15">
        <v>-0.168818581769374</v>
      </c>
      <c r="AQ42" s="8" t="s">
        <v>226</v>
      </c>
      <c r="AR42" s="15">
        <v>-0.14862104476937399</v>
      </c>
      <c r="AS42" s="8" t="s">
        <v>226</v>
      </c>
      <c r="AT42" s="15">
        <v>-8.0762317693739982E-3</v>
      </c>
      <c r="AU42" s="8"/>
      <c r="AV42" s="16">
        <v>-0.1202601087245638</v>
      </c>
      <c r="AW42" s="8"/>
    </row>
    <row r="43" spans="1:49" ht="30" customHeight="1" x14ac:dyDescent="0.25">
      <c r="A43" s="819" t="s">
        <v>265</v>
      </c>
      <c r="B43" s="822">
        <v>-2.0386049436974112</v>
      </c>
      <c r="C43" s="820" t="s">
        <v>226</v>
      </c>
      <c r="D43" s="822">
        <v>-1.5070775436974111</v>
      </c>
      <c r="E43" s="820" t="s">
        <v>226</v>
      </c>
      <c r="F43" s="822">
        <v>-0.9043986436974113</v>
      </c>
      <c r="G43" s="820" t="s">
        <v>226</v>
      </c>
      <c r="H43" s="822">
        <v>-0.81427484369741132</v>
      </c>
      <c r="I43" s="820" t="s">
        <v>226</v>
      </c>
      <c r="J43" s="822">
        <v>-0.73680494369741123</v>
      </c>
      <c r="K43" s="820" t="s">
        <v>226</v>
      </c>
      <c r="L43" s="822">
        <v>-0.77914154369741129</v>
      </c>
      <c r="M43" s="820" t="s">
        <v>226</v>
      </c>
      <c r="N43" s="822">
        <v>-0.85562364369741128</v>
      </c>
      <c r="O43" s="820" t="s">
        <v>226</v>
      </c>
      <c r="P43" s="822">
        <v>-0.95350664369741123</v>
      </c>
      <c r="Q43" s="820" t="s">
        <v>226</v>
      </c>
      <c r="R43" s="822">
        <v>-1.1107408436974111</v>
      </c>
      <c r="S43" s="820" t="s">
        <v>226</v>
      </c>
      <c r="T43" s="822">
        <v>-0.96840824369741141</v>
      </c>
      <c r="U43" s="820" t="s">
        <v>226</v>
      </c>
      <c r="V43" s="822">
        <v>-1.2792460436974109</v>
      </c>
      <c r="W43" s="820" t="s">
        <v>226</v>
      </c>
      <c r="X43" s="822">
        <v>-1.093635943697411</v>
      </c>
      <c r="Y43" s="820" t="s">
        <v>226</v>
      </c>
      <c r="Z43" s="822">
        <v>-1.2114135436974109</v>
      </c>
      <c r="AA43" s="820" t="s">
        <v>226</v>
      </c>
      <c r="AB43" s="822">
        <v>-1.025329543697411</v>
      </c>
      <c r="AC43" s="820" t="s">
        <v>226</v>
      </c>
      <c r="AD43" s="822">
        <v>-1.069361343697411</v>
      </c>
      <c r="AE43" s="820" t="s">
        <v>226</v>
      </c>
      <c r="AF43" s="822">
        <v>-0.74258694369741141</v>
      </c>
      <c r="AG43" s="820" t="s">
        <v>226</v>
      </c>
      <c r="AH43" s="822">
        <v>-0.70920884369741122</v>
      </c>
      <c r="AI43" s="820" t="s">
        <v>226</v>
      </c>
      <c r="AJ43" s="822">
        <v>-0.56017704369741128</v>
      </c>
      <c r="AK43" s="820" t="s">
        <v>226</v>
      </c>
      <c r="AL43" s="822">
        <v>-0.42612254369741132</v>
      </c>
      <c r="AM43" s="820" t="s">
        <v>226</v>
      </c>
      <c r="AN43" s="822">
        <v>-0.45271864369741122</v>
      </c>
      <c r="AO43" s="820" t="s">
        <v>226</v>
      </c>
      <c r="AP43" s="822">
        <v>-0.4988852546974113</v>
      </c>
      <c r="AQ43" s="820" t="s">
        <v>226</v>
      </c>
      <c r="AR43" s="822">
        <v>-0.32852732769741128</v>
      </c>
      <c r="AS43" s="820" t="s">
        <v>226</v>
      </c>
      <c r="AT43" s="822">
        <v>-0.16849511269741141</v>
      </c>
      <c r="AU43" s="820" t="s">
        <v>226</v>
      </c>
      <c r="AV43" s="823">
        <v>-8.1749822102525349E-2</v>
      </c>
      <c r="AW43" s="820"/>
    </row>
    <row r="44" spans="1:49" ht="30" customHeight="1" x14ac:dyDescent="0.25">
      <c r="A44" s="4" t="s">
        <v>261</v>
      </c>
      <c r="B44" s="13">
        <v>-16.97938875799769</v>
      </c>
      <c r="C44" s="5" t="s">
        <v>226</v>
      </c>
      <c r="D44" s="13">
        <v>-13.11298255799769</v>
      </c>
      <c r="E44" s="5" t="s">
        <v>226</v>
      </c>
      <c r="F44" s="13">
        <v>-10.00447235799769</v>
      </c>
      <c r="G44" s="5" t="s">
        <v>226</v>
      </c>
      <c r="H44" s="13">
        <v>-8.4282551579976897</v>
      </c>
      <c r="I44" s="5" t="s">
        <v>226</v>
      </c>
      <c r="J44" s="13">
        <v>-7.7902971579976894</v>
      </c>
      <c r="K44" s="5" t="s">
        <v>226</v>
      </c>
      <c r="L44" s="13">
        <v>-6.6878442579976882</v>
      </c>
      <c r="M44" s="5" t="s">
        <v>226</v>
      </c>
      <c r="N44" s="13">
        <v>-5.3562190579976887</v>
      </c>
      <c r="O44" s="5" t="s">
        <v>226</v>
      </c>
      <c r="P44" s="13">
        <v>-4.598202057997689</v>
      </c>
      <c r="Q44" s="5" t="s">
        <v>226</v>
      </c>
      <c r="R44" s="13">
        <v>-4.6332867579976886</v>
      </c>
      <c r="S44" s="5" t="s">
        <v>226</v>
      </c>
      <c r="T44" s="13">
        <v>-3.5822757579976892</v>
      </c>
      <c r="U44" s="5" t="s">
        <v>226</v>
      </c>
      <c r="V44" s="13">
        <v>-3.5577437579976889</v>
      </c>
      <c r="W44" s="5" t="s">
        <v>226</v>
      </c>
      <c r="X44" s="13">
        <v>-2.6526760579976889</v>
      </c>
      <c r="Y44" s="5" t="s">
        <v>226</v>
      </c>
      <c r="Z44" s="13">
        <v>-2.4537954579976891</v>
      </c>
      <c r="AA44" s="5" t="s">
        <v>226</v>
      </c>
      <c r="AB44" s="13">
        <v>-2.5526015579976891</v>
      </c>
      <c r="AC44" s="5" t="s">
        <v>226</v>
      </c>
      <c r="AD44" s="13">
        <v>-1.6944589579976881</v>
      </c>
      <c r="AE44" s="5" t="s">
        <v>226</v>
      </c>
      <c r="AF44" s="13">
        <v>-1.3832340579976881</v>
      </c>
      <c r="AG44" s="5" t="s">
        <v>226</v>
      </c>
      <c r="AH44" s="13">
        <v>-1.2133543579976891</v>
      </c>
      <c r="AI44" s="5" t="s">
        <v>226</v>
      </c>
      <c r="AJ44" s="13">
        <v>-1.055086257997689</v>
      </c>
      <c r="AK44" s="5" t="s">
        <v>226</v>
      </c>
      <c r="AL44" s="13">
        <v>-0.69362275799768858</v>
      </c>
      <c r="AM44" s="5" t="s">
        <v>226</v>
      </c>
      <c r="AN44" s="13">
        <v>-1.091286157997688</v>
      </c>
      <c r="AO44" s="5" t="s">
        <v>226</v>
      </c>
      <c r="AP44" s="13">
        <v>-1.0850024789976891</v>
      </c>
      <c r="AQ44" s="5" t="s">
        <v>226</v>
      </c>
      <c r="AR44" s="13">
        <v>-0.92239063699768886</v>
      </c>
      <c r="AS44" s="5" t="s">
        <v>226</v>
      </c>
      <c r="AT44" s="13">
        <v>-0.33018674599768882</v>
      </c>
      <c r="AU44" s="5"/>
      <c r="AV44" s="14">
        <v>-0.34640953685063552</v>
      </c>
      <c r="AW44" s="5"/>
    </row>
    <row r="45" spans="1:49" ht="15.75" x14ac:dyDescent="0.25">
      <c r="A45" s="7" t="s">
        <v>262</v>
      </c>
      <c r="B45" s="15">
        <v>-10.5685472613009</v>
      </c>
      <c r="C45" s="8" t="s">
        <v>226</v>
      </c>
      <c r="D45" s="15">
        <v>-8.4794072613008975</v>
      </c>
      <c r="E45" s="8" t="s">
        <v>226</v>
      </c>
      <c r="F45" s="15">
        <v>-6.3709900613008976</v>
      </c>
      <c r="G45" s="8" t="s">
        <v>226</v>
      </c>
      <c r="H45" s="15">
        <v>-5.1804837613008976</v>
      </c>
      <c r="I45" s="8" t="s">
        <v>226</v>
      </c>
      <c r="J45" s="15">
        <v>-4.8428878613008983</v>
      </c>
      <c r="K45" s="8" t="s">
        <v>226</v>
      </c>
      <c r="L45" s="15">
        <v>-4.2657703613008984</v>
      </c>
      <c r="M45" s="8" t="s">
        <v>226</v>
      </c>
      <c r="N45" s="15">
        <v>-3.462204861300898</v>
      </c>
      <c r="O45" s="8" t="s">
        <v>226</v>
      </c>
      <c r="P45" s="15">
        <v>-3.034884161300897</v>
      </c>
      <c r="Q45" s="8" t="s">
        <v>226</v>
      </c>
      <c r="R45" s="15">
        <v>-3.193646561300898</v>
      </c>
      <c r="S45" s="8" t="s">
        <v>226</v>
      </c>
      <c r="T45" s="15">
        <v>-2.507951561300898</v>
      </c>
      <c r="U45" s="8" t="s">
        <v>226</v>
      </c>
      <c r="V45" s="15">
        <v>-2.708954961300897</v>
      </c>
      <c r="W45" s="8" t="s">
        <v>226</v>
      </c>
      <c r="X45" s="15">
        <v>-2.0300014613008979</v>
      </c>
      <c r="Y45" s="8" t="s">
        <v>226</v>
      </c>
      <c r="Z45" s="15">
        <v>-1.990637961300898</v>
      </c>
      <c r="AA45" s="8" t="s">
        <v>226</v>
      </c>
      <c r="AB45" s="15">
        <v>-2.1566416613008981</v>
      </c>
      <c r="AC45" s="8" t="s">
        <v>226</v>
      </c>
      <c r="AD45" s="15">
        <v>-1.5548940613008979</v>
      </c>
      <c r="AE45" s="8" t="s">
        <v>226</v>
      </c>
      <c r="AF45" s="15">
        <v>-1.352176161300898</v>
      </c>
      <c r="AG45" s="8" t="s">
        <v>226</v>
      </c>
      <c r="AH45" s="15">
        <v>-1.139648561300898</v>
      </c>
      <c r="AI45" s="8" t="s">
        <v>226</v>
      </c>
      <c r="AJ45" s="15">
        <v>-1.020941861300898</v>
      </c>
      <c r="AK45" s="8" t="s">
        <v>226</v>
      </c>
      <c r="AL45" s="15">
        <v>-0.77503236130089759</v>
      </c>
      <c r="AM45" s="8" t="s">
        <v>226</v>
      </c>
      <c r="AN45" s="15">
        <v>-0.9917549613008978</v>
      </c>
      <c r="AO45" s="8" t="s">
        <v>226</v>
      </c>
      <c r="AP45" s="15">
        <v>-0.98503653530089785</v>
      </c>
      <c r="AQ45" s="8" t="s">
        <v>226</v>
      </c>
      <c r="AR45" s="15">
        <v>-0.86859719830089777</v>
      </c>
      <c r="AS45" s="8" t="s">
        <v>226</v>
      </c>
      <c r="AT45" s="15">
        <v>-0.35437774830089758</v>
      </c>
      <c r="AU45" s="8" t="s">
        <v>226</v>
      </c>
      <c r="AV45" s="16">
        <v>-0.2288692433421744</v>
      </c>
      <c r="AW45" s="8"/>
    </row>
    <row r="46" spans="1:49" ht="15.75" x14ac:dyDescent="0.25">
      <c r="A46" s="7" t="s">
        <v>263</v>
      </c>
      <c r="B46" s="15">
        <v>-2.4181555609821168</v>
      </c>
      <c r="C46" s="8" t="s">
        <v>226</v>
      </c>
      <c r="D46" s="15">
        <v>-1.7236402609821171</v>
      </c>
      <c r="E46" s="8" t="s">
        <v>226</v>
      </c>
      <c r="F46" s="15">
        <v>-1.3461964609821171</v>
      </c>
      <c r="G46" s="8" t="s">
        <v>226</v>
      </c>
      <c r="H46" s="15">
        <v>-1.243283060982117</v>
      </c>
      <c r="I46" s="8" t="s">
        <v>226</v>
      </c>
      <c r="J46" s="15">
        <v>-1.021217160982117</v>
      </c>
      <c r="K46" s="8" t="s">
        <v>226</v>
      </c>
      <c r="L46" s="15">
        <v>-0.8201468609821172</v>
      </c>
      <c r="M46" s="8" t="s">
        <v>226</v>
      </c>
      <c r="N46" s="15">
        <v>-0.65973976098211717</v>
      </c>
      <c r="O46" s="8" t="s">
        <v>226</v>
      </c>
      <c r="P46" s="15">
        <v>-0.45790946098211721</v>
      </c>
      <c r="Q46" s="8" t="s">
        <v>226</v>
      </c>
      <c r="R46" s="15">
        <v>-0.43984396098211709</v>
      </c>
      <c r="S46" s="8" t="s">
        <v>226</v>
      </c>
      <c r="T46" s="15">
        <v>-0.30491416098211721</v>
      </c>
      <c r="U46" s="8" t="s">
        <v>226</v>
      </c>
      <c r="V46" s="15">
        <v>-0.24950296098211719</v>
      </c>
      <c r="W46" s="8" t="s">
        <v>226</v>
      </c>
      <c r="X46" s="15">
        <v>-0.1031974609821172</v>
      </c>
      <c r="Y46" s="8"/>
      <c r="Z46" s="15">
        <v>-1.7118760982117179E-2</v>
      </c>
      <c r="AA46" s="8"/>
      <c r="AB46" s="15">
        <v>-5.830160982117194E-3</v>
      </c>
      <c r="AC46" s="8"/>
      <c r="AD46" s="15">
        <v>6.2107139017882777E-2</v>
      </c>
      <c r="AE46" s="8"/>
      <c r="AF46" s="15">
        <v>0.1440673390178828</v>
      </c>
      <c r="AG46" s="8" t="s">
        <v>226</v>
      </c>
      <c r="AH46" s="15">
        <v>0.1770635390178828</v>
      </c>
      <c r="AI46" s="8" t="s">
        <v>226</v>
      </c>
      <c r="AJ46" s="15">
        <v>0.10249563901788281</v>
      </c>
      <c r="AK46" s="8"/>
      <c r="AL46" s="15">
        <v>0.18161693901788281</v>
      </c>
      <c r="AM46" s="8" t="s">
        <v>226</v>
      </c>
      <c r="AN46" s="15">
        <v>8.6264039017882821E-2</v>
      </c>
      <c r="AO46" s="8"/>
      <c r="AP46" s="15">
        <v>7.042217401788281E-2</v>
      </c>
      <c r="AQ46" s="8"/>
      <c r="AR46" s="15">
        <v>0.1116278370178828</v>
      </c>
      <c r="AS46" s="8"/>
      <c r="AT46" s="15">
        <v>1.271370701788282E-2</v>
      </c>
      <c r="AU46" s="8"/>
      <c r="AV46" s="16">
        <v>-6.5965934923976066E-3</v>
      </c>
      <c r="AW46" s="8"/>
    </row>
    <row r="47" spans="1:49" ht="15.75" x14ac:dyDescent="0.25">
      <c r="A47" s="7" t="s">
        <v>264</v>
      </c>
      <c r="B47" s="15">
        <v>-5.9917164213657932</v>
      </c>
      <c r="C47" s="8" t="s">
        <v>226</v>
      </c>
      <c r="D47" s="15">
        <v>-4.4028965213657933</v>
      </c>
      <c r="E47" s="8" t="s">
        <v>226</v>
      </c>
      <c r="F47" s="15">
        <v>-3.3198666213657928</v>
      </c>
      <c r="G47" s="8" t="s">
        <v>226</v>
      </c>
      <c r="H47" s="15">
        <v>-2.690427721365793</v>
      </c>
      <c r="I47" s="8" t="s">
        <v>226</v>
      </c>
      <c r="J47" s="15">
        <v>-2.6482144213657932</v>
      </c>
      <c r="K47" s="8" t="s">
        <v>226</v>
      </c>
      <c r="L47" s="15">
        <v>-2.1372738213657931</v>
      </c>
      <c r="M47" s="8" t="s">
        <v>226</v>
      </c>
      <c r="N47" s="15">
        <v>-1.641317321365793</v>
      </c>
      <c r="O47" s="8" t="s">
        <v>226</v>
      </c>
      <c r="P47" s="15">
        <v>-1.3731999213657931</v>
      </c>
      <c r="Q47" s="8" t="s">
        <v>226</v>
      </c>
      <c r="R47" s="15">
        <v>-1.2711793213657929</v>
      </c>
      <c r="S47" s="8" t="s">
        <v>226</v>
      </c>
      <c r="T47" s="15">
        <v>-1.0083955213657929</v>
      </c>
      <c r="U47" s="8" t="s">
        <v>226</v>
      </c>
      <c r="V47" s="15">
        <v>-0.79840172136579313</v>
      </c>
      <c r="W47" s="8" t="s">
        <v>226</v>
      </c>
      <c r="X47" s="15">
        <v>-0.61475312136579319</v>
      </c>
      <c r="Y47" s="8" t="s">
        <v>226</v>
      </c>
      <c r="Z47" s="15">
        <v>-0.5409316213657932</v>
      </c>
      <c r="AA47" s="8" t="s">
        <v>226</v>
      </c>
      <c r="AB47" s="15">
        <v>-0.47303382136579308</v>
      </c>
      <c r="AC47" s="8" t="s">
        <v>226</v>
      </c>
      <c r="AD47" s="15">
        <v>-0.27145132136579309</v>
      </c>
      <c r="AE47" s="8" t="s">
        <v>226</v>
      </c>
      <c r="AF47" s="15">
        <v>-0.18134112136579311</v>
      </c>
      <c r="AG47" s="8" t="s">
        <v>226</v>
      </c>
      <c r="AH47" s="15">
        <v>-0.28314132136579312</v>
      </c>
      <c r="AI47" s="8" t="s">
        <v>226</v>
      </c>
      <c r="AJ47" s="15">
        <v>-0.16869882136579309</v>
      </c>
      <c r="AK47" s="8" t="s">
        <v>226</v>
      </c>
      <c r="AL47" s="15">
        <v>-0.1232146213657931</v>
      </c>
      <c r="AM47" s="8"/>
      <c r="AN47" s="15">
        <v>-0.21499162136579311</v>
      </c>
      <c r="AO47" s="8" t="s">
        <v>226</v>
      </c>
      <c r="AP47" s="15">
        <v>-0.20247009136579311</v>
      </c>
      <c r="AQ47" s="8" t="s">
        <v>226</v>
      </c>
      <c r="AR47" s="15">
        <v>-0.17623933936579311</v>
      </c>
      <c r="AS47" s="8" t="s">
        <v>226</v>
      </c>
      <c r="AT47" s="15">
        <v>-2.746247365793097E-3</v>
      </c>
      <c r="AU47" s="8"/>
      <c r="AV47" s="16">
        <v>-0.14972694220886601</v>
      </c>
      <c r="AW47" s="8"/>
    </row>
    <row r="48" spans="1:49" ht="30" customHeight="1" x14ac:dyDescent="0.25">
      <c r="A48" s="819" t="s">
        <v>165</v>
      </c>
      <c r="B48" s="822">
        <v>-7.0416635953295126</v>
      </c>
      <c r="C48" s="820" t="s">
        <v>226</v>
      </c>
      <c r="D48" s="822">
        <v>-5.3055670953295131</v>
      </c>
      <c r="E48" s="820" t="s">
        <v>226</v>
      </c>
      <c r="F48" s="822">
        <v>-5.0380557953295124</v>
      </c>
      <c r="G48" s="820" t="s">
        <v>226</v>
      </c>
      <c r="H48" s="822">
        <v>-4.7683585953295129</v>
      </c>
      <c r="I48" s="820" t="s">
        <v>226</v>
      </c>
      <c r="J48" s="822">
        <v>-4.7595310953295131</v>
      </c>
      <c r="K48" s="820" t="s">
        <v>226</v>
      </c>
      <c r="L48" s="822">
        <v>-4.394039595329513</v>
      </c>
      <c r="M48" s="820" t="s">
        <v>226</v>
      </c>
      <c r="N48" s="822">
        <v>-4.6652037953295116</v>
      </c>
      <c r="O48" s="820" t="s">
        <v>226</v>
      </c>
      <c r="P48" s="822">
        <v>-5.0719075953295132</v>
      </c>
      <c r="Q48" s="820" t="s">
        <v>226</v>
      </c>
      <c r="R48" s="822">
        <v>-5.537633495329513</v>
      </c>
      <c r="S48" s="820" t="s">
        <v>226</v>
      </c>
      <c r="T48" s="822">
        <v>-4.9261979953295132</v>
      </c>
      <c r="U48" s="820" t="s">
        <v>226</v>
      </c>
      <c r="V48" s="822">
        <v>-5.4240429953295131</v>
      </c>
      <c r="W48" s="820" t="s">
        <v>226</v>
      </c>
      <c r="X48" s="822">
        <v>-4.5208275953295134</v>
      </c>
      <c r="Y48" s="820" t="s">
        <v>226</v>
      </c>
      <c r="Z48" s="822">
        <v>-4.1622889953295124</v>
      </c>
      <c r="AA48" s="820" t="s">
        <v>226</v>
      </c>
      <c r="AB48" s="822">
        <v>-3.868838395329512</v>
      </c>
      <c r="AC48" s="820" t="s">
        <v>226</v>
      </c>
      <c r="AD48" s="822">
        <v>-3.1949540953295119</v>
      </c>
      <c r="AE48" s="820" t="s">
        <v>226</v>
      </c>
      <c r="AF48" s="822">
        <v>-2.489616095329513</v>
      </c>
      <c r="AG48" s="820" t="s">
        <v>226</v>
      </c>
      <c r="AH48" s="822">
        <v>-1.884154295329513</v>
      </c>
      <c r="AI48" s="820" t="s">
        <v>226</v>
      </c>
      <c r="AJ48" s="822">
        <v>-1.905451895329513</v>
      </c>
      <c r="AK48" s="820" t="s">
        <v>226</v>
      </c>
      <c r="AL48" s="822">
        <v>-1.6480355953295129</v>
      </c>
      <c r="AM48" s="820" t="s">
        <v>226</v>
      </c>
      <c r="AN48" s="822">
        <v>-1.3283971953295131</v>
      </c>
      <c r="AO48" s="820" t="s">
        <v>226</v>
      </c>
      <c r="AP48" s="822">
        <v>-1.7070685343295131</v>
      </c>
      <c r="AQ48" s="820" t="s">
        <v>226</v>
      </c>
      <c r="AR48" s="822">
        <v>-1.2154486323295131</v>
      </c>
      <c r="AS48" s="820" t="s">
        <v>226</v>
      </c>
      <c r="AT48" s="822">
        <v>-0.25315220532951299</v>
      </c>
      <c r="AU48" s="820"/>
      <c r="AV48" s="823">
        <v>-0.24184167786971719</v>
      </c>
      <c r="AW48" s="820"/>
    </row>
    <row r="49" spans="1:49" ht="30" customHeight="1" x14ac:dyDescent="0.25">
      <c r="A49" s="4" t="s">
        <v>163</v>
      </c>
      <c r="B49" s="13">
        <v>-4.5345650665196349</v>
      </c>
      <c r="C49" s="5" t="s">
        <v>226</v>
      </c>
      <c r="D49" s="13">
        <v>-3.2828469665196338</v>
      </c>
      <c r="E49" s="5" t="s">
        <v>226</v>
      </c>
      <c r="F49" s="13">
        <v>-1.8813501665196339</v>
      </c>
      <c r="G49" s="5" t="s">
        <v>226</v>
      </c>
      <c r="H49" s="13">
        <v>-2.1223573665196338</v>
      </c>
      <c r="I49" s="5" t="s">
        <v>226</v>
      </c>
      <c r="J49" s="13">
        <v>-1.836967066519634</v>
      </c>
      <c r="K49" s="5" t="s">
        <v>226</v>
      </c>
      <c r="L49" s="13">
        <v>-1.878298766519634</v>
      </c>
      <c r="M49" s="5" t="s">
        <v>226</v>
      </c>
      <c r="N49" s="13">
        <v>-2.0574792665196351</v>
      </c>
      <c r="O49" s="5" t="s">
        <v>226</v>
      </c>
      <c r="P49" s="13">
        <v>-2.2968815665196338</v>
      </c>
      <c r="Q49" s="5" t="s">
        <v>226</v>
      </c>
      <c r="R49" s="13">
        <v>-2.487253466519634</v>
      </c>
      <c r="S49" s="5" t="s">
        <v>226</v>
      </c>
      <c r="T49" s="13">
        <v>-2.1760912665196339</v>
      </c>
      <c r="U49" s="5" t="s">
        <v>226</v>
      </c>
      <c r="V49" s="13">
        <v>-2.9234756665196349</v>
      </c>
      <c r="W49" s="5" t="s">
        <v>226</v>
      </c>
      <c r="X49" s="13">
        <v>-2.3942150665196338</v>
      </c>
      <c r="Y49" s="5" t="s">
        <v>226</v>
      </c>
      <c r="Z49" s="13">
        <v>-2.6248041665196351</v>
      </c>
      <c r="AA49" s="5" t="s">
        <v>226</v>
      </c>
      <c r="AB49" s="13">
        <v>-1.8572630665196339</v>
      </c>
      <c r="AC49" s="5" t="s">
        <v>226</v>
      </c>
      <c r="AD49" s="13">
        <v>-1.7520892665196339</v>
      </c>
      <c r="AE49" s="5" t="s">
        <v>226</v>
      </c>
      <c r="AF49" s="13">
        <v>-1.1560151665196341</v>
      </c>
      <c r="AG49" s="5" t="s">
        <v>226</v>
      </c>
      <c r="AH49" s="13">
        <v>-1.1436661665196339</v>
      </c>
      <c r="AI49" s="5" t="s">
        <v>226</v>
      </c>
      <c r="AJ49" s="13">
        <v>-0.8177015665196341</v>
      </c>
      <c r="AK49" s="5" t="s">
        <v>226</v>
      </c>
      <c r="AL49" s="13">
        <v>-0.61658736651963442</v>
      </c>
      <c r="AM49" s="5" t="s">
        <v>226</v>
      </c>
      <c r="AN49" s="13">
        <v>-0.76360116651963428</v>
      </c>
      <c r="AO49" s="5" t="s">
        <v>226</v>
      </c>
      <c r="AP49" s="13">
        <v>-0.83023476151963416</v>
      </c>
      <c r="AQ49" s="5" t="s">
        <v>226</v>
      </c>
      <c r="AR49" s="13">
        <v>-0.4826189555196343</v>
      </c>
      <c r="AS49" s="5" t="s">
        <v>226</v>
      </c>
      <c r="AT49" s="13">
        <v>-0.27943401951963431</v>
      </c>
      <c r="AU49" s="5"/>
      <c r="AV49" s="14">
        <v>-0.1167632541332735</v>
      </c>
      <c r="AW49" s="5"/>
    </row>
    <row r="50" spans="1:49" ht="30" customHeight="1" x14ac:dyDescent="0.25">
      <c r="A50" s="4" t="s">
        <v>164</v>
      </c>
      <c r="B50" s="13">
        <v>-8.2610874985272922</v>
      </c>
      <c r="C50" s="5" t="s">
        <v>226</v>
      </c>
      <c r="D50" s="13">
        <v>-6.382453398527292</v>
      </c>
      <c r="E50" s="5" t="s">
        <v>226</v>
      </c>
      <c r="F50" s="13">
        <v>-5.8744705985272923</v>
      </c>
      <c r="G50" s="5" t="s">
        <v>226</v>
      </c>
      <c r="H50" s="13">
        <v>-5.5241850985272922</v>
      </c>
      <c r="I50" s="5" t="s">
        <v>226</v>
      </c>
      <c r="J50" s="13">
        <v>-5.3928347985272929</v>
      </c>
      <c r="K50" s="5" t="s">
        <v>226</v>
      </c>
      <c r="L50" s="13">
        <v>-5.2255978985272931</v>
      </c>
      <c r="M50" s="5" t="s">
        <v>226</v>
      </c>
      <c r="N50" s="13">
        <v>-5.2357873985272922</v>
      </c>
      <c r="O50" s="5" t="s">
        <v>226</v>
      </c>
      <c r="P50" s="13">
        <v>-5.7144568985272928</v>
      </c>
      <c r="Q50" s="5" t="s">
        <v>226</v>
      </c>
      <c r="R50" s="13">
        <v>-6.0174792985272916</v>
      </c>
      <c r="S50" s="5" t="s">
        <v>226</v>
      </c>
      <c r="T50" s="13">
        <v>-5.3939041985272924</v>
      </c>
      <c r="U50" s="5" t="s">
        <v>226</v>
      </c>
      <c r="V50" s="13">
        <v>-5.7199501985272923</v>
      </c>
      <c r="W50" s="5" t="s">
        <v>226</v>
      </c>
      <c r="X50" s="13">
        <v>-4.8396923985272924</v>
      </c>
      <c r="Y50" s="5" t="s">
        <v>226</v>
      </c>
      <c r="Z50" s="13">
        <v>-4.2642672985272929</v>
      </c>
      <c r="AA50" s="5" t="s">
        <v>226</v>
      </c>
      <c r="AB50" s="13">
        <v>-3.9587882985272929</v>
      </c>
      <c r="AC50" s="5" t="s">
        <v>226</v>
      </c>
      <c r="AD50" s="13">
        <v>-3.1246899985272929</v>
      </c>
      <c r="AE50" s="5" t="s">
        <v>226</v>
      </c>
      <c r="AF50" s="13">
        <v>-2.3508694985272931</v>
      </c>
      <c r="AG50" s="5" t="s">
        <v>226</v>
      </c>
      <c r="AH50" s="13">
        <v>-1.9333103985272919</v>
      </c>
      <c r="AI50" s="5" t="s">
        <v>226</v>
      </c>
      <c r="AJ50" s="13">
        <v>-1.882732498527292</v>
      </c>
      <c r="AK50" s="5" t="s">
        <v>226</v>
      </c>
      <c r="AL50" s="13">
        <v>-1.592724298527292</v>
      </c>
      <c r="AM50" s="5" t="s">
        <v>226</v>
      </c>
      <c r="AN50" s="13">
        <v>-1.3614370985272919</v>
      </c>
      <c r="AO50" s="5" t="s">
        <v>226</v>
      </c>
      <c r="AP50" s="13">
        <v>-1.603046242527292</v>
      </c>
      <c r="AQ50" s="5" t="s">
        <v>226</v>
      </c>
      <c r="AR50" s="13">
        <v>-1.181778300527293</v>
      </c>
      <c r="AS50" s="5" t="s">
        <v>226</v>
      </c>
      <c r="AT50" s="13">
        <v>-0.13540762852729249</v>
      </c>
      <c r="AU50" s="5"/>
      <c r="AV50" s="14">
        <v>-0.19612139863592509</v>
      </c>
      <c r="AW50" s="5"/>
    </row>
    <row r="51" spans="1:49" ht="20.25" customHeight="1" x14ac:dyDescent="0.25">
      <c r="A51" s="7" t="s">
        <v>165</v>
      </c>
      <c r="B51" s="15">
        <v>-5.1105190388569621</v>
      </c>
      <c r="C51" s="8" t="s">
        <v>226</v>
      </c>
      <c r="D51" s="15">
        <v>-3.9642274388569612</v>
      </c>
      <c r="E51" s="8" t="s">
        <v>226</v>
      </c>
      <c r="F51" s="15">
        <v>-3.8245010388569609</v>
      </c>
      <c r="G51" s="8" t="s">
        <v>226</v>
      </c>
      <c r="H51" s="15">
        <v>-3.520047938856961</v>
      </c>
      <c r="I51" s="8" t="s">
        <v>226</v>
      </c>
      <c r="J51" s="15">
        <v>-3.565575938856961</v>
      </c>
      <c r="K51" s="8" t="s">
        <v>226</v>
      </c>
      <c r="L51" s="15">
        <v>-3.2901794388569612</v>
      </c>
      <c r="M51" s="8" t="s">
        <v>226</v>
      </c>
      <c r="N51" s="15">
        <v>-3.5343355388569622</v>
      </c>
      <c r="O51" s="8" t="s">
        <v>226</v>
      </c>
      <c r="P51" s="15">
        <v>-3.923870338856962</v>
      </c>
      <c r="Q51" s="8" t="s">
        <v>226</v>
      </c>
      <c r="R51" s="15">
        <v>-4.2662186388569614</v>
      </c>
      <c r="S51" s="8" t="s">
        <v>226</v>
      </c>
      <c r="T51" s="15">
        <v>-3.8268133388569612</v>
      </c>
      <c r="U51" s="8" t="s">
        <v>226</v>
      </c>
      <c r="V51" s="15">
        <v>-4.2049309388569611</v>
      </c>
      <c r="W51" s="8" t="s">
        <v>226</v>
      </c>
      <c r="X51" s="15">
        <v>-3.5006102388569609</v>
      </c>
      <c r="Y51" s="8" t="s">
        <v>226</v>
      </c>
      <c r="Z51" s="15">
        <v>-3.2034973388569612</v>
      </c>
      <c r="AA51" s="8" t="s">
        <v>226</v>
      </c>
      <c r="AB51" s="15">
        <v>-2.970057838856961</v>
      </c>
      <c r="AC51" s="8" t="s">
        <v>226</v>
      </c>
      <c r="AD51" s="15">
        <v>-2.4154242388569611</v>
      </c>
      <c r="AE51" s="8" t="s">
        <v>226</v>
      </c>
      <c r="AF51" s="15">
        <v>-1.8618001388569609</v>
      </c>
      <c r="AG51" s="8" t="s">
        <v>226</v>
      </c>
      <c r="AH51" s="15">
        <v>-1.4242472388569609</v>
      </c>
      <c r="AI51" s="8" t="s">
        <v>226</v>
      </c>
      <c r="AJ51" s="15">
        <v>-1.4675063388569609</v>
      </c>
      <c r="AK51" s="8" t="s">
        <v>226</v>
      </c>
      <c r="AL51" s="15">
        <v>-1.251051238856961</v>
      </c>
      <c r="AM51" s="8" t="s">
        <v>226</v>
      </c>
      <c r="AN51" s="15">
        <v>-1.027092238856961</v>
      </c>
      <c r="AO51" s="8" t="s">
        <v>226</v>
      </c>
      <c r="AP51" s="15">
        <v>-1.3567623678569609</v>
      </c>
      <c r="AQ51" s="8" t="s">
        <v>226</v>
      </c>
      <c r="AR51" s="15">
        <v>-0.96651154385696136</v>
      </c>
      <c r="AS51" s="8" t="s">
        <v>226</v>
      </c>
      <c r="AT51" s="15">
        <v>-0.1854567128569613</v>
      </c>
      <c r="AU51" s="8"/>
      <c r="AV51" s="16">
        <v>-0.1698638551592502</v>
      </c>
      <c r="AW51" s="8"/>
    </row>
    <row r="52" spans="1:49" ht="17.25" customHeight="1" x14ac:dyDescent="0.25">
      <c r="A52" s="10" t="s">
        <v>166</v>
      </c>
      <c r="B52" s="17">
        <v>-3.635451780250964</v>
      </c>
      <c r="C52" s="11" t="s">
        <v>226</v>
      </c>
      <c r="D52" s="17">
        <v>-2.7973253802509639</v>
      </c>
      <c r="E52" s="11" t="s">
        <v>226</v>
      </c>
      <c r="F52" s="17">
        <v>-2.3482984802509641</v>
      </c>
      <c r="G52" s="11" t="s">
        <v>226</v>
      </c>
      <c r="H52" s="17">
        <v>-2.3173474802509642</v>
      </c>
      <c r="I52" s="11" t="s">
        <v>226</v>
      </c>
      <c r="J52" s="17">
        <v>-2.1161686802509641</v>
      </c>
      <c r="K52" s="11" t="s">
        <v>226</v>
      </c>
      <c r="L52" s="17">
        <v>-2.1315012802509639</v>
      </c>
      <c r="M52" s="11" t="s">
        <v>226</v>
      </c>
      <c r="N52" s="17">
        <v>-2.0439088802509642</v>
      </c>
      <c r="O52" s="11" t="s">
        <v>226</v>
      </c>
      <c r="P52" s="17">
        <v>-2.0937446802509641</v>
      </c>
      <c r="Q52" s="11" t="s">
        <v>226</v>
      </c>
      <c r="R52" s="17">
        <v>-2.163033380250964</v>
      </c>
      <c r="S52" s="11" t="s">
        <v>226</v>
      </c>
      <c r="T52" s="17">
        <v>-1.8862106802509639</v>
      </c>
      <c r="U52" s="11" t="s">
        <v>226</v>
      </c>
      <c r="V52" s="17">
        <v>-1.868540980250964</v>
      </c>
      <c r="W52" s="11" t="s">
        <v>226</v>
      </c>
      <c r="X52" s="17">
        <v>-1.602714380250964</v>
      </c>
      <c r="Y52" s="11" t="s">
        <v>226</v>
      </c>
      <c r="Z52" s="17">
        <v>-1.254989780250964</v>
      </c>
      <c r="AA52" s="11" t="s">
        <v>226</v>
      </c>
      <c r="AB52" s="17">
        <v>-1.172424880250964</v>
      </c>
      <c r="AC52" s="11" t="s">
        <v>226</v>
      </c>
      <c r="AD52" s="17">
        <v>-0.85156358025096401</v>
      </c>
      <c r="AE52" s="11" t="s">
        <v>226</v>
      </c>
      <c r="AF52" s="17">
        <v>-0.60508908025096408</v>
      </c>
      <c r="AG52" s="11" t="s">
        <v>226</v>
      </c>
      <c r="AH52" s="17">
        <v>-0.58670478025096395</v>
      </c>
      <c r="AI52" s="11" t="s">
        <v>226</v>
      </c>
      <c r="AJ52" s="17">
        <v>-0.46501588025096408</v>
      </c>
      <c r="AK52" s="11" t="s">
        <v>226</v>
      </c>
      <c r="AL52" s="17">
        <v>-0.39018178025096389</v>
      </c>
      <c r="AM52" s="11" t="s">
        <v>226</v>
      </c>
      <c r="AN52" s="17">
        <v>-0.38974738025096389</v>
      </c>
      <c r="AO52" s="11" t="s">
        <v>226</v>
      </c>
      <c r="AP52" s="17">
        <v>-0.31920051625096402</v>
      </c>
      <c r="AQ52" s="11" t="s">
        <v>226</v>
      </c>
      <c r="AR52" s="17">
        <v>-0.25535867425096398</v>
      </c>
      <c r="AS52" s="11" t="s">
        <v>226</v>
      </c>
      <c r="AT52" s="17">
        <v>9.5807667490359627E-3</v>
      </c>
      <c r="AU52" s="11"/>
      <c r="AV52" s="18">
        <v>-3.5749922277723223E-2</v>
      </c>
      <c r="AW52" s="11"/>
    </row>
    <row r="53" spans="1:49" ht="30" customHeight="1" x14ac:dyDescent="0.25">
      <c r="A53" s="816" t="s">
        <v>1430</v>
      </c>
      <c r="B53" s="824">
        <v>-29.353311813605639</v>
      </c>
      <c r="C53" s="817" t="s">
        <v>226</v>
      </c>
      <c r="D53" s="824">
        <v>-24.32851421360564</v>
      </c>
      <c r="E53" s="817" t="s">
        <v>226</v>
      </c>
      <c r="F53" s="824">
        <v>-20.60139561360565</v>
      </c>
      <c r="G53" s="817" t="s">
        <v>226</v>
      </c>
      <c r="H53" s="824">
        <v>-17.578462613605641</v>
      </c>
      <c r="I53" s="817" t="s">
        <v>226</v>
      </c>
      <c r="J53" s="824">
        <v>-16.683731713605649</v>
      </c>
      <c r="K53" s="817" t="s">
        <v>226</v>
      </c>
      <c r="L53" s="824">
        <v>-15.441137413605651</v>
      </c>
      <c r="M53" s="817" t="s">
        <v>226</v>
      </c>
      <c r="N53" s="824">
        <v>-13.770296713605649</v>
      </c>
      <c r="O53" s="817" t="s">
        <v>226</v>
      </c>
      <c r="P53" s="824">
        <v>-13.33811591360565</v>
      </c>
      <c r="Q53" s="817" t="s">
        <v>226</v>
      </c>
      <c r="R53" s="824">
        <v>-14.306346313605649</v>
      </c>
      <c r="S53" s="817" t="s">
        <v>226</v>
      </c>
      <c r="T53" s="824">
        <v>-12.02603511360565</v>
      </c>
      <c r="U53" s="817" t="s">
        <v>226</v>
      </c>
      <c r="V53" s="824">
        <v>-13.13424301360565</v>
      </c>
      <c r="W53" s="817" t="s">
        <v>226</v>
      </c>
      <c r="X53" s="824">
        <v>-11.273338213605649</v>
      </c>
      <c r="Y53" s="817" t="s">
        <v>226</v>
      </c>
      <c r="Z53" s="824">
        <v>-11.296214913605651</v>
      </c>
      <c r="AA53" s="817" t="s">
        <v>226</v>
      </c>
      <c r="AB53" s="824">
        <v>-11.122414313605651</v>
      </c>
      <c r="AC53" s="817" t="s">
        <v>226</v>
      </c>
      <c r="AD53" s="824">
        <v>-8.528221513605649</v>
      </c>
      <c r="AE53" s="817" t="s">
        <v>226</v>
      </c>
      <c r="AF53" s="824">
        <v>-6.8640066136056479</v>
      </c>
      <c r="AG53" s="817" t="s">
        <v>226</v>
      </c>
      <c r="AH53" s="824">
        <v>-5.7625470136056478</v>
      </c>
      <c r="AI53" s="817" t="s">
        <v>226</v>
      </c>
      <c r="AJ53" s="824">
        <v>-5.0638185136056482</v>
      </c>
      <c r="AK53" s="817" t="s">
        <v>226</v>
      </c>
      <c r="AL53" s="824">
        <v>-3.8098161136056472</v>
      </c>
      <c r="AM53" s="817" t="s">
        <v>226</v>
      </c>
      <c r="AN53" s="824">
        <v>-4.2443044136056471</v>
      </c>
      <c r="AO53" s="817" t="s">
        <v>226</v>
      </c>
      <c r="AP53" s="824">
        <v>-4.7232125936056484</v>
      </c>
      <c r="AQ53" s="817" t="s">
        <v>226</v>
      </c>
      <c r="AR53" s="824">
        <v>-3.1021835436056482</v>
      </c>
      <c r="AS53" s="817" t="s">
        <v>226</v>
      </c>
      <c r="AT53" s="824">
        <v>1.4506876394351661E-2</v>
      </c>
      <c r="AU53" s="817"/>
      <c r="AV53" s="825">
        <v>-0.16608361950795111</v>
      </c>
      <c r="AW53" s="817"/>
    </row>
    <row r="54" spans="1:49" ht="30" customHeight="1" x14ac:dyDescent="0.25">
      <c r="A54" s="4" t="s">
        <v>1475</v>
      </c>
      <c r="B54" s="13" t="s">
        <v>169</v>
      </c>
      <c r="C54" s="5" t="s">
        <v>169</v>
      </c>
      <c r="D54" s="13" t="s">
        <v>169</v>
      </c>
      <c r="E54" s="5" t="s">
        <v>169</v>
      </c>
      <c r="F54" s="13" t="s">
        <v>169</v>
      </c>
      <c r="G54" s="5" t="s">
        <v>169</v>
      </c>
      <c r="H54" s="13" t="s">
        <v>169</v>
      </c>
      <c r="I54" s="5" t="s">
        <v>169</v>
      </c>
      <c r="J54" s="13" t="s">
        <v>169</v>
      </c>
      <c r="K54" s="5" t="s">
        <v>169</v>
      </c>
      <c r="L54" s="13" t="s">
        <v>169</v>
      </c>
      <c r="M54" s="5" t="s">
        <v>169</v>
      </c>
      <c r="N54" s="13" t="s">
        <v>169</v>
      </c>
      <c r="O54" s="5" t="s">
        <v>169</v>
      </c>
      <c r="P54" s="13" t="s">
        <v>169</v>
      </c>
      <c r="Q54" s="5" t="s">
        <v>169</v>
      </c>
      <c r="R54" s="13" t="s">
        <v>169</v>
      </c>
      <c r="S54" s="5" t="s">
        <v>169</v>
      </c>
      <c r="T54" s="13" t="s">
        <v>169</v>
      </c>
      <c r="U54" s="5" t="s">
        <v>169</v>
      </c>
      <c r="V54" s="13" t="s">
        <v>169</v>
      </c>
      <c r="W54" s="5" t="s">
        <v>169</v>
      </c>
      <c r="X54" s="13" t="s">
        <v>169</v>
      </c>
      <c r="Y54" s="5" t="s">
        <v>169</v>
      </c>
      <c r="Z54" s="13" t="s">
        <v>169</v>
      </c>
      <c r="AA54" s="5" t="s">
        <v>169</v>
      </c>
      <c r="AB54" s="13" t="s">
        <v>169</v>
      </c>
      <c r="AC54" s="5" t="s">
        <v>169</v>
      </c>
      <c r="AD54" s="13" t="s">
        <v>169</v>
      </c>
      <c r="AE54" s="5" t="s">
        <v>169</v>
      </c>
      <c r="AF54" s="13" t="s">
        <v>169</v>
      </c>
      <c r="AG54" s="5" t="s">
        <v>169</v>
      </c>
      <c r="AH54" s="13" t="s">
        <v>169</v>
      </c>
      <c r="AI54" s="5" t="s">
        <v>169</v>
      </c>
      <c r="AJ54" s="13" t="s">
        <v>169</v>
      </c>
      <c r="AK54" s="5" t="s">
        <v>169</v>
      </c>
      <c r="AL54" s="13">
        <v>1.0799308116839059</v>
      </c>
      <c r="AM54" s="5" t="s">
        <v>226</v>
      </c>
      <c r="AN54" s="13">
        <v>1.0838514706839051</v>
      </c>
      <c r="AO54" s="5" t="s">
        <v>226</v>
      </c>
      <c r="AP54" s="13">
        <v>0.33193243768390612</v>
      </c>
      <c r="AQ54" s="5"/>
      <c r="AR54" s="13">
        <v>0.46938946768390538</v>
      </c>
      <c r="AS54" s="5"/>
      <c r="AT54" s="13">
        <v>0.86395598368390569</v>
      </c>
      <c r="AU54" s="5" t="s">
        <v>226</v>
      </c>
      <c r="AV54" s="14">
        <v>0.86668869654175307</v>
      </c>
      <c r="AW54" s="5" t="s">
        <v>226</v>
      </c>
    </row>
    <row r="55" spans="1:49" ht="15.75" x14ac:dyDescent="0.25">
      <c r="A55" s="7" t="s">
        <v>170</v>
      </c>
      <c r="B55" s="15" t="s">
        <v>169</v>
      </c>
      <c r="C55" s="8" t="s">
        <v>169</v>
      </c>
      <c r="D55" s="15" t="s">
        <v>169</v>
      </c>
      <c r="E55" s="8" t="s">
        <v>169</v>
      </c>
      <c r="F55" s="15" t="s">
        <v>169</v>
      </c>
      <c r="G55" s="8" t="s">
        <v>169</v>
      </c>
      <c r="H55" s="15" t="s">
        <v>169</v>
      </c>
      <c r="I55" s="8" t="s">
        <v>169</v>
      </c>
      <c r="J55" s="15" t="s">
        <v>169</v>
      </c>
      <c r="K55" s="8" t="s">
        <v>169</v>
      </c>
      <c r="L55" s="15" t="s">
        <v>169</v>
      </c>
      <c r="M55" s="8" t="s">
        <v>169</v>
      </c>
      <c r="N55" s="15" t="s">
        <v>169</v>
      </c>
      <c r="O55" s="8" t="s">
        <v>169</v>
      </c>
      <c r="P55" s="15" t="s">
        <v>169</v>
      </c>
      <c r="Q55" s="8" t="s">
        <v>169</v>
      </c>
      <c r="R55" s="15" t="s">
        <v>169</v>
      </c>
      <c r="S55" s="8" t="s">
        <v>169</v>
      </c>
      <c r="T55" s="15" t="s">
        <v>169</v>
      </c>
      <c r="U55" s="8" t="s">
        <v>169</v>
      </c>
      <c r="V55" s="15" t="s">
        <v>169</v>
      </c>
      <c r="W55" s="8" t="s">
        <v>169</v>
      </c>
      <c r="X55" s="15" t="s">
        <v>169</v>
      </c>
      <c r="Y55" s="8" t="s">
        <v>169</v>
      </c>
      <c r="Z55" s="15" t="s">
        <v>169</v>
      </c>
      <c r="AA55" s="8" t="s">
        <v>169</v>
      </c>
      <c r="AB55" s="15" t="s">
        <v>169</v>
      </c>
      <c r="AC55" s="8" t="s">
        <v>169</v>
      </c>
      <c r="AD55" s="15" t="s">
        <v>169</v>
      </c>
      <c r="AE55" s="8" t="s">
        <v>169</v>
      </c>
      <c r="AF55" s="15" t="s">
        <v>169</v>
      </c>
      <c r="AG55" s="8" t="s">
        <v>169</v>
      </c>
      <c r="AH55" s="15" t="s">
        <v>169</v>
      </c>
      <c r="AI55" s="8" t="s">
        <v>169</v>
      </c>
      <c r="AJ55" s="15" t="s">
        <v>169</v>
      </c>
      <c r="AK55" s="8" t="s">
        <v>169</v>
      </c>
      <c r="AL55" s="15">
        <v>-7.9183405782753624E-2</v>
      </c>
      <c r="AM55" s="8"/>
      <c r="AN55" s="15">
        <v>7.4759982217246446E-2</v>
      </c>
      <c r="AO55" s="8"/>
      <c r="AP55" s="15">
        <v>-0.36651207778275369</v>
      </c>
      <c r="AQ55" s="8"/>
      <c r="AR55" s="15">
        <v>-0.2064585647827544</v>
      </c>
      <c r="AS55" s="8"/>
      <c r="AT55" s="15">
        <v>0.54747307421724623</v>
      </c>
      <c r="AU55" s="8" t="s">
        <v>226</v>
      </c>
      <c r="AV55" s="16">
        <v>0.73655602310602841</v>
      </c>
      <c r="AW55" s="8" t="s">
        <v>226</v>
      </c>
    </row>
    <row r="56" spans="1:49" ht="15.75" x14ac:dyDescent="0.25">
      <c r="A56" s="7" t="s">
        <v>171</v>
      </c>
      <c r="B56" s="15" t="s">
        <v>169</v>
      </c>
      <c r="C56" s="8" t="s">
        <v>169</v>
      </c>
      <c r="D56" s="15" t="s">
        <v>169</v>
      </c>
      <c r="E56" s="8" t="s">
        <v>169</v>
      </c>
      <c r="F56" s="15" t="s">
        <v>169</v>
      </c>
      <c r="G56" s="8" t="s">
        <v>169</v>
      </c>
      <c r="H56" s="15" t="s">
        <v>169</v>
      </c>
      <c r="I56" s="8" t="s">
        <v>169</v>
      </c>
      <c r="J56" s="15" t="s">
        <v>169</v>
      </c>
      <c r="K56" s="8" t="s">
        <v>169</v>
      </c>
      <c r="L56" s="15" t="s">
        <v>169</v>
      </c>
      <c r="M56" s="8" t="s">
        <v>169</v>
      </c>
      <c r="N56" s="15" t="s">
        <v>169</v>
      </c>
      <c r="O56" s="8" t="s">
        <v>169</v>
      </c>
      <c r="P56" s="15" t="s">
        <v>169</v>
      </c>
      <c r="Q56" s="8" t="s">
        <v>169</v>
      </c>
      <c r="R56" s="15" t="s">
        <v>169</v>
      </c>
      <c r="S56" s="8" t="s">
        <v>169</v>
      </c>
      <c r="T56" s="15" t="s">
        <v>169</v>
      </c>
      <c r="U56" s="8" t="s">
        <v>169</v>
      </c>
      <c r="V56" s="15" t="s">
        <v>169</v>
      </c>
      <c r="W56" s="8" t="s">
        <v>169</v>
      </c>
      <c r="X56" s="15" t="s">
        <v>169</v>
      </c>
      <c r="Y56" s="8" t="s">
        <v>169</v>
      </c>
      <c r="Z56" s="15" t="s">
        <v>169</v>
      </c>
      <c r="AA56" s="8" t="s">
        <v>169</v>
      </c>
      <c r="AB56" s="15" t="s">
        <v>169</v>
      </c>
      <c r="AC56" s="8" t="s">
        <v>169</v>
      </c>
      <c r="AD56" s="15" t="s">
        <v>169</v>
      </c>
      <c r="AE56" s="8" t="s">
        <v>169</v>
      </c>
      <c r="AF56" s="15" t="s">
        <v>169</v>
      </c>
      <c r="AG56" s="8" t="s">
        <v>169</v>
      </c>
      <c r="AH56" s="15" t="s">
        <v>169</v>
      </c>
      <c r="AI56" s="8" t="s">
        <v>169</v>
      </c>
      <c r="AJ56" s="15" t="s">
        <v>169</v>
      </c>
      <c r="AK56" s="8" t="s">
        <v>169</v>
      </c>
      <c r="AL56" s="15">
        <v>0.53428623304881762</v>
      </c>
      <c r="AM56" s="8" t="s">
        <v>226</v>
      </c>
      <c r="AN56" s="15">
        <v>0.3563659600488176</v>
      </c>
      <c r="AO56" s="8" t="s">
        <v>226</v>
      </c>
      <c r="AP56" s="15">
        <v>3.4050331048817828E-2</v>
      </c>
      <c r="AQ56" s="8"/>
      <c r="AR56" s="15">
        <v>0.25476446404881758</v>
      </c>
      <c r="AS56" s="8"/>
      <c r="AT56" s="15">
        <v>0.4099662380488176</v>
      </c>
      <c r="AU56" s="8" t="s">
        <v>226</v>
      </c>
      <c r="AV56" s="16">
        <v>0.16274003872033879</v>
      </c>
      <c r="AW56" s="8"/>
    </row>
    <row r="57" spans="1:49" ht="15.75" x14ac:dyDescent="0.25">
      <c r="A57" s="7" t="s">
        <v>172</v>
      </c>
      <c r="B57" s="15" t="s">
        <v>169</v>
      </c>
      <c r="C57" s="8" t="s">
        <v>169</v>
      </c>
      <c r="D57" s="15" t="s">
        <v>169</v>
      </c>
      <c r="E57" s="8" t="s">
        <v>169</v>
      </c>
      <c r="F57" s="15" t="s">
        <v>169</v>
      </c>
      <c r="G57" s="8" t="s">
        <v>169</v>
      </c>
      <c r="H57" s="15" t="s">
        <v>169</v>
      </c>
      <c r="I57" s="8" t="s">
        <v>169</v>
      </c>
      <c r="J57" s="15" t="s">
        <v>169</v>
      </c>
      <c r="K57" s="8" t="s">
        <v>169</v>
      </c>
      <c r="L57" s="15" t="s">
        <v>169</v>
      </c>
      <c r="M57" s="8" t="s">
        <v>169</v>
      </c>
      <c r="N57" s="15" t="s">
        <v>169</v>
      </c>
      <c r="O57" s="8" t="s">
        <v>169</v>
      </c>
      <c r="P57" s="15" t="s">
        <v>169</v>
      </c>
      <c r="Q57" s="8" t="s">
        <v>169</v>
      </c>
      <c r="R57" s="15" t="s">
        <v>169</v>
      </c>
      <c r="S57" s="8" t="s">
        <v>169</v>
      </c>
      <c r="T57" s="15" t="s">
        <v>169</v>
      </c>
      <c r="U57" s="8" t="s">
        <v>169</v>
      </c>
      <c r="V57" s="15" t="s">
        <v>169</v>
      </c>
      <c r="W57" s="8" t="s">
        <v>169</v>
      </c>
      <c r="X57" s="15" t="s">
        <v>169</v>
      </c>
      <c r="Y57" s="8" t="s">
        <v>169</v>
      </c>
      <c r="Z57" s="15" t="s">
        <v>169</v>
      </c>
      <c r="AA57" s="8" t="s">
        <v>169</v>
      </c>
      <c r="AB57" s="15" t="s">
        <v>169</v>
      </c>
      <c r="AC57" s="8" t="s">
        <v>169</v>
      </c>
      <c r="AD57" s="15" t="s">
        <v>169</v>
      </c>
      <c r="AE57" s="8" t="s">
        <v>169</v>
      </c>
      <c r="AF57" s="15" t="s">
        <v>169</v>
      </c>
      <c r="AG57" s="8" t="s">
        <v>169</v>
      </c>
      <c r="AH57" s="15" t="s">
        <v>169</v>
      </c>
      <c r="AI57" s="8" t="s">
        <v>169</v>
      </c>
      <c r="AJ57" s="15" t="s">
        <v>169</v>
      </c>
      <c r="AK57" s="8" t="s">
        <v>169</v>
      </c>
      <c r="AL57" s="15">
        <v>0.45378740038128101</v>
      </c>
      <c r="AM57" s="8" t="s">
        <v>226</v>
      </c>
      <c r="AN57" s="15">
        <v>0.47596261638128101</v>
      </c>
      <c r="AO57" s="8" t="s">
        <v>226</v>
      </c>
      <c r="AP57" s="15">
        <v>0.50408560338128106</v>
      </c>
      <c r="AQ57" s="8" t="s">
        <v>226</v>
      </c>
      <c r="AR57" s="15">
        <v>0.47735251238128101</v>
      </c>
      <c r="AS57" s="8" t="s">
        <v>226</v>
      </c>
      <c r="AT57" s="15">
        <v>-0.1694908076187189</v>
      </c>
      <c r="AU57" s="8" t="s">
        <v>226</v>
      </c>
      <c r="AV57" s="16">
        <v>-5.1384154162600448E-2</v>
      </c>
      <c r="AW57" s="8"/>
    </row>
    <row r="58" spans="1:49" ht="15.75" x14ac:dyDescent="0.25">
      <c r="A58" s="7" t="s">
        <v>173</v>
      </c>
      <c r="B58" s="15" t="s">
        <v>169</v>
      </c>
      <c r="C58" s="8" t="s">
        <v>169</v>
      </c>
      <c r="D58" s="15" t="s">
        <v>169</v>
      </c>
      <c r="E58" s="8" t="s">
        <v>169</v>
      </c>
      <c r="F58" s="15" t="s">
        <v>169</v>
      </c>
      <c r="G58" s="8" t="s">
        <v>169</v>
      </c>
      <c r="H58" s="15" t="s">
        <v>169</v>
      </c>
      <c r="I58" s="8" t="s">
        <v>169</v>
      </c>
      <c r="J58" s="15" t="s">
        <v>169</v>
      </c>
      <c r="K58" s="8" t="s">
        <v>169</v>
      </c>
      <c r="L58" s="15" t="s">
        <v>169</v>
      </c>
      <c r="M58" s="8" t="s">
        <v>169</v>
      </c>
      <c r="N58" s="15" t="s">
        <v>169</v>
      </c>
      <c r="O58" s="8" t="s">
        <v>169</v>
      </c>
      <c r="P58" s="15" t="s">
        <v>169</v>
      </c>
      <c r="Q58" s="8" t="s">
        <v>169</v>
      </c>
      <c r="R58" s="15" t="s">
        <v>169</v>
      </c>
      <c r="S58" s="8" t="s">
        <v>169</v>
      </c>
      <c r="T58" s="15" t="s">
        <v>169</v>
      </c>
      <c r="U58" s="8" t="s">
        <v>169</v>
      </c>
      <c r="V58" s="15" t="s">
        <v>169</v>
      </c>
      <c r="W58" s="8" t="s">
        <v>169</v>
      </c>
      <c r="X58" s="15" t="s">
        <v>169</v>
      </c>
      <c r="Y58" s="8" t="s">
        <v>169</v>
      </c>
      <c r="Z58" s="15" t="s">
        <v>169</v>
      </c>
      <c r="AA58" s="8" t="s">
        <v>169</v>
      </c>
      <c r="AB58" s="15" t="s">
        <v>169</v>
      </c>
      <c r="AC58" s="8" t="s">
        <v>169</v>
      </c>
      <c r="AD58" s="15" t="s">
        <v>169</v>
      </c>
      <c r="AE58" s="8" t="s">
        <v>169</v>
      </c>
      <c r="AF58" s="15" t="s">
        <v>169</v>
      </c>
      <c r="AG58" s="8" t="s">
        <v>169</v>
      </c>
      <c r="AH58" s="15" t="s">
        <v>169</v>
      </c>
      <c r="AI58" s="8" t="s">
        <v>169</v>
      </c>
      <c r="AJ58" s="15" t="s">
        <v>169</v>
      </c>
      <c r="AK58" s="8" t="s">
        <v>169</v>
      </c>
      <c r="AL58" s="15">
        <v>0.20000901955531331</v>
      </c>
      <c r="AM58" s="8" t="s">
        <v>226</v>
      </c>
      <c r="AN58" s="15">
        <v>0.22612979555531329</v>
      </c>
      <c r="AO58" s="8" t="s">
        <v>226</v>
      </c>
      <c r="AP58" s="15">
        <v>8.616988955531335E-2</v>
      </c>
      <c r="AQ58" s="8"/>
      <c r="AR58" s="15">
        <v>-4.6229522444686637E-2</v>
      </c>
      <c r="AS58" s="8"/>
      <c r="AT58" s="15">
        <v>6.2308850555313322E-2</v>
      </c>
      <c r="AU58" s="8"/>
      <c r="AV58" s="16">
        <v>6.0038104948281878E-2</v>
      </c>
      <c r="AW58" s="8"/>
    </row>
    <row r="59" spans="1:49" ht="30" customHeight="1" x14ac:dyDescent="0.25">
      <c r="A59" s="4" t="s">
        <v>1476</v>
      </c>
      <c r="B59" s="13" t="s">
        <v>169</v>
      </c>
      <c r="C59" s="5" t="s">
        <v>169</v>
      </c>
      <c r="D59" s="13" t="s">
        <v>169</v>
      </c>
      <c r="E59" s="5" t="s">
        <v>169</v>
      </c>
      <c r="F59" s="13" t="s">
        <v>169</v>
      </c>
      <c r="G59" s="5" t="s">
        <v>169</v>
      </c>
      <c r="H59" s="13" t="s">
        <v>169</v>
      </c>
      <c r="I59" s="5" t="s">
        <v>169</v>
      </c>
      <c r="J59" s="13" t="s">
        <v>169</v>
      </c>
      <c r="K59" s="5" t="s">
        <v>169</v>
      </c>
      <c r="L59" s="13" t="s">
        <v>169</v>
      </c>
      <c r="M59" s="5" t="s">
        <v>169</v>
      </c>
      <c r="N59" s="13" t="s">
        <v>169</v>
      </c>
      <c r="O59" s="5" t="s">
        <v>169</v>
      </c>
      <c r="P59" s="13" t="s">
        <v>169</v>
      </c>
      <c r="Q59" s="5" t="s">
        <v>169</v>
      </c>
      <c r="R59" s="13" t="s">
        <v>169</v>
      </c>
      <c r="S59" s="5" t="s">
        <v>169</v>
      </c>
      <c r="T59" s="13" t="s">
        <v>169</v>
      </c>
      <c r="U59" s="5" t="s">
        <v>169</v>
      </c>
      <c r="V59" s="13" t="s">
        <v>169</v>
      </c>
      <c r="W59" s="5" t="s">
        <v>169</v>
      </c>
      <c r="X59" s="13" t="s">
        <v>169</v>
      </c>
      <c r="Y59" s="5" t="s">
        <v>169</v>
      </c>
      <c r="Z59" s="13" t="s">
        <v>169</v>
      </c>
      <c r="AA59" s="5" t="s">
        <v>169</v>
      </c>
      <c r="AB59" s="13" t="s">
        <v>169</v>
      </c>
      <c r="AC59" s="5" t="s">
        <v>169</v>
      </c>
      <c r="AD59" s="13" t="s">
        <v>169</v>
      </c>
      <c r="AE59" s="5" t="s">
        <v>169</v>
      </c>
      <c r="AF59" s="13" t="s">
        <v>169</v>
      </c>
      <c r="AG59" s="5" t="s">
        <v>169</v>
      </c>
      <c r="AH59" s="13" t="s">
        <v>169</v>
      </c>
      <c r="AI59" s="5" t="s">
        <v>169</v>
      </c>
      <c r="AJ59" s="13" t="s">
        <v>169</v>
      </c>
      <c r="AK59" s="5" t="s">
        <v>169</v>
      </c>
      <c r="AL59" s="13">
        <v>-1.7105533801176469</v>
      </c>
      <c r="AM59" s="5" t="s">
        <v>226</v>
      </c>
      <c r="AN59" s="13">
        <v>-1.036494020117646</v>
      </c>
      <c r="AO59" s="5" t="s">
        <v>226</v>
      </c>
      <c r="AP59" s="13">
        <v>-0.60294236011764668</v>
      </c>
      <c r="AQ59" s="5" t="s">
        <v>226</v>
      </c>
      <c r="AR59" s="13">
        <v>-0.37197566611764649</v>
      </c>
      <c r="AS59" s="5" t="s">
        <v>226</v>
      </c>
      <c r="AT59" s="13">
        <v>-9.5938414117646698E-2</v>
      </c>
      <c r="AU59" s="5"/>
      <c r="AV59" s="14">
        <v>-0.46528181522305623</v>
      </c>
      <c r="AW59" s="5" t="s">
        <v>226</v>
      </c>
    </row>
    <row r="60" spans="1:49" ht="15.75" x14ac:dyDescent="0.25">
      <c r="A60" s="7" t="s">
        <v>174</v>
      </c>
      <c r="B60" s="15" t="s">
        <v>169</v>
      </c>
      <c r="C60" s="8" t="s">
        <v>169</v>
      </c>
      <c r="D60" s="15" t="s">
        <v>169</v>
      </c>
      <c r="E60" s="8" t="s">
        <v>169</v>
      </c>
      <c r="F60" s="15" t="s">
        <v>169</v>
      </c>
      <c r="G60" s="8" t="s">
        <v>169</v>
      </c>
      <c r="H60" s="15" t="s">
        <v>169</v>
      </c>
      <c r="I60" s="8" t="s">
        <v>169</v>
      </c>
      <c r="J60" s="15" t="s">
        <v>169</v>
      </c>
      <c r="K60" s="8" t="s">
        <v>169</v>
      </c>
      <c r="L60" s="15" t="s">
        <v>169</v>
      </c>
      <c r="M60" s="8" t="s">
        <v>169</v>
      </c>
      <c r="N60" s="15" t="s">
        <v>169</v>
      </c>
      <c r="O60" s="8" t="s">
        <v>169</v>
      </c>
      <c r="P60" s="15" t="s">
        <v>169</v>
      </c>
      <c r="Q60" s="8" t="s">
        <v>169</v>
      </c>
      <c r="R60" s="15" t="s">
        <v>169</v>
      </c>
      <c r="S60" s="8" t="s">
        <v>169</v>
      </c>
      <c r="T60" s="15" t="s">
        <v>169</v>
      </c>
      <c r="U60" s="8" t="s">
        <v>169</v>
      </c>
      <c r="V60" s="15" t="s">
        <v>169</v>
      </c>
      <c r="W60" s="8" t="s">
        <v>169</v>
      </c>
      <c r="X60" s="15" t="s">
        <v>169</v>
      </c>
      <c r="Y60" s="8" t="s">
        <v>169</v>
      </c>
      <c r="Z60" s="15" t="s">
        <v>169</v>
      </c>
      <c r="AA60" s="8" t="s">
        <v>169</v>
      </c>
      <c r="AB60" s="15" t="s">
        <v>169</v>
      </c>
      <c r="AC60" s="8" t="s">
        <v>169</v>
      </c>
      <c r="AD60" s="15" t="s">
        <v>169</v>
      </c>
      <c r="AE60" s="8" t="s">
        <v>169</v>
      </c>
      <c r="AF60" s="15" t="s">
        <v>169</v>
      </c>
      <c r="AG60" s="8" t="s">
        <v>169</v>
      </c>
      <c r="AH60" s="15" t="s">
        <v>169</v>
      </c>
      <c r="AI60" s="8" t="s">
        <v>169</v>
      </c>
      <c r="AJ60" s="15" t="s">
        <v>169</v>
      </c>
      <c r="AK60" s="8" t="s">
        <v>169</v>
      </c>
      <c r="AL60" s="15">
        <v>-1.676182951388328</v>
      </c>
      <c r="AM60" s="8" t="s">
        <v>226</v>
      </c>
      <c r="AN60" s="15">
        <v>-1.086835247388328</v>
      </c>
      <c r="AO60" s="8" t="s">
        <v>226</v>
      </c>
      <c r="AP60" s="15">
        <v>-0.56303819838832769</v>
      </c>
      <c r="AQ60" s="8" t="s">
        <v>226</v>
      </c>
      <c r="AR60" s="15">
        <v>-0.37982459438832772</v>
      </c>
      <c r="AS60" s="8" t="s">
        <v>226</v>
      </c>
      <c r="AT60" s="15">
        <v>3.4717743611672347E-2</v>
      </c>
      <c r="AU60" s="8"/>
      <c r="AV60" s="16">
        <v>2.39550622359464E-2</v>
      </c>
      <c r="AW60" s="8"/>
    </row>
    <row r="61" spans="1:49" ht="16.5" customHeight="1" x14ac:dyDescent="0.25">
      <c r="A61" s="7" t="s">
        <v>175</v>
      </c>
      <c r="B61" s="15" t="s">
        <v>169</v>
      </c>
      <c r="C61" s="8" t="s">
        <v>169</v>
      </c>
      <c r="D61" s="15" t="s">
        <v>169</v>
      </c>
      <c r="E61" s="8" t="s">
        <v>169</v>
      </c>
      <c r="F61" s="15" t="s">
        <v>169</v>
      </c>
      <c r="G61" s="8" t="s">
        <v>169</v>
      </c>
      <c r="H61" s="15" t="s">
        <v>169</v>
      </c>
      <c r="I61" s="8" t="s">
        <v>169</v>
      </c>
      <c r="J61" s="15" t="s">
        <v>169</v>
      </c>
      <c r="K61" s="8" t="s">
        <v>169</v>
      </c>
      <c r="L61" s="15" t="s">
        <v>169</v>
      </c>
      <c r="M61" s="8" t="s">
        <v>169</v>
      </c>
      <c r="N61" s="15" t="s">
        <v>169</v>
      </c>
      <c r="O61" s="8" t="s">
        <v>169</v>
      </c>
      <c r="P61" s="15" t="s">
        <v>169</v>
      </c>
      <c r="Q61" s="8" t="s">
        <v>169</v>
      </c>
      <c r="R61" s="15" t="s">
        <v>169</v>
      </c>
      <c r="S61" s="8" t="s">
        <v>169</v>
      </c>
      <c r="T61" s="15" t="s">
        <v>169</v>
      </c>
      <c r="U61" s="8" t="s">
        <v>169</v>
      </c>
      <c r="V61" s="15" t="s">
        <v>169</v>
      </c>
      <c r="W61" s="8" t="s">
        <v>169</v>
      </c>
      <c r="X61" s="15" t="s">
        <v>169</v>
      </c>
      <c r="Y61" s="8" t="s">
        <v>169</v>
      </c>
      <c r="Z61" s="15" t="s">
        <v>169</v>
      </c>
      <c r="AA61" s="8" t="s">
        <v>169</v>
      </c>
      <c r="AB61" s="15" t="s">
        <v>169</v>
      </c>
      <c r="AC61" s="8" t="s">
        <v>169</v>
      </c>
      <c r="AD61" s="15" t="s">
        <v>169</v>
      </c>
      <c r="AE61" s="8" t="s">
        <v>169</v>
      </c>
      <c r="AF61" s="15" t="s">
        <v>169</v>
      </c>
      <c r="AG61" s="8" t="s">
        <v>169</v>
      </c>
      <c r="AH61" s="15" t="s">
        <v>169</v>
      </c>
      <c r="AI61" s="8" t="s">
        <v>169</v>
      </c>
      <c r="AJ61" s="15" t="s">
        <v>169</v>
      </c>
      <c r="AK61" s="8" t="s">
        <v>169</v>
      </c>
      <c r="AL61" s="15">
        <v>-0.1123209103953038</v>
      </c>
      <c r="AM61" s="8"/>
      <c r="AN61" s="15">
        <v>2.6633353604696208E-2</v>
      </c>
      <c r="AO61" s="8"/>
      <c r="AP61" s="15">
        <v>-4.6423351395303743E-2</v>
      </c>
      <c r="AQ61" s="8"/>
      <c r="AR61" s="15">
        <v>-1.4270877395303749E-2</v>
      </c>
      <c r="AS61" s="8"/>
      <c r="AT61" s="15">
        <v>-0.13921714439530389</v>
      </c>
      <c r="AU61" s="8"/>
      <c r="AV61" s="16">
        <v>-0.49600343041833722</v>
      </c>
      <c r="AW61" s="8" t="s">
        <v>226</v>
      </c>
    </row>
    <row r="62" spans="1:49" ht="37.5" customHeight="1" x14ac:dyDescent="0.25">
      <c r="A62" s="816" t="s">
        <v>1484</v>
      </c>
      <c r="B62" s="824" t="s">
        <v>169</v>
      </c>
      <c r="C62" s="817" t="s">
        <v>169</v>
      </c>
      <c r="D62" s="824" t="s">
        <v>169</v>
      </c>
      <c r="E62" s="817" t="s">
        <v>169</v>
      </c>
      <c r="F62" s="824" t="s">
        <v>169</v>
      </c>
      <c r="G62" s="817" t="s">
        <v>169</v>
      </c>
      <c r="H62" s="824" t="s">
        <v>169</v>
      </c>
      <c r="I62" s="817" t="s">
        <v>169</v>
      </c>
      <c r="J62" s="824" t="s">
        <v>169</v>
      </c>
      <c r="K62" s="817" t="s">
        <v>169</v>
      </c>
      <c r="L62" s="824" t="s">
        <v>169</v>
      </c>
      <c r="M62" s="817" t="s">
        <v>169</v>
      </c>
      <c r="N62" s="824" t="s">
        <v>169</v>
      </c>
      <c r="O62" s="817" t="s">
        <v>169</v>
      </c>
      <c r="P62" s="824" t="s">
        <v>169</v>
      </c>
      <c r="Q62" s="817" t="s">
        <v>169</v>
      </c>
      <c r="R62" s="824" t="s">
        <v>169</v>
      </c>
      <c r="S62" s="817" t="s">
        <v>169</v>
      </c>
      <c r="T62" s="824" t="s">
        <v>169</v>
      </c>
      <c r="U62" s="817" t="s">
        <v>169</v>
      </c>
      <c r="V62" s="824" t="s">
        <v>169</v>
      </c>
      <c r="W62" s="817" t="s">
        <v>169</v>
      </c>
      <c r="X62" s="824" t="s">
        <v>169</v>
      </c>
      <c r="Y62" s="817" t="s">
        <v>169</v>
      </c>
      <c r="Z62" s="824" t="s">
        <v>169</v>
      </c>
      <c r="AA62" s="817" t="s">
        <v>169</v>
      </c>
      <c r="AB62" s="824" t="s">
        <v>169</v>
      </c>
      <c r="AC62" s="817" t="s">
        <v>169</v>
      </c>
      <c r="AD62" s="824" t="s">
        <v>169</v>
      </c>
      <c r="AE62" s="817" t="s">
        <v>169</v>
      </c>
      <c r="AF62" s="824" t="s">
        <v>169</v>
      </c>
      <c r="AG62" s="817" t="s">
        <v>169</v>
      </c>
      <c r="AH62" s="824" t="s">
        <v>169</v>
      </c>
      <c r="AI62" s="817" t="s">
        <v>169</v>
      </c>
      <c r="AJ62" s="824" t="s">
        <v>169</v>
      </c>
      <c r="AK62" s="817" t="s">
        <v>169</v>
      </c>
      <c r="AL62" s="824">
        <v>-3.5723301251175879</v>
      </c>
      <c r="AM62" s="817" t="s">
        <v>226</v>
      </c>
      <c r="AN62" s="824">
        <v>-3.27016199511759</v>
      </c>
      <c r="AO62" s="817" t="s">
        <v>226</v>
      </c>
      <c r="AP62" s="824">
        <v>-4.134088225117587</v>
      </c>
      <c r="AQ62" s="817" t="s">
        <v>226</v>
      </c>
      <c r="AR62" s="824">
        <v>-2.3378285251175899</v>
      </c>
      <c r="AS62" s="817" t="s">
        <v>226</v>
      </c>
      <c r="AT62" s="824">
        <v>0.87804022488241174</v>
      </c>
      <c r="AU62" s="817"/>
      <c r="AV62" s="825">
        <v>0.24912318098302319</v>
      </c>
      <c r="AW62" s="817"/>
    </row>
  </sheetData>
  <hyperlinks>
    <hyperlink ref="A6" location="'Notes_A1 to A4'!A1" display="Link to Notes page." xr:uid="{00000000-0004-0000-0800-000000000000}"/>
    <hyperlink ref="A4" location=" 'Table of contents'!A1" display="Link to Table of contents." xr:uid="{00000000-0004-0000-0800-000001000000}"/>
  </hyperlink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61"/>
  <sheetViews>
    <sheetView showGridLines="0" workbookViewId="0"/>
  </sheetViews>
  <sheetFormatPr defaultRowHeight="15" customHeight="1" x14ac:dyDescent="0.25"/>
  <cols>
    <col min="1" max="1" width="105.7109375" customWidth="1"/>
    <col min="2" max="33" width="16.7109375" customWidth="1"/>
  </cols>
  <sheetData>
    <row r="1" spans="1:33" ht="20.100000000000001" customHeight="1" x14ac:dyDescent="0.25">
      <c r="A1" s="836" t="s">
        <v>1485</v>
      </c>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row>
    <row r="2" spans="1:33" ht="20.100000000000001" customHeight="1" x14ac:dyDescent="0.25">
      <c r="A2" s="185" t="s">
        <v>95</v>
      </c>
      <c r="B2" s="124"/>
      <c r="C2" s="124"/>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row>
    <row r="3" spans="1:33" ht="20.100000000000001" customHeight="1" x14ac:dyDescent="0.25">
      <c r="A3" s="1" t="s">
        <v>96</v>
      </c>
      <c r="B3" s="124"/>
      <c r="C3" s="124"/>
      <c r="D3" s="124"/>
      <c r="E3" s="124"/>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row>
    <row r="4" spans="1:33" ht="20.100000000000001" customHeight="1" x14ac:dyDescent="0.25">
      <c r="A4" s="2" t="s">
        <v>97</v>
      </c>
      <c r="B4" s="124"/>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row>
    <row r="5" spans="1:33" ht="20.100000000000001" customHeight="1" x14ac:dyDescent="0.25">
      <c r="A5" s="1" t="s">
        <v>98</v>
      </c>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c r="AG5" s="124"/>
    </row>
    <row r="6" spans="1:33" ht="20.100000000000001" customHeight="1" x14ac:dyDescent="0.25">
      <c r="A6" s="2" t="s">
        <v>99</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4"/>
    </row>
    <row r="7" spans="1:33" ht="20.100000000000001" customHeight="1" x14ac:dyDescent="0.25">
      <c r="A7" s="1" t="s">
        <v>100</v>
      </c>
      <c r="B7" s="124"/>
      <c r="C7" s="124"/>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c r="AG7" s="124"/>
    </row>
    <row r="8" spans="1:33" ht="80.099999999999994" customHeight="1" x14ac:dyDescent="0.25">
      <c r="A8" s="31" t="s">
        <v>101</v>
      </c>
      <c r="B8" s="99" t="s">
        <v>102</v>
      </c>
      <c r="C8" s="99" t="s">
        <v>103</v>
      </c>
      <c r="D8" s="99" t="s">
        <v>104</v>
      </c>
      <c r="E8" s="99" t="s">
        <v>105</v>
      </c>
      <c r="F8" s="99" t="s">
        <v>106</v>
      </c>
      <c r="G8" s="99" t="s">
        <v>107</v>
      </c>
      <c r="H8" s="99" t="s">
        <v>108</v>
      </c>
      <c r="I8" s="99" t="s">
        <v>109</v>
      </c>
      <c r="J8" s="99" t="s">
        <v>110</v>
      </c>
      <c r="K8" s="99" t="s">
        <v>111</v>
      </c>
      <c r="L8" s="99" t="s">
        <v>112</v>
      </c>
      <c r="M8" s="99" t="s">
        <v>113</v>
      </c>
      <c r="N8" s="99" t="s">
        <v>114</v>
      </c>
      <c r="O8" s="99" t="s">
        <v>115</v>
      </c>
      <c r="P8" s="99" t="s">
        <v>116</v>
      </c>
      <c r="Q8" s="99" t="s">
        <v>117</v>
      </c>
      <c r="R8" s="99" t="s">
        <v>118</v>
      </c>
      <c r="S8" s="99" t="s">
        <v>119</v>
      </c>
      <c r="T8" s="99" t="s">
        <v>120</v>
      </c>
      <c r="U8" s="99" t="s">
        <v>121</v>
      </c>
      <c r="V8" s="99" t="s">
        <v>122</v>
      </c>
      <c r="W8" s="99" t="s">
        <v>123</v>
      </c>
      <c r="X8" s="99" t="s">
        <v>124</v>
      </c>
      <c r="Y8" s="99" t="s">
        <v>125</v>
      </c>
      <c r="Z8" s="99" t="s">
        <v>126</v>
      </c>
      <c r="AA8" s="99" t="s">
        <v>127</v>
      </c>
      <c r="AB8" s="99" t="s">
        <v>128</v>
      </c>
      <c r="AC8" s="99" t="s">
        <v>129</v>
      </c>
      <c r="AD8" s="99" t="s">
        <v>130</v>
      </c>
      <c r="AE8" s="99" t="s">
        <v>131</v>
      </c>
      <c r="AF8" s="99" t="s">
        <v>132</v>
      </c>
      <c r="AG8" s="99" t="s">
        <v>133</v>
      </c>
    </row>
    <row r="9" spans="1:33" ht="15.75" x14ac:dyDescent="0.25">
      <c r="A9" s="4" t="s">
        <v>134</v>
      </c>
      <c r="B9" s="5">
        <v>1108</v>
      </c>
      <c r="C9" s="5">
        <v>1141</v>
      </c>
      <c r="D9" s="5">
        <v>1170</v>
      </c>
      <c r="E9" s="5">
        <v>1344</v>
      </c>
      <c r="F9" s="5">
        <v>1761</v>
      </c>
      <c r="G9" s="5">
        <v>1917</v>
      </c>
      <c r="H9" s="5">
        <v>1796</v>
      </c>
      <c r="I9" s="5">
        <v>1646</v>
      </c>
      <c r="J9" s="5">
        <v>1358</v>
      </c>
      <c r="K9" s="5">
        <v>1347</v>
      </c>
      <c r="L9" s="5">
        <v>1394</v>
      </c>
      <c r="M9" s="5">
        <v>1220</v>
      </c>
      <c r="N9" s="5">
        <v>1168</v>
      </c>
      <c r="O9" s="5">
        <v>1298</v>
      </c>
      <c r="P9" s="5">
        <v>1173</v>
      </c>
      <c r="Q9" s="5">
        <v>1172</v>
      </c>
      <c r="R9" s="5">
        <v>1068</v>
      </c>
      <c r="S9" s="5">
        <v>1195</v>
      </c>
      <c r="T9" s="5">
        <v>1115</v>
      </c>
      <c r="U9" s="5">
        <v>990</v>
      </c>
      <c r="V9" s="5">
        <v>836</v>
      </c>
      <c r="W9" s="5">
        <v>815</v>
      </c>
      <c r="X9" s="5">
        <v>826</v>
      </c>
      <c r="Y9" s="5">
        <v>776</v>
      </c>
      <c r="Z9" s="5">
        <v>814</v>
      </c>
      <c r="AA9" s="5">
        <v>811</v>
      </c>
      <c r="AB9" s="5">
        <v>766</v>
      </c>
      <c r="AC9" s="5">
        <v>616</v>
      </c>
      <c r="AD9" s="5">
        <v>683</v>
      </c>
      <c r="AE9" s="5">
        <v>663</v>
      </c>
      <c r="AF9" s="815">
        <v>690</v>
      </c>
      <c r="AG9" s="5">
        <v>679</v>
      </c>
    </row>
    <row r="10" spans="1:33" ht="15.75" x14ac:dyDescent="0.25">
      <c r="A10" s="7" t="s">
        <v>266</v>
      </c>
      <c r="B10" s="8">
        <v>734</v>
      </c>
      <c r="C10" s="8">
        <v>707</v>
      </c>
      <c r="D10" s="8">
        <v>793</v>
      </c>
      <c r="E10" s="8">
        <v>893</v>
      </c>
      <c r="F10" s="8">
        <v>1162</v>
      </c>
      <c r="G10" s="8">
        <v>1177</v>
      </c>
      <c r="H10" s="8">
        <v>1130</v>
      </c>
      <c r="I10" s="8">
        <v>1020</v>
      </c>
      <c r="J10" s="8">
        <v>807</v>
      </c>
      <c r="K10" s="8">
        <v>799</v>
      </c>
      <c r="L10" s="8">
        <v>817</v>
      </c>
      <c r="M10" s="8">
        <v>739</v>
      </c>
      <c r="N10" s="8">
        <v>688</v>
      </c>
      <c r="O10" s="8">
        <v>748</v>
      </c>
      <c r="P10" s="8">
        <v>646</v>
      </c>
      <c r="Q10" s="8">
        <v>670</v>
      </c>
      <c r="R10" s="8">
        <v>604</v>
      </c>
      <c r="S10" s="8">
        <v>704</v>
      </c>
      <c r="T10" s="8">
        <v>621</v>
      </c>
      <c r="U10" s="8">
        <v>590</v>
      </c>
      <c r="V10" s="8">
        <v>446</v>
      </c>
      <c r="W10" s="8">
        <v>425</v>
      </c>
      <c r="X10" s="8">
        <v>418</v>
      </c>
      <c r="Y10" s="8">
        <v>373</v>
      </c>
      <c r="Z10" s="8">
        <v>420</v>
      </c>
      <c r="AA10" s="8">
        <v>426</v>
      </c>
      <c r="AB10" s="8">
        <v>379</v>
      </c>
      <c r="AC10" s="8">
        <v>283</v>
      </c>
      <c r="AD10" s="8">
        <v>325</v>
      </c>
      <c r="AE10" s="8">
        <v>246</v>
      </c>
      <c r="AF10" s="9">
        <v>332</v>
      </c>
      <c r="AG10" s="8">
        <v>261</v>
      </c>
    </row>
    <row r="11" spans="1:33" ht="15.75" x14ac:dyDescent="0.25">
      <c r="A11" s="7" t="s">
        <v>267</v>
      </c>
      <c r="B11" s="8">
        <v>382</v>
      </c>
      <c r="C11" s="8">
        <v>321</v>
      </c>
      <c r="D11" s="8">
        <v>354</v>
      </c>
      <c r="E11" s="8">
        <v>411</v>
      </c>
      <c r="F11" s="8">
        <v>490</v>
      </c>
      <c r="G11" s="8">
        <v>487</v>
      </c>
      <c r="H11" s="8">
        <v>468</v>
      </c>
      <c r="I11" s="8">
        <v>399</v>
      </c>
      <c r="J11" s="8">
        <v>393</v>
      </c>
      <c r="K11" s="8">
        <v>449</v>
      </c>
      <c r="L11" s="8">
        <v>461</v>
      </c>
      <c r="M11" s="8">
        <v>403</v>
      </c>
      <c r="N11" s="8">
        <v>357</v>
      </c>
      <c r="O11" s="8">
        <v>398</v>
      </c>
      <c r="P11" s="8">
        <v>330</v>
      </c>
      <c r="Q11" s="8">
        <v>340</v>
      </c>
      <c r="R11" s="8">
        <v>321</v>
      </c>
      <c r="S11" s="8">
        <v>358</v>
      </c>
      <c r="T11" s="8">
        <v>366</v>
      </c>
      <c r="U11" s="8">
        <v>296</v>
      </c>
      <c r="V11" s="8">
        <v>238</v>
      </c>
      <c r="W11" s="8">
        <v>204</v>
      </c>
      <c r="X11" s="8">
        <v>225</v>
      </c>
      <c r="Y11" s="8">
        <v>190</v>
      </c>
      <c r="Z11" s="8">
        <v>177</v>
      </c>
      <c r="AA11" s="8">
        <v>233</v>
      </c>
      <c r="AB11" s="8">
        <v>205</v>
      </c>
      <c r="AC11" s="8">
        <v>111</v>
      </c>
      <c r="AD11" s="8">
        <v>142</v>
      </c>
      <c r="AE11" s="8">
        <v>118</v>
      </c>
      <c r="AF11" s="9">
        <v>147</v>
      </c>
      <c r="AG11" s="8">
        <v>119</v>
      </c>
    </row>
    <row r="12" spans="1:33" ht="15.75" x14ac:dyDescent="0.25">
      <c r="A12" s="7" t="s">
        <v>268</v>
      </c>
      <c r="B12" s="8">
        <v>372</v>
      </c>
      <c r="C12" s="8">
        <v>513</v>
      </c>
      <c r="D12" s="8">
        <v>475</v>
      </c>
      <c r="E12" s="8">
        <v>519</v>
      </c>
      <c r="F12" s="8">
        <v>736</v>
      </c>
      <c r="G12" s="8">
        <v>750</v>
      </c>
      <c r="H12" s="8">
        <v>718</v>
      </c>
      <c r="I12" s="8">
        <v>681</v>
      </c>
      <c r="J12" s="8">
        <v>444</v>
      </c>
      <c r="K12" s="8">
        <v>373</v>
      </c>
      <c r="L12" s="8">
        <v>382</v>
      </c>
      <c r="M12" s="8">
        <v>367</v>
      </c>
      <c r="N12" s="8">
        <v>354</v>
      </c>
      <c r="O12" s="8">
        <v>384</v>
      </c>
      <c r="P12" s="8">
        <v>331</v>
      </c>
      <c r="Q12" s="8">
        <v>346</v>
      </c>
      <c r="R12" s="8">
        <v>301</v>
      </c>
      <c r="S12" s="8">
        <v>369</v>
      </c>
      <c r="T12" s="8">
        <v>271</v>
      </c>
      <c r="U12" s="8">
        <v>306</v>
      </c>
      <c r="V12" s="8">
        <v>215</v>
      </c>
      <c r="W12" s="8">
        <v>227</v>
      </c>
      <c r="X12" s="8">
        <v>200</v>
      </c>
      <c r="Y12" s="8">
        <v>188</v>
      </c>
      <c r="Z12" s="8">
        <v>252</v>
      </c>
      <c r="AA12" s="8">
        <v>199</v>
      </c>
      <c r="AB12" s="8">
        <v>184</v>
      </c>
      <c r="AC12" s="8">
        <v>174</v>
      </c>
      <c r="AD12" s="8">
        <v>187</v>
      </c>
      <c r="AE12" s="8">
        <v>143</v>
      </c>
      <c r="AF12" s="9">
        <v>185</v>
      </c>
      <c r="AG12" s="8">
        <v>158</v>
      </c>
    </row>
    <row r="13" spans="1:33" ht="15.75" x14ac:dyDescent="0.25">
      <c r="A13" s="7" t="s">
        <v>269</v>
      </c>
      <c r="B13" s="8">
        <v>439</v>
      </c>
      <c r="C13" s="8">
        <v>513</v>
      </c>
      <c r="D13" s="8">
        <v>433</v>
      </c>
      <c r="E13" s="8">
        <v>515</v>
      </c>
      <c r="F13" s="8">
        <v>752</v>
      </c>
      <c r="G13" s="8">
        <v>870</v>
      </c>
      <c r="H13" s="8">
        <v>745</v>
      </c>
      <c r="I13" s="8">
        <v>712</v>
      </c>
      <c r="J13" s="8">
        <v>630</v>
      </c>
      <c r="K13" s="8">
        <v>640</v>
      </c>
      <c r="L13" s="8">
        <v>649</v>
      </c>
      <c r="M13" s="8">
        <v>546</v>
      </c>
      <c r="N13" s="8">
        <v>532</v>
      </c>
      <c r="O13" s="8">
        <v>611</v>
      </c>
      <c r="P13" s="8">
        <v>592</v>
      </c>
      <c r="Q13" s="8">
        <v>557</v>
      </c>
      <c r="R13" s="8">
        <v>516</v>
      </c>
      <c r="S13" s="8">
        <v>533</v>
      </c>
      <c r="T13" s="8">
        <v>534</v>
      </c>
      <c r="U13" s="8">
        <v>443</v>
      </c>
      <c r="V13" s="8">
        <v>426</v>
      </c>
      <c r="W13" s="8">
        <v>415</v>
      </c>
      <c r="X13" s="8">
        <v>431</v>
      </c>
      <c r="Y13" s="8">
        <v>430</v>
      </c>
      <c r="Z13" s="8">
        <v>424</v>
      </c>
      <c r="AA13" s="8">
        <v>422</v>
      </c>
      <c r="AB13" s="8">
        <v>415</v>
      </c>
      <c r="AC13" s="8">
        <v>357</v>
      </c>
      <c r="AD13" s="8">
        <v>370</v>
      </c>
      <c r="AE13" s="8">
        <v>429</v>
      </c>
      <c r="AF13" s="9">
        <v>368</v>
      </c>
      <c r="AG13" s="8">
        <v>430</v>
      </c>
    </row>
    <row r="14" spans="1:33" ht="30" customHeight="1" x14ac:dyDescent="0.25">
      <c r="A14" s="4" t="s">
        <v>270</v>
      </c>
      <c r="B14" s="5">
        <v>108</v>
      </c>
      <c r="C14" s="5">
        <v>116</v>
      </c>
      <c r="D14" s="5">
        <v>134</v>
      </c>
      <c r="E14" s="5">
        <v>161</v>
      </c>
      <c r="F14" s="5">
        <v>205</v>
      </c>
      <c r="G14" s="5">
        <v>267</v>
      </c>
      <c r="H14" s="5">
        <v>293</v>
      </c>
      <c r="I14" s="5">
        <v>233</v>
      </c>
      <c r="J14" s="5">
        <v>228</v>
      </c>
      <c r="K14" s="5">
        <v>252</v>
      </c>
      <c r="L14" s="5">
        <v>239</v>
      </c>
      <c r="M14" s="5">
        <v>215</v>
      </c>
      <c r="N14" s="5">
        <v>235</v>
      </c>
      <c r="O14" s="5">
        <v>233</v>
      </c>
      <c r="P14" s="5">
        <v>224</v>
      </c>
      <c r="Q14" s="5">
        <v>230</v>
      </c>
      <c r="R14" s="5">
        <v>243</v>
      </c>
      <c r="S14" s="5">
        <v>197</v>
      </c>
      <c r="T14" s="5">
        <v>210</v>
      </c>
      <c r="U14" s="5">
        <v>158</v>
      </c>
      <c r="V14" s="5">
        <v>140</v>
      </c>
      <c r="W14" s="5">
        <v>85</v>
      </c>
      <c r="X14" s="5">
        <v>126</v>
      </c>
      <c r="Y14" s="5">
        <v>106</v>
      </c>
      <c r="Z14" s="5">
        <v>133</v>
      </c>
      <c r="AA14" s="5">
        <v>168</v>
      </c>
      <c r="AB14" s="5">
        <v>119</v>
      </c>
      <c r="AC14" s="5">
        <v>68</v>
      </c>
      <c r="AD14" s="5">
        <v>87</v>
      </c>
      <c r="AE14" s="5">
        <v>81</v>
      </c>
      <c r="AF14" s="6">
        <v>111</v>
      </c>
      <c r="AG14" s="5">
        <v>62</v>
      </c>
    </row>
    <row r="15" spans="1:33" ht="30" customHeight="1" x14ac:dyDescent="0.25">
      <c r="A15" s="4" t="s">
        <v>271</v>
      </c>
      <c r="B15" s="5">
        <v>7553</v>
      </c>
      <c r="C15" s="5">
        <v>8613</v>
      </c>
      <c r="D15" s="5">
        <v>10078</v>
      </c>
      <c r="E15" s="5">
        <v>11345</v>
      </c>
      <c r="F15" s="5">
        <v>12931</v>
      </c>
      <c r="G15" s="5">
        <v>12779</v>
      </c>
      <c r="H15" s="5">
        <v>11167</v>
      </c>
      <c r="I15" s="5">
        <v>9691</v>
      </c>
      <c r="J15" s="5">
        <v>8385</v>
      </c>
      <c r="K15" s="5">
        <v>8105</v>
      </c>
      <c r="L15" s="5">
        <v>7670</v>
      </c>
      <c r="M15" s="5">
        <v>6924</v>
      </c>
      <c r="N15" s="5">
        <v>6601</v>
      </c>
      <c r="O15" s="5">
        <v>6971</v>
      </c>
      <c r="P15" s="5">
        <v>6239</v>
      </c>
      <c r="Q15" s="5">
        <v>6777</v>
      </c>
      <c r="R15" s="5">
        <v>6260</v>
      </c>
      <c r="S15" s="5">
        <v>6456</v>
      </c>
      <c r="T15" s="5">
        <v>6660</v>
      </c>
      <c r="U15" s="5">
        <v>5927</v>
      </c>
      <c r="V15" s="5">
        <v>5561</v>
      </c>
      <c r="W15" s="5">
        <v>5220</v>
      </c>
      <c r="X15" s="5">
        <v>4863</v>
      </c>
      <c r="Y15" s="5">
        <v>4400</v>
      </c>
      <c r="Z15" s="5">
        <v>4746</v>
      </c>
      <c r="AA15" s="5">
        <v>4946</v>
      </c>
      <c r="AB15" s="5">
        <v>4425</v>
      </c>
      <c r="AC15" s="5">
        <v>3573</v>
      </c>
      <c r="AD15" s="5">
        <v>3517</v>
      </c>
      <c r="AE15" s="5">
        <v>3554</v>
      </c>
      <c r="AF15" s="6">
        <v>3568</v>
      </c>
      <c r="AG15" s="5">
        <v>3574</v>
      </c>
    </row>
    <row r="16" spans="1:33" ht="30" customHeight="1" x14ac:dyDescent="0.25">
      <c r="A16" s="4" t="s">
        <v>272</v>
      </c>
      <c r="B16" s="5">
        <v>393</v>
      </c>
      <c r="C16" s="5">
        <v>471</v>
      </c>
      <c r="D16" s="5">
        <v>293</v>
      </c>
      <c r="E16" s="5">
        <v>405</v>
      </c>
      <c r="F16" s="5">
        <v>555</v>
      </c>
      <c r="G16" s="5">
        <v>652</v>
      </c>
      <c r="H16" s="5">
        <v>549</v>
      </c>
      <c r="I16" s="5">
        <v>569</v>
      </c>
      <c r="J16" s="5">
        <v>533</v>
      </c>
      <c r="K16" s="5">
        <v>600</v>
      </c>
      <c r="L16" s="5">
        <v>559</v>
      </c>
      <c r="M16" s="5">
        <v>520</v>
      </c>
      <c r="N16" s="5">
        <v>510</v>
      </c>
      <c r="O16" s="5">
        <v>505</v>
      </c>
      <c r="P16" s="5">
        <v>525</v>
      </c>
      <c r="Q16" s="5">
        <v>630</v>
      </c>
      <c r="R16" s="5">
        <v>485</v>
      </c>
      <c r="S16" s="5">
        <v>492</v>
      </c>
      <c r="T16" s="5">
        <v>564</v>
      </c>
      <c r="U16" s="5">
        <v>503</v>
      </c>
      <c r="V16" s="5">
        <v>520</v>
      </c>
      <c r="W16" s="5">
        <v>407</v>
      </c>
      <c r="X16" s="5">
        <v>338</v>
      </c>
      <c r="Y16" s="5">
        <v>349</v>
      </c>
      <c r="Z16" s="5">
        <v>394</v>
      </c>
      <c r="AA16" s="5">
        <v>406</v>
      </c>
      <c r="AB16" s="5">
        <v>356</v>
      </c>
      <c r="AC16" s="5">
        <v>233</v>
      </c>
      <c r="AD16" s="5">
        <v>318</v>
      </c>
      <c r="AE16" s="5">
        <v>410</v>
      </c>
      <c r="AF16" s="6">
        <v>336</v>
      </c>
      <c r="AG16" s="5">
        <v>406</v>
      </c>
    </row>
    <row r="17" spans="1:33" ht="15.75" x14ac:dyDescent="0.25">
      <c r="A17" s="7" t="s">
        <v>273</v>
      </c>
      <c r="B17" s="8">
        <v>54</v>
      </c>
      <c r="C17" s="8">
        <v>63</v>
      </c>
      <c r="D17" s="8">
        <v>44</v>
      </c>
      <c r="E17" s="8">
        <v>68</v>
      </c>
      <c r="F17" s="8">
        <v>73</v>
      </c>
      <c r="G17" s="8">
        <v>71</v>
      </c>
      <c r="H17" s="8">
        <v>78</v>
      </c>
      <c r="I17" s="8">
        <v>56</v>
      </c>
      <c r="J17" s="8">
        <v>65</v>
      </c>
      <c r="K17" s="8">
        <v>84</v>
      </c>
      <c r="L17" s="8">
        <v>106</v>
      </c>
      <c r="M17" s="8">
        <v>89</v>
      </c>
      <c r="N17" s="8">
        <v>66</v>
      </c>
      <c r="O17" s="8">
        <v>64</v>
      </c>
      <c r="P17" s="8">
        <v>76</v>
      </c>
      <c r="Q17" s="8">
        <v>88</v>
      </c>
      <c r="R17" s="8">
        <v>60</v>
      </c>
      <c r="S17" s="8">
        <v>67</v>
      </c>
      <c r="T17" s="8">
        <v>76</v>
      </c>
      <c r="U17" s="8">
        <v>60</v>
      </c>
      <c r="V17" s="8">
        <v>55</v>
      </c>
      <c r="W17" s="8">
        <v>52</v>
      </c>
      <c r="X17" s="8">
        <v>36</v>
      </c>
      <c r="Y17" s="8">
        <v>36</v>
      </c>
      <c r="Z17" s="8">
        <v>56</v>
      </c>
      <c r="AA17" s="8">
        <v>57</v>
      </c>
      <c r="AB17" s="8">
        <v>33</v>
      </c>
      <c r="AC17" s="8">
        <v>31</v>
      </c>
      <c r="AD17" s="8">
        <v>70</v>
      </c>
      <c r="AE17" s="8">
        <v>90</v>
      </c>
      <c r="AF17" s="9">
        <v>70</v>
      </c>
      <c r="AG17" s="8">
        <v>92</v>
      </c>
    </row>
    <row r="18" spans="1:33" ht="15.75" x14ac:dyDescent="0.25">
      <c r="A18" s="7" t="s">
        <v>274</v>
      </c>
      <c r="B18" s="8">
        <v>251</v>
      </c>
      <c r="C18" s="8">
        <v>303</v>
      </c>
      <c r="D18" s="8">
        <v>161</v>
      </c>
      <c r="E18" s="8">
        <v>250</v>
      </c>
      <c r="F18" s="8">
        <v>335</v>
      </c>
      <c r="G18" s="8">
        <v>351</v>
      </c>
      <c r="H18" s="8">
        <v>314</v>
      </c>
      <c r="I18" s="8">
        <v>313</v>
      </c>
      <c r="J18" s="8">
        <v>317</v>
      </c>
      <c r="K18" s="8">
        <v>347</v>
      </c>
      <c r="L18" s="8">
        <v>326</v>
      </c>
      <c r="M18" s="8">
        <v>270</v>
      </c>
      <c r="N18" s="8">
        <v>298</v>
      </c>
      <c r="O18" s="8">
        <v>308</v>
      </c>
      <c r="P18" s="8">
        <v>312</v>
      </c>
      <c r="Q18" s="8">
        <v>394</v>
      </c>
      <c r="R18" s="8">
        <v>287</v>
      </c>
      <c r="S18" s="8">
        <v>283</v>
      </c>
      <c r="T18" s="8">
        <v>307</v>
      </c>
      <c r="U18" s="8">
        <v>303</v>
      </c>
      <c r="V18" s="8">
        <v>289</v>
      </c>
      <c r="W18" s="8">
        <v>198</v>
      </c>
      <c r="X18" s="8">
        <v>192</v>
      </c>
      <c r="Y18" s="8">
        <v>185</v>
      </c>
      <c r="Z18" s="8">
        <v>169</v>
      </c>
      <c r="AA18" s="8">
        <v>192</v>
      </c>
      <c r="AB18" s="8">
        <v>191</v>
      </c>
      <c r="AC18" s="8">
        <v>109</v>
      </c>
      <c r="AD18" s="8">
        <v>125</v>
      </c>
      <c r="AE18" s="8">
        <v>153</v>
      </c>
      <c r="AF18" s="9">
        <v>131</v>
      </c>
      <c r="AG18" s="8">
        <v>151</v>
      </c>
    </row>
    <row r="19" spans="1:33" ht="15.75" x14ac:dyDescent="0.25">
      <c r="A19" s="7" t="s">
        <v>275</v>
      </c>
      <c r="B19" s="8">
        <v>90</v>
      </c>
      <c r="C19" s="8">
        <v>108</v>
      </c>
      <c r="D19" s="8">
        <v>92</v>
      </c>
      <c r="E19" s="8">
        <v>94</v>
      </c>
      <c r="F19" s="8">
        <v>166</v>
      </c>
      <c r="G19" s="8">
        <v>234</v>
      </c>
      <c r="H19" s="8">
        <v>160</v>
      </c>
      <c r="I19" s="8">
        <v>204</v>
      </c>
      <c r="J19" s="8">
        <v>158</v>
      </c>
      <c r="K19" s="8">
        <v>181</v>
      </c>
      <c r="L19" s="8">
        <v>147</v>
      </c>
      <c r="M19" s="8">
        <v>170</v>
      </c>
      <c r="N19" s="8">
        <v>158</v>
      </c>
      <c r="O19" s="8">
        <v>142</v>
      </c>
      <c r="P19" s="8">
        <v>144</v>
      </c>
      <c r="Q19" s="8">
        <v>156</v>
      </c>
      <c r="R19" s="8">
        <v>144</v>
      </c>
      <c r="S19" s="8">
        <v>152</v>
      </c>
      <c r="T19" s="8">
        <v>192</v>
      </c>
      <c r="U19" s="8">
        <v>143</v>
      </c>
      <c r="V19" s="8">
        <v>180</v>
      </c>
      <c r="W19" s="8">
        <v>164</v>
      </c>
      <c r="X19" s="8">
        <v>112</v>
      </c>
      <c r="Y19" s="8">
        <v>128</v>
      </c>
      <c r="Z19" s="8">
        <v>171</v>
      </c>
      <c r="AA19" s="8">
        <v>165</v>
      </c>
      <c r="AB19" s="8">
        <v>133</v>
      </c>
      <c r="AC19" s="8">
        <v>101</v>
      </c>
      <c r="AD19" s="8">
        <v>132</v>
      </c>
      <c r="AE19" s="8">
        <v>173</v>
      </c>
      <c r="AF19" s="9">
        <v>145</v>
      </c>
      <c r="AG19" s="8">
        <v>167</v>
      </c>
    </row>
    <row r="20" spans="1:33" ht="30" customHeight="1" x14ac:dyDescent="0.25">
      <c r="A20" s="4" t="s">
        <v>276</v>
      </c>
      <c r="B20" s="5">
        <v>1266</v>
      </c>
      <c r="C20" s="5">
        <v>1330</v>
      </c>
      <c r="D20" s="5">
        <v>1379</v>
      </c>
      <c r="E20" s="5">
        <v>1332</v>
      </c>
      <c r="F20" s="5">
        <v>1514</v>
      </c>
      <c r="G20" s="5">
        <v>1670</v>
      </c>
      <c r="H20" s="5">
        <v>1585</v>
      </c>
      <c r="I20" s="5">
        <v>1289</v>
      </c>
      <c r="J20" s="5">
        <v>1150</v>
      </c>
      <c r="K20" s="5">
        <v>1126</v>
      </c>
      <c r="L20" s="5">
        <v>1080</v>
      </c>
      <c r="M20" s="5">
        <v>947</v>
      </c>
      <c r="N20" s="5">
        <v>1005</v>
      </c>
      <c r="O20" s="5">
        <v>963</v>
      </c>
      <c r="P20" s="5">
        <v>835</v>
      </c>
      <c r="Q20" s="5">
        <v>918</v>
      </c>
      <c r="R20" s="5">
        <v>870</v>
      </c>
      <c r="S20" s="5">
        <v>847</v>
      </c>
      <c r="T20" s="5">
        <v>913</v>
      </c>
      <c r="U20" s="5">
        <v>847</v>
      </c>
      <c r="V20" s="5">
        <v>838</v>
      </c>
      <c r="W20" s="5">
        <v>632</v>
      </c>
      <c r="X20" s="5">
        <v>679</v>
      </c>
      <c r="Y20" s="5">
        <v>575</v>
      </c>
      <c r="Z20" s="5">
        <v>581</v>
      </c>
      <c r="AA20" s="5">
        <v>672</v>
      </c>
      <c r="AB20" s="5">
        <v>563</v>
      </c>
      <c r="AC20" s="5">
        <v>364</v>
      </c>
      <c r="AD20" s="5">
        <v>368</v>
      </c>
      <c r="AE20" s="5">
        <v>376</v>
      </c>
      <c r="AF20" s="6">
        <v>381</v>
      </c>
      <c r="AG20" s="5">
        <v>369</v>
      </c>
    </row>
    <row r="21" spans="1:33" ht="30" customHeight="1" x14ac:dyDescent="0.25">
      <c r="A21" s="10" t="s">
        <v>146</v>
      </c>
      <c r="B21" s="11">
        <v>9898</v>
      </c>
      <c r="C21" s="11">
        <v>11017</v>
      </c>
      <c r="D21" s="11">
        <v>10391</v>
      </c>
      <c r="E21" s="11">
        <v>10059</v>
      </c>
      <c r="F21" s="11">
        <v>14510</v>
      </c>
      <c r="G21" s="11">
        <v>16337</v>
      </c>
      <c r="H21" s="11">
        <v>14937</v>
      </c>
      <c r="I21" s="11">
        <v>19398</v>
      </c>
      <c r="J21" s="11">
        <v>32787</v>
      </c>
      <c r="K21" s="11">
        <v>36450</v>
      </c>
      <c r="L21" s="11">
        <v>37891</v>
      </c>
      <c r="M21" s="11">
        <v>45118</v>
      </c>
      <c r="N21" s="11">
        <v>47796</v>
      </c>
      <c r="O21" s="11">
        <v>47138</v>
      </c>
      <c r="P21" s="11">
        <v>46911</v>
      </c>
      <c r="Q21" s="11">
        <v>46220</v>
      </c>
      <c r="R21" s="11">
        <v>44559</v>
      </c>
      <c r="S21" s="11">
        <v>46754</v>
      </c>
      <c r="T21" s="11">
        <v>46031</v>
      </c>
      <c r="U21" s="11">
        <v>34880</v>
      </c>
      <c r="V21" s="11">
        <v>35371</v>
      </c>
      <c r="W21" s="11">
        <v>33350</v>
      </c>
      <c r="X21" s="11">
        <v>35324</v>
      </c>
      <c r="Y21" s="11">
        <v>35420</v>
      </c>
      <c r="Z21" s="11">
        <v>34715</v>
      </c>
      <c r="AA21" s="11">
        <v>34163</v>
      </c>
      <c r="AB21" s="11">
        <v>33734</v>
      </c>
      <c r="AC21" s="11">
        <v>31183</v>
      </c>
      <c r="AD21" s="11">
        <v>30847</v>
      </c>
      <c r="AE21" s="11">
        <v>31532</v>
      </c>
      <c r="AF21" s="12">
        <v>31799</v>
      </c>
      <c r="AG21" s="11">
        <v>31791</v>
      </c>
    </row>
    <row r="22" spans="1:33" ht="30" customHeight="1" x14ac:dyDescent="0.25">
      <c r="A22" s="4" t="s">
        <v>277</v>
      </c>
      <c r="B22" s="5">
        <v>779</v>
      </c>
      <c r="C22" s="5">
        <v>900</v>
      </c>
      <c r="D22" s="5">
        <v>1129</v>
      </c>
      <c r="E22" s="5">
        <v>1330</v>
      </c>
      <c r="F22" s="5">
        <v>1804</v>
      </c>
      <c r="G22" s="5">
        <v>1773</v>
      </c>
      <c r="H22" s="5">
        <v>1561</v>
      </c>
      <c r="I22" s="5">
        <v>1353</v>
      </c>
      <c r="J22" s="5">
        <v>1099</v>
      </c>
      <c r="K22" s="5">
        <v>1048</v>
      </c>
      <c r="L22" s="5">
        <v>996</v>
      </c>
      <c r="M22" s="5">
        <v>850</v>
      </c>
      <c r="N22" s="5">
        <v>781</v>
      </c>
      <c r="O22" s="5">
        <v>818</v>
      </c>
      <c r="P22" s="5">
        <v>745</v>
      </c>
      <c r="Q22" s="5">
        <v>779</v>
      </c>
      <c r="R22" s="5">
        <v>729</v>
      </c>
      <c r="S22" s="5">
        <v>814</v>
      </c>
      <c r="T22" s="5">
        <v>748</v>
      </c>
      <c r="U22" s="5">
        <v>693</v>
      </c>
      <c r="V22" s="5">
        <v>630</v>
      </c>
      <c r="W22" s="5">
        <v>640</v>
      </c>
      <c r="X22" s="5">
        <v>551</v>
      </c>
      <c r="Y22" s="5">
        <v>517</v>
      </c>
      <c r="Z22" s="5">
        <v>573</v>
      </c>
      <c r="AA22" s="5">
        <v>578</v>
      </c>
      <c r="AB22" s="5">
        <v>490</v>
      </c>
      <c r="AC22" s="5">
        <v>333</v>
      </c>
      <c r="AD22" s="5">
        <v>328</v>
      </c>
      <c r="AE22" s="5">
        <v>308</v>
      </c>
      <c r="AF22" s="815">
        <v>333</v>
      </c>
      <c r="AG22" s="5">
        <v>289</v>
      </c>
    </row>
    <row r="23" spans="1:33" ht="15.75" x14ac:dyDescent="0.25">
      <c r="A23" s="57" t="s">
        <v>148</v>
      </c>
      <c r="B23" s="8">
        <v>554</v>
      </c>
      <c r="C23" s="8">
        <v>598</v>
      </c>
      <c r="D23" s="8">
        <v>708</v>
      </c>
      <c r="E23" s="8">
        <v>942</v>
      </c>
      <c r="F23" s="8">
        <v>1256</v>
      </c>
      <c r="G23" s="8">
        <v>1195</v>
      </c>
      <c r="H23" s="8">
        <v>991</v>
      </c>
      <c r="I23" s="8">
        <v>905</v>
      </c>
      <c r="J23" s="8">
        <v>732</v>
      </c>
      <c r="K23" s="8">
        <v>715</v>
      </c>
      <c r="L23" s="8">
        <v>654</v>
      </c>
      <c r="M23" s="8">
        <v>590</v>
      </c>
      <c r="N23" s="8">
        <v>529</v>
      </c>
      <c r="O23" s="8">
        <v>545</v>
      </c>
      <c r="P23" s="8">
        <v>489</v>
      </c>
      <c r="Q23" s="8">
        <v>523</v>
      </c>
      <c r="R23" s="8">
        <v>498</v>
      </c>
      <c r="S23" s="8">
        <v>537</v>
      </c>
      <c r="T23" s="8">
        <v>505</v>
      </c>
      <c r="U23" s="8">
        <v>443</v>
      </c>
      <c r="V23" s="8">
        <v>410</v>
      </c>
      <c r="W23" s="8">
        <v>406</v>
      </c>
      <c r="X23" s="8">
        <v>363</v>
      </c>
      <c r="Y23" s="8">
        <v>340</v>
      </c>
      <c r="Z23" s="8">
        <v>373</v>
      </c>
      <c r="AA23" s="8">
        <v>375</v>
      </c>
      <c r="AB23" s="8">
        <v>302</v>
      </c>
      <c r="AC23" s="8">
        <v>180</v>
      </c>
      <c r="AD23" s="8">
        <v>180</v>
      </c>
      <c r="AE23" s="8">
        <v>171</v>
      </c>
      <c r="AF23" s="9">
        <v>178</v>
      </c>
      <c r="AG23" s="8">
        <v>168</v>
      </c>
    </row>
    <row r="24" spans="1:33" ht="15.75" x14ac:dyDescent="0.25">
      <c r="A24" s="58" t="s">
        <v>278</v>
      </c>
      <c r="B24" s="8">
        <v>478</v>
      </c>
      <c r="C24" s="8">
        <v>509</v>
      </c>
      <c r="D24" s="8">
        <v>590</v>
      </c>
      <c r="E24" s="8">
        <v>816</v>
      </c>
      <c r="F24" s="8">
        <v>1073</v>
      </c>
      <c r="G24" s="8">
        <v>967</v>
      </c>
      <c r="H24" s="8">
        <v>842</v>
      </c>
      <c r="I24" s="8">
        <v>729</v>
      </c>
      <c r="J24" s="8">
        <v>554</v>
      </c>
      <c r="K24" s="8">
        <v>560</v>
      </c>
      <c r="L24" s="8">
        <v>536</v>
      </c>
      <c r="M24" s="8">
        <v>448</v>
      </c>
      <c r="N24" s="8">
        <v>411</v>
      </c>
      <c r="O24" s="8">
        <v>430</v>
      </c>
      <c r="P24" s="8">
        <v>379</v>
      </c>
      <c r="Q24" s="8">
        <v>407</v>
      </c>
      <c r="R24" s="8">
        <v>378</v>
      </c>
      <c r="S24" s="8">
        <v>389</v>
      </c>
      <c r="T24" s="8">
        <v>378</v>
      </c>
      <c r="U24" s="8">
        <v>337</v>
      </c>
      <c r="V24" s="8">
        <v>295</v>
      </c>
      <c r="W24" s="8">
        <v>298</v>
      </c>
      <c r="X24" s="8">
        <v>265</v>
      </c>
      <c r="Y24" s="8">
        <v>224</v>
      </c>
      <c r="Z24" s="8">
        <v>271</v>
      </c>
      <c r="AA24" s="8">
        <v>266</v>
      </c>
      <c r="AB24" s="8">
        <v>216</v>
      </c>
      <c r="AC24" s="8">
        <v>121</v>
      </c>
      <c r="AD24" s="8">
        <v>114</v>
      </c>
      <c r="AE24" s="8">
        <v>103</v>
      </c>
      <c r="AF24" s="9">
        <v>110</v>
      </c>
      <c r="AG24" s="8">
        <v>105</v>
      </c>
    </row>
    <row r="25" spans="1:33" ht="15.75" x14ac:dyDescent="0.25">
      <c r="A25" s="58" t="s">
        <v>279</v>
      </c>
      <c r="B25" s="8">
        <v>91</v>
      </c>
      <c r="C25" s="8">
        <v>92</v>
      </c>
      <c r="D25" s="8">
        <v>128</v>
      </c>
      <c r="E25" s="8">
        <v>138</v>
      </c>
      <c r="F25" s="8">
        <v>212</v>
      </c>
      <c r="G25" s="8">
        <v>253</v>
      </c>
      <c r="H25" s="8">
        <v>181</v>
      </c>
      <c r="I25" s="8">
        <v>186</v>
      </c>
      <c r="J25" s="8">
        <v>188</v>
      </c>
      <c r="K25" s="8">
        <v>168</v>
      </c>
      <c r="L25" s="8">
        <v>136</v>
      </c>
      <c r="M25" s="8">
        <v>153</v>
      </c>
      <c r="N25" s="8">
        <v>131</v>
      </c>
      <c r="O25" s="8">
        <v>124</v>
      </c>
      <c r="P25" s="8">
        <v>120</v>
      </c>
      <c r="Q25" s="8">
        <v>123</v>
      </c>
      <c r="R25" s="8">
        <v>129</v>
      </c>
      <c r="S25" s="8">
        <v>158</v>
      </c>
      <c r="T25" s="8">
        <v>132</v>
      </c>
      <c r="U25" s="8">
        <v>114</v>
      </c>
      <c r="V25" s="8">
        <v>120</v>
      </c>
      <c r="W25" s="8">
        <v>113</v>
      </c>
      <c r="X25" s="8">
        <v>103</v>
      </c>
      <c r="Y25" s="8">
        <v>121</v>
      </c>
      <c r="Z25" s="8">
        <v>108</v>
      </c>
      <c r="AA25" s="8">
        <v>114</v>
      </c>
      <c r="AB25" s="8">
        <v>89</v>
      </c>
      <c r="AC25" s="8">
        <v>58</v>
      </c>
      <c r="AD25" s="8">
        <v>69</v>
      </c>
      <c r="AE25" s="8">
        <v>70</v>
      </c>
      <c r="AF25" s="9">
        <v>69</v>
      </c>
      <c r="AG25" s="8">
        <v>65</v>
      </c>
    </row>
    <row r="26" spans="1:33" ht="15.75" x14ac:dyDescent="0.25">
      <c r="A26" s="57" t="s">
        <v>151</v>
      </c>
      <c r="B26" s="8">
        <v>263</v>
      </c>
      <c r="C26" s="8">
        <v>340</v>
      </c>
      <c r="D26" s="8">
        <v>456</v>
      </c>
      <c r="E26" s="8">
        <v>466</v>
      </c>
      <c r="F26" s="8">
        <v>656</v>
      </c>
      <c r="G26" s="8">
        <v>670</v>
      </c>
      <c r="H26" s="8">
        <v>643</v>
      </c>
      <c r="I26" s="8">
        <v>510</v>
      </c>
      <c r="J26" s="8">
        <v>392</v>
      </c>
      <c r="K26" s="8">
        <v>369</v>
      </c>
      <c r="L26" s="8">
        <v>372</v>
      </c>
      <c r="M26" s="8">
        <v>283</v>
      </c>
      <c r="N26" s="8">
        <v>273</v>
      </c>
      <c r="O26" s="8">
        <v>295</v>
      </c>
      <c r="P26" s="8">
        <v>272</v>
      </c>
      <c r="Q26" s="8">
        <v>276</v>
      </c>
      <c r="R26" s="8">
        <v>252</v>
      </c>
      <c r="S26" s="8">
        <v>303</v>
      </c>
      <c r="T26" s="8">
        <v>262</v>
      </c>
      <c r="U26" s="8">
        <v>267</v>
      </c>
      <c r="V26" s="8">
        <v>231</v>
      </c>
      <c r="W26" s="8">
        <v>246</v>
      </c>
      <c r="X26" s="8">
        <v>205</v>
      </c>
      <c r="Y26" s="8">
        <v>184</v>
      </c>
      <c r="Z26" s="8">
        <v>214</v>
      </c>
      <c r="AA26" s="8">
        <v>213</v>
      </c>
      <c r="AB26" s="8">
        <v>197</v>
      </c>
      <c r="AC26" s="8">
        <v>162</v>
      </c>
      <c r="AD26" s="8">
        <v>153</v>
      </c>
      <c r="AE26" s="8">
        <v>140</v>
      </c>
      <c r="AF26" s="9">
        <v>159</v>
      </c>
      <c r="AG26" s="8">
        <v>124</v>
      </c>
    </row>
    <row r="27" spans="1:33" ht="27.75" customHeight="1" x14ac:dyDescent="0.25">
      <c r="A27" s="57" t="s">
        <v>152</v>
      </c>
      <c r="B27" s="8">
        <v>627</v>
      </c>
      <c r="C27" s="8">
        <v>740</v>
      </c>
      <c r="D27" s="8">
        <v>955</v>
      </c>
      <c r="E27" s="8">
        <v>1061</v>
      </c>
      <c r="F27" s="8">
        <v>1325</v>
      </c>
      <c r="G27" s="8">
        <v>1300</v>
      </c>
      <c r="H27" s="8">
        <v>1161</v>
      </c>
      <c r="I27" s="8">
        <v>906</v>
      </c>
      <c r="J27" s="8">
        <v>749</v>
      </c>
      <c r="K27" s="8">
        <v>739</v>
      </c>
      <c r="L27" s="8">
        <v>717</v>
      </c>
      <c r="M27" s="8">
        <v>607</v>
      </c>
      <c r="N27" s="8">
        <v>552</v>
      </c>
      <c r="O27" s="8">
        <v>578</v>
      </c>
      <c r="P27" s="8">
        <v>548</v>
      </c>
      <c r="Q27" s="8">
        <v>568</v>
      </c>
      <c r="R27" s="8">
        <v>518</v>
      </c>
      <c r="S27" s="8">
        <v>592</v>
      </c>
      <c r="T27" s="8">
        <v>556</v>
      </c>
      <c r="U27" s="8">
        <v>499</v>
      </c>
      <c r="V27" s="8">
        <v>463</v>
      </c>
      <c r="W27" s="8">
        <v>453</v>
      </c>
      <c r="X27" s="8">
        <v>383</v>
      </c>
      <c r="Y27" s="8">
        <v>366</v>
      </c>
      <c r="Z27" s="8">
        <v>412</v>
      </c>
      <c r="AA27" s="8">
        <v>425</v>
      </c>
      <c r="AB27" s="8">
        <v>380</v>
      </c>
      <c r="AC27" s="8">
        <v>246</v>
      </c>
      <c r="AD27" s="8">
        <v>233</v>
      </c>
      <c r="AE27" s="8">
        <v>225</v>
      </c>
      <c r="AF27" s="9">
        <v>235</v>
      </c>
      <c r="AG27" s="8">
        <v>206</v>
      </c>
    </row>
    <row r="28" spans="1:33" ht="15.75" x14ac:dyDescent="0.25">
      <c r="A28" s="58" t="s">
        <v>148</v>
      </c>
      <c r="B28" s="8">
        <v>398</v>
      </c>
      <c r="C28" s="8">
        <v>447</v>
      </c>
      <c r="D28" s="8">
        <v>544</v>
      </c>
      <c r="E28" s="8">
        <v>706</v>
      </c>
      <c r="F28" s="8">
        <v>817</v>
      </c>
      <c r="G28" s="8">
        <v>764</v>
      </c>
      <c r="H28" s="8">
        <v>652</v>
      </c>
      <c r="I28" s="8">
        <v>531</v>
      </c>
      <c r="J28" s="8">
        <v>439</v>
      </c>
      <c r="K28" s="8">
        <v>445</v>
      </c>
      <c r="L28" s="8">
        <v>426</v>
      </c>
      <c r="M28" s="8">
        <v>383</v>
      </c>
      <c r="N28" s="8">
        <v>337</v>
      </c>
      <c r="O28" s="8">
        <v>345</v>
      </c>
      <c r="P28" s="8">
        <v>328</v>
      </c>
      <c r="Q28" s="8">
        <v>354</v>
      </c>
      <c r="R28" s="8">
        <v>330</v>
      </c>
      <c r="S28" s="8">
        <v>360</v>
      </c>
      <c r="T28" s="8">
        <v>352</v>
      </c>
      <c r="U28" s="8">
        <v>294</v>
      </c>
      <c r="V28" s="8">
        <v>281</v>
      </c>
      <c r="W28" s="8">
        <v>265</v>
      </c>
      <c r="X28" s="8">
        <v>223</v>
      </c>
      <c r="Y28" s="8">
        <v>215</v>
      </c>
      <c r="Z28" s="8">
        <v>248</v>
      </c>
      <c r="AA28" s="8">
        <v>251</v>
      </c>
      <c r="AB28" s="8">
        <v>209</v>
      </c>
      <c r="AC28" s="8">
        <v>118</v>
      </c>
      <c r="AD28" s="8">
        <v>117</v>
      </c>
      <c r="AE28" s="8">
        <v>105</v>
      </c>
      <c r="AF28" s="9">
        <v>111</v>
      </c>
      <c r="AG28" s="8">
        <v>104</v>
      </c>
    </row>
    <row r="29" spans="1:33" ht="15.75" x14ac:dyDescent="0.25">
      <c r="A29" s="59" t="s">
        <v>278</v>
      </c>
      <c r="B29" s="8">
        <v>330</v>
      </c>
      <c r="C29" s="8">
        <v>376</v>
      </c>
      <c r="D29" s="8">
        <v>433</v>
      </c>
      <c r="E29" s="8">
        <v>596</v>
      </c>
      <c r="F29" s="8">
        <v>669</v>
      </c>
      <c r="G29" s="8">
        <v>627</v>
      </c>
      <c r="H29" s="8">
        <v>527</v>
      </c>
      <c r="I29" s="8">
        <v>403</v>
      </c>
      <c r="J29" s="8">
        <v>331</v>
      </c>
      <c r="K29" s="8">
        <v>347</v>
      </c>
      <c r="L29" s="8">
        <v>347</v>
      </c>
      <c r="M29" s="8">
        <v>278</v>
      </c>
      <c r="N29" s="8">
        <v>261</v>
      </c>
      <c r="O29" s="8">
        <v>269</v>
      </c>
      <c r="P29" s="8">
        <v>250</v>
      </c>
      <c r="Q29" s="8">
        <v>271</v>
      </c>
      <c r="R29" s="8">
        <v>241</v>
      </c>
      <c r="S29" s="8">
        <v>251</v>
      </c>
      <c r="T29" s="8">
        <v>253</v>
      </c>
      <c r="U29" s="8">
        <v>215</v>
      </c>
      <c r="V29" s="8">
        <v>196</v>
      </c>
      <c r="W29" s="8">
        <v>184</v>
      </c>
      <c r="X29" s="8">
        <v>151</v>
      </c>
      <c r="Y29" s="8">
        <v>134</v>
      </c>
      <c r="Z29" s="8">
        <v>172</v>
      </c>
      <c r="AA29" s="8">
        <v>172</v>
      </c>
      <c r="AB29" s="8">
        <v>143</v>
      </c>
      <c r="AC29" s="8">
        <v>78</v>
      </c>
      <c r="AD29" s="8">
        <v>66</v>
      </c>
      <c r="AE29" s="8">
        <v>65</v>
      </c>
      <c r="AF29" s="9">
        <v>64</v>
      </c>
      <c r="AG29" s="8">
        <v>61</v>
      </c>
    </row>
    <row r="30" spans="1:33" ht="15.75" x14ac:dyDescent="0.25">
      <c r="A30" s="59" t="s">
        <v>279</v>
      </c>
      <c r="B30" s="8">
        <v>82</v>
      </c>
      <c r="C30" s="8">
        <v>72</v>
      </c>
      <c r="D30" s="8">
        <v>120</v>
      </c>
      <c r="E30" s="8">
        <v>116</v>
      </c>
      <c r="F30" s="8">
        <v>164</v>
      </c>
      <c r="G30" s="8">
        <v>152</v>
      </c>
      <c r="H30" s="8">
        <v>141</v>
      </c>
      <c r="I30" s="8">
        <v>135</v>
      </c>
      <c r="J30" s="8">
        <v>113</v>
      </c>
      <c r="K30" s="8">
        <v>106</v>
      </c>
      <c r="L30" s="8">
        <v>91</v>
      </c>
      <c r="M30" s="8">
        <v>111</v>
      </c>
      <c r="N30" s="8">
        <v>87</v>
      </c>
      <c r="O30" s="8">
        <v>83</v>
      </c>
      <c r="P30" s="8">
        <v>84</v>
      </c>
      <c r="Q30" s="8">
        <v>88</v>
      </c>
      <c r="R30" s="8">
        <v>94</v>
      </c>
      <c r="S30" s="8">
        <v>115</v>
      </c>
      <c r="T30" s="8">
        <v>101</v>
      </c>
      <c r="U30" s="8">
        <v>85</v>
      </c>
      <c r="V30" s="8">
        <v>88</v>
      </c>
      <c r="W30" s="8">
        <v>86</v>
      </c>
      <c r="X30" s="8">
        <v>75</v>
      </c>
      <c r="Y30" s="8">
        <v>84</v>
      </c>
      <c r="Z30" s="8">
        <v>81</v>
      </c>
      <c r="AA30" s="8">
        <v>84</v>
      </c>
      <c r="AB30" s="8">
        <v>68</v>
      </c>
      <c r="AC30" s="8">
        <v>40</v>
      </c>
      <c r="AD30" s="8">
        <v>53</v>
      </c>
      <c r="AE30" s="8">
        <v>40</v>
      </c>
      <c r="AF30" s="9">
        <v>47</v>
      </c>
      <c r="AG30" s="8">
        <v>44</v>
      </c>
    </row>
    <row r="31" spans="1:33" ht="15.75" x14ac:dyDescent="0.25">
      <c r="A31" s="58" t="s">
        <v>151</v>
      </c>
      <c r="B31" s="8">
        <v>260</v>
      </c>
      <c r="C31" s="8">
        <v>321</v>
      </c>
      <c r="D31" s="8">
        <v>436</v>
      </c>
      <c r="E31" s="8">
        <v>419</v>
      </c>
      <c r="F31" s="8">
        <v>576</v>
      </c>
      <c r="G31" s="8">
        <v>593</v>
      </c>
      <c r="H31" s="8">
        <v>559</v>
      </c>
      <c r="I31" s="8">
        <v>412</v>
      </c>
      <c r="J31" s="8">
        <v>329</v>
      </c>
      <c r="K31" s="8">
        <v>320</v>
      </c>
      <c r="L31" s="8">
        <v>312</v>
      </c>
      <c r="M31" s="8">
        <v>238</v>
      </c>
      <c r="N31" s="8">
        <v>227</v>
      </c>
      <c r="O31" s="8">
        <v>249</v>
      </c>
      <c r="P31" s="8">
        <v>229</v>
      </c>
      <c r="Q31" s="8">
        <v>230</v>
      </c>
      <c r="R31" s="8">
        <v>204</v>
      </c>
      <c r="S31" s="8">
        <v>246</v>
      </c>
      <c r="T31" s="8">
        <v>216</v>
      </c>
      <c r="U31" s="8">
        <v>217</v>
      </c>
      <c r="V31" s="8">
        <v>189</v>
      </c>
      <c r="W31" s="8">
        <v>198</v>
      </c>
      <c r="X31" s="8">
        <v>173</v>
      </c>
      <c r="Y31" s="8">
        <v>155</v>
      </c>
      <c r="Z31" s="8">
        <v>174</v>
      </c>
      <c r="AA31" s="8">
        <v>181</v>
      </c>
      <c r="AB31" s="8">
        <v>177</v>
      </c>
      <c r="AC31" s="8">
        <v>133</v>
      </c>
      <c r="AD31" s="8">
        <v>119</v>
      </c>
      <c r="AE31" s="8">
        <v>121</v>
      </c>
      <c r="AF31" s="9">
        <v>125</v>
      </c>
      <c r="AG31" s="8">
        <v>103</v>
      </c>
    </row>
    <row r="32" spans="1:33" ht="25.5" customHeight="1" x14ac:dyDescent="0.25">
      <c r="A32" s="57" t="s">
        <v>280</v>
      </c>
      <c r="B32" s="8">
        <v>166</v>
      </c>
      <c r="C32" s="8">
        <v>179</v>
      </c>
      <c r="D32" s="8">
        <v>190</v>
      </c>
      <c r="E32" s="8">
        <v>308</v>
      </c>
      <c r="F32" s="8">
        <v>551</v>
      </c>
      <c r="G32" s="8">
        <v>534</v>
      </c>
      <c r="H32" s="8">
        <v>457</v>
      </c>
      <c r="I32" s="8">
        <v>483</v>
      </c>
      <c r="J32" s="8">
        <v>367</v>
      </c>
      <c r="K32" s="8">
        <v>332</v>
      </c>
      <c r="L32" s="8">
        <v>305</v>
      </c>
      <c r="M32" s="8">
        <v>259</v>
      </c>
      <c r="N32" s="8">
        <v>246</v>
      </c>
      <c r="O32" s="8">
        <v>250</v>
      </c>
      <c r="P32" s="8">
        <v>207</v>
      </c>
      <c r="Q32" s="8">
        <v>225</v>
      </c>
      <c r="R32" s="8">
        <v>220</v>
      </c>
      <c r="S32" s="8">
        <v>240</v>
      </c>
      <c r="T32" s="8">
        <v>204</v>
      </c>
      <c r="U32" s="8">
        <v>207</v>
      </c>
      <c r="V32" s="8">
        <v>178</v>
      </c>
      <c r="W32" s="8">
        <v>192</v>
      </c>
      <c r="X32" s="8">
        <v>175</v>
      </c>
      <c r="Y32" s="8">
        <v>157</v>
      </c>
      <c r="Z32" s="8">
        <v>167</v>
      </c>
      <c r="AA32" s="8">
        <v>160</v>
      </c>
      <c r="AB32" s="8">
        <v>115</v>
      </c>
      <c r="AC32" s="8">
        <v>89</v>
      </c>
      <c r="AD32" s="8">
        <v>99</v>
      </c>
      <c r="AE32" s="8">
        <v>88</v>
      </c>
      <c r="AF32" s="9">
        <v>102</v>
      </c>
      <c r="AG32" s="8">
        <v>87</v>
      </c>
    </row>
    <row r="33" spans="1:33" ht="15.75" x14ac:dyDescent="0.25">
      <c r="A33" s="58" t="s">
        <v>148</v>
      </c>
      <c r="B33" s="8">
        <v>163</v>
      </c>
      <c r="C33" s="8">
        <v>161</v>
      </c>
      <c r="D33" s="8">
        <v>170</v>
      </c>
      <c r="E33" s="8">
        <v>261</v>
      </c>
      <c r="F33" s="8">
        <v>471</v>
      </c>
      <c r="G33" s="8">
        <v>456</v>
      </c>
      <c r="H33" s="8">
        <v>371</v>
      </c>
      <c r="I33" s="8">
        <v>391</v>
      </c>
      <c r="J33" s="8">
        <v>305</v>
      </c>
      <c r="K33" s="8">
        <v>286</v>
      </c>
      <c r="L33" s="8">
        <v>243</v>
      </c>
      <c r="M33" s="8">
        <v>214</v>
      </c>
      <c r="N33" s="8">
        <v>199</v>
      </c>
      <c r="O33" s="8">
        <v>204</v>
      </c>
      <c r="P33" s="8">
        <v>166</v>
      </c>
      <c r="Q33" s="8">
        <v>179</v>
      </c>
      <c r="R33" s="8">
        <v>174</v>
      </c>
      <c r="S33" s="8">
        <v>183</v>
      </c>
      <c r="T33" s="8">
        <v>158</v>
      </c>
      <c r="U33" s="8">
        <v>158</v>
      </c>
      <c r="V33" s="8">
        <v>136</v>
      </c>
      <c r="W33" s="8">
        <v>143</v>
      </c>
      <c r="X33" s="8">
        <v>143</v>
      </c>
      <c r="Y33" s="8">
        <v>128</v>
      </c>
      <c r="Z33" s="8">
        <v>127</v>
      </c>
      <c r="AA33" s="8">
        <v>128</v>
      </c>
      <c r="AB33" s="8">
        <v>95</v>
      </c>
      <c r="AC33" s="8">
        <v>62</v>
      </c>
      <c r="AD33" s="8">
        <v>64</v>
      </c>
      <c r="AE33" s="8">
        <v>69</v>
      </c>
      <c r="AF33" s="9">
        <v>67</v>
      </c>
      <c r="AG33" s="8">
        <v>67</v>
      </c>
    </row>
    <row r="34" spans="1:33" ht="15.75" x14ac:dyDescent="0.25">
      <c r="A34" s="59" t="s">
        <v>278</v>
      </c>
      <c r="B34" s="8">
        <v>154</v>
      </c>
      <c r="C34" s="8">
        <v>140</v>
      </c>
      <c r="D34" s="8">
        <v>162</v>
      </c>
      <c r="E34" s="8">
        <v>239</v>
      </c>
      <c r="F34" s="8">
        <v>426</v>
      </c>
      <c r="G34" s="8">
        <v>356</v>
      </c>
      <c r="H34" s="8">
        <v>333</v>
      </c>
      <c r="I34" s="8">
        <v>339</v>
      </c>
      <c r="J34" s="8">
        <v>231</v>
      </c>
      <c r="K34" s="8">
        <v>224</v>
      </c>
      <c r="L34" s="8">
        <v>199</v>
      </c>
      <c r="M34" s="8">
        <v>173</v>
      </c>
      <c r="N34" s="8">
        <v>156</v>
      </c>
      <c r="O34" s="8">
        <v>164</v>
      </c>
      <c r="P34" s="8">
        <v>131</v>
      </c>
      <c r="Q34" s="8">
        <v>143</v>
      </c>
      <c r="R34" s="8">
        <v>139</v>
      </c>
      <c r="S34" s="8">
        <v>141</v>
      </c>
      <c r="T34" s="8">
        <v>127</v>
      </c>
      <c r="U34" s="8">
        <v>129</v>
      </c>
      <c r="V34" s="8">
        <v>101</v>
      </c>
      <c r="W34" s="8">
        <v>117</v>
      </c>
      <c r="X34" s="8">
        <v>115</v>
      </c>
      <c r="Y34" s="8">
        <v>91</v>
      </c>
      <c r="Z34" s="8">
        <v>99</v>
      </c>
      <c r="AA34" s="8">
        <v>97</v>
      </c>
      <c r="AB34" s="8">
        <v>73</v>
      </c>
      <c r="AC34" s="8">
        <v>44</v>
      </c>
      <c r="AD34" s="8">
        <v>48</v>
      </c>
      <c r="AE34" s="8">
        <v>38</v>
      </c>
      <c r="AF34" s="9">
        <v>46</v>
      </c>
      <c r="AG34" s="8">
        <v>44</v>
      </c>
    </row>
    <row r="35" spans="1:33" ht="15.75" x14ac:dyDescent="0.25">
      <c r="A35" s="59" t="s">
        <v>279</v>
      </c>
      <c r="B35" s="8">
        <v>9</v>
      </c>
      <c r="C35" s="8">
        <v>20</v>
      </c>
      <c r="D35" s="8">
        <v>8</v>
      </c>
      <c r="E35" s="8">
        <v>22</v>
      </c>
      <c r="F35" s="8">
        <v>48</v>
      </c>
      <c r="G35" s="8">
        <v>103</v>
      </c>
      <c r="H35" s="8">
        <v>40</v>
      </c>
      <c r="I35" s="8">
        <v>52</v>
      </c>
      <c r="J35" s="8">
        <v>76</v>
      </c>
      <c r="K35" s="8">
        <v>64</v>
      </c>
      <c r="L35" s="8">
        <v>46</v>
      </c>
      <c r="M35" s="8">
        <v>43</v>
      </c>
      <c r="N35" s="8">
        <v>44</v>
      </c>
      <c r="O35" s="8">
        <v>41</v>
      </c>
      <c r="P35" s="8">
        <v>36</v>
      </c>
      <c r="Q35" s="8">
        <v>36</v>
      </c>
      <c r="R35" s="8">
        <v>35</v>
      </c>
      <c r="S35" s="8">
        <v>43</v>
      </c>
      <c r="T35" s="8">
        <v>31</v>
      </c>
      <c r="U35" s="8">
        <v>29</v>
      </c>
      <c r="V35" s="8">
        <v>36</v>
      </c>
      <c r="W35" s="8">
        <v>28</v>
      </c>
      <c r="X35" s="8">
        <v>28</v>
      </c>
      <c r="Y35" s="8">
        <v>37</v>
      </c>
      <c r="Z35" s="8">
        <v>28</v>
      </c>
      <c r="AA35" s="8">
        <v>31</v>
      </c>
      <c r="AB35" s="8">
        <v>21</v>
      </c>
      <c r="AC35" s="8">
        <v>18</v>
      </c>
      <c r="AD35" s="8">
        <v>16</v>
      </c>
      <c r="AE35" s="8">
        <v>31</v>
      </c>
      <c r="AF35" s="9">
        <v>21</v>
      </c>
      <c r="AG35" s="8">
        <v>23</v>
      </c>
    </row>
    <row r="36" spans="1:33" ht="15.75" x14ac:dyDescent="0.25">
      <c r="A36" s="58" t="s">
        <v>151</v>
      </c>
      <c r="B36" s="8">
        <v>3</v>
      </c>
      <c r="C36" s="8">
        <v>19</v>
      </c>
      <c r="D36" s="8">
        <v>23</v>
      </c>
      <c r="E36" s="8">
        <v>49</v>
      </c>
      <c r="F36" s="8">
        <v>82</v>
      </c>
      <c r="G36" s="8">
        <v>80</v>
      </c>
      <c r="H36" s="8">
        <v>89</v>
      </c>
      <c r="I36" s="8">
        <v>99</v>
      </c>
      <c r="J36" s="8">
        <v>63</v>
      </c>
      <c r="K36" s="8">
        <v>50</v>
      </c>
      <c r="L36" s="8">
        <v>63</v>
      </c>
      <c r="M36" s="8">
        <v>46</v>
      </c>
      <c r="N36" s="8">
        <v>47</v>
      </c>
      <c r="O36" s="8">
        <v>48</v>
      </c>
      <c r="P36" s="8">
        <v>44</v>
      </c>
      <c r="Q36" s="8">
        <v>47</v>
      </c>
      <c r="R36" s="8">
        <v>48</v>
      </c>
      <c r="S36" s="8">
        <v>59</v>
      </c>
      <c r="T36" s="8">
        <v>47</v>
      </c>
      <c r="U36" s="8">
        <v>51</v>
      </c>
      <c r="V36" s="8">
        <v>43</v>
      </c>
      <c r="W36" s="8">
        <v>48</v>
      </c>
      <c r="X36" s="8">
        <v>32</v>
      </c>
      <c r="Y36" s="8">
        <v>31</v>
      </c>
      <c r="Z36" s="8">
        <v>41</v>
      </c>
      <c r="AA36" s="8">
        <v>33</v>
      </c>
      <c r="AB36" s="8">
        <v>21</v>
      </c>
      <c r="AC36" s="8">
        <v>30</v>
      </c>
      <c r="AD36" s="8">
        <v>34</v>
      </c>
      <c r="AE36" s="8">
        <v>19</v>
      </c>
      <c r="AF36" s="9">
        <v>35</v>
      </c>
      <c r="AG36" s="8">
        <v>21</v>
      </c>
    </row>
    <row r="37" spans="1:33" ht="30" customHeight="1" x14ac:dyDescent="0.25">
      <c r="A37" s="4" t="s">
        <v>281</v>
      </c>
      <c r="B37" s="5">
        <v>839</v>
      </c>
      <c r="C37" s="5">
        <v>874</v>
      </c>
      <c r="D37" s="5">
        <v>905</v>
      </c>
      <c r="E37" s="5">
        <v>956</v>
      </c>
      <c r="F37" s="5">
        <v>1120</v>
      </c>
      <c r="G37" s="5">
        <v>1059</v>
      </c>
      <c r="H37" s="5">
        <v>957</v>
      </c>
      <c r="I37" s="5">
        <v>881</v>
      </c>
      <c r="J37" s="5">
        <v>711</v>
      </c>
      <c r="K37" s="5">
        <v>710</v>
      </c>
      <c r="L37" s="5">
        <v>669</v>
      </c>
      <c r="M37" s="5">
        <v>618</v>
      </c>
      <c r="N37" s="5">
        <v>602</v>
      </c>
      <c r="O37" s="5">
        <v>661</v>
      </c>
      <c r="P37" s="5">
        <v>592</v>
      </c>
      <c r="Q37" s="5">
        <v>634</v>
      </c>
      <c r="R37" s="5">
        <v>670</v>
      </c>
      <c r="S37" s="5">
        <v>732</v>
      </c>
      <c r="T37" s="5">
        <v>864</v>
      </c>
      <c r="U37" s="5">
        <v>778</v>
      </c>
      <c r="V37" s="5">
        <v>637</v>
      </c>
      <c r="W37" s="5">
        <v>606</v>
      </c>
      <c r="X37" s="5">
        <v>550</v>
      </c>
      <c r="Y37" s="5">
        <v>490</v>
      </c>
      <c r="Z37" s="5">
        <v>465</v>
      </c>
      <c r="AA37" s="5">
        <v>530</v>
      </c>
      <c r="AB37" s="5">
        <v>456</v>
      </c>
      <c r="AC37" s="5">
        <v>464</v>
      </c>
      <c r="AD37" s="5">
        <v>401</v>
      </c>
      <c r="AE37" s="5">
        <v>489</v>
      </c>
      <c r="AF37" s="6">
        <v>433</v>
      </c>
      <c r="AG37" s="5">
        <v>497</v>
      </c>
    </row>
    <row r="38" spans="1:33" ht="15.75" x14ac:dyDescent="0.25">
      <c r="A38" s="7" t="s">
        <v>282</v>
      </c>
      <c r="B38" s="8">
        <v>101</v>
      </c>
      <c r="C38" s="8">
        <v>98</v>
      </c>
      <c r="D38" s="8">
        <v>89</v>
      </c>
      <c r="E38" s="8">
        <v>67</v>
      </c>
      <c r="F38" s="8">
        <v>104</v>
      </c>
      <c r="G38" s="8">
        <v>122</v>
      </c>
      <c r="H38" s="8">
        <v>119</v>
      </c>
      <c r="I38" s="8">
        <v>109</v>
      </c>
      <c r="J38" s="8">
        <v>72</v>
      </c>
      <c r="K38" s="8">
        <v>81</v>
      </c>
      <c r="L38" s="8">
        <v>81</v>
      </c>
      <c r="M38" s="8">
        <v>75</v>
      </c>
      <c r="N38" s="8">
        <v>67</v>
      </c>
      <c r="O38" s="8">
        <v>68</v>
      </c>
      <c r="P38" s="8">
        <v>58</v>
      </c>
      <c r="Q38" s="8">
        <v>57</v>
      </c>
      <c r="R38" s="8">
        <v>61</v>
      </c>
      <c r="S38" s="8">
        <v>65</v>
      </c>
      <c r="T38" s="8">
        <v>62</v>
      </c>
      <c r="U38" s="8">
        <v>63</v>
      </c>
      <c r="V38" s="8">
        <v>59</v>
      </c>
      <c r="W38" s="8">
        <v>59</v>
      </c>
      <c r="X38" s="8">
        <v>55</v>
      </c>
      <c r="Y38" s="8">
        <v>55</v>
      </c>
      <c r="Z38" s="8">
        <v>47</v>
      </c>
      <c r="AA38" s="8">
        <v>54</v>
      </c>
      <c r="AB38" s="8">
        <v>47</v>
      </c>
      <c r="AC38" s="8">
        <v>35</v>
      </c>
      <c r="AD38" s="8">
        <v>21</v>
      </c>
      <c r="AE38" s="8">
        <v>26</v>
      </c>
      <c r="AF38" s="9">
        <v>24</v>
      </c>
      <c r="AG38" s="8">
        <v>22</v>
      </c>
    </row>
    <row r="39" spans="1:33" ht="15.75" x14ac:dyDescent="0.25">
      <c r="A39" s="7" t="s">
        <v>283</v>
      </c>
      <c r="B39" s="8">
        <v>743</v>
      </c>
      <c r="C39" s="8">
        <v>785</v>
      </c>
      <c r="D39" s="8">
        <v>831</v>
      </c>
      <c r="E39" s="8">
        <v>893</v>
      </c>
      <c r="F39" s="8">
        <v>1027</v>
      </c>
      <c r="G39" s="8">
        <v>946</v>
      </c>
      <c r="H39" s="8">
        <v>852</v>
      </c>
      <c r="I39" s="8">
        <v>779</v>
      </c>
      <c r="J39" s="8">
        <v>644</v>
      </c>
      <c r="K39" s="8">
        <v>637</v>
      </c>
      <c r="L39" s="8">
        <v>593</v>
      </c>
      <c r="M39" s="8">
        <v>547</v>
      </c>
      <c r="N39" s="8">
        <v>539</v>
      </c>
      <c r="O39" s="8">
        <v>597</v>
      </c>
      <c r="P39" s="8">
        <v>541</v>
      </c>
      <c r="Q39" s="8">
        <v>580</v>
      </c>
      <c r="R39" s="8">
        <v>612</v>
      </c>
      <c r="S39" s="8">
        <v>670</v>
      </c>
      <c r="T39" s="8">
        <v>808</v>
      </c>
      <c r="U39" s="8">
        <v>717</v>
      </c>
      <c r="V39" s="8">
        <v>581</v>
      </c>
      <c r="W39" s="8">
        <v>550</v>
      </c>
      <c r="X39" s="8">
        <v>496</v>
      </c>
      <c r="Y39" s="8">
        <v>435</v>
      </c>
      <c r="Z39" s="8">
        <v>419</v>
      </c>
      <c r="AA39" s="8">
        <v>482</v>
      </c>
      <c r="AB39" s="8">
        <v>410</v>
      </c>
      <c r="AC39" s="8">
        <v>430</v>
      </c>
      <c r="AD39" s="8">
        <v>380</v>
      </c>
      <c r="AE39" s="8">
        <v>464</v>
      </c>
      <c r="AF39" s="9">
        <v>410</v>
      </c>
      <c r="AG39" s="8">
        <v>475</v>
      </c>
    </row>
    <row r="40" spans="1:33" ht="30" customHeight="1" x14ac:dyDescent="0.25">
      <c r="A40" s="4" t="s">
        <v>284</v>
      </c>
      <c r="B40" s="5">
        <v>1348</v>
      </c>
      <c r="C40" s="5">
        <v>1592</v>
      </c>
      <c r="D40" s="5">
        <v>2159</v>
      </c>
      <c r="E40" s="5">
        <v>2728</v>
      </c>
      <c r="F40" s="5">
        <v>3039</v>
      </c>
      <c r="G40" s="5">
        <v>3049</v>
      </c>
      <c r="H40" s="5">
        <v>2547</v>
      </c>
      <c r="I40" s="5">
        <v>2127</v>
      </c>
      <c r="J40" s="5">
        <v>1856</v>
      </c>
      <c r="K40" s="5">
        <v>1774</v>
      </c>
      <c r="L40" s="5">
        <v>1610</v>
      </c>
      <c r="M40" s="5">
        <v>1411</v>
      </c>
      <c r="N40" s="5">
        <v>1306</v>
      </c>
      <c r="O40" s="5">
        <v>1315</v>
      </c>
      <c r="P40" s="5">
        <v>1147</v>
      </c>
      <c r="Q40" s="5">
        <v>1161</v>
      </c>
      <c r="R40" s="5">
        <v>999</v>
      </c>
      <c r="S40" s="5">
        <v>966</v>
      </c>
      <c r="T40" s="5">
        <v>993</v>
      </c>
      <c r="U40" s="5">
        <v>839</v>
      </c>
      <c r="V40" s="5">
        <v>781</v>
      </c>
      <c r="W40" s="5">
        <v>764</v>
      </c>
      <c r="X40" s="5">
        <v>745</v>
      </c>
      <c r="Y40" s="5">
        <v>680</v>
      </c>
      <c r="Z40" s="5">
        <v>775</v>
      </c>
      <c r="AA40" s="5">
        <v>775</v>
      </c>
      <c r="AB40" s="5">
        <v>752</v>
      </c>
      <c r="AC40" s="5">
        <v>637</v>
      </c>
      <c r="AD40" s="5">
        <v>630</v>
      </c>
      <c r="AE40" s="5">
        <v>594</v>
      </c>
      <c r="AF40" s="6">
        <v>645</v>
      </c>
      <c r="AG40" s="5">
        <v>580</v>
      </c>
    </row>
    <row r="41" spans="1:33" ht="15.75" x14ac:dyDescent="0.25">
      <c r="A41" s="7" t="s">
        <v>285</v>
      </c>
      <c r="B41" s="8">
        <v>1027</v>
      </c>
      <c r="C41" s="8">
        <v>1210</v>
      </c>
      <c r="D41" s="8">
        <v>1624</v>
      </c>
      <c r="E41" s="8">
        <v>1797</v>
      </c>
      <c r="F41" s="8">
        <v>1898</v>
      </c>
      <c r="G41" s="8">
        <v>1914</v>
      </c>
      <c r="H41" s="8">
        <v>1653</v>
      </c>
      <c r="I41" s="8">
        <v>1366</v>
      </c>
      <c r="J41" s="8">
        <v>1161</v>
      </c>
      <c r="K41" s="8">
        <v>1118</v>
      </c>
      <c r="L41" s="8">
        <v>1039</v>
      </c>
      <c r="M41" s="8">
        <v>918</v>
      </c>
      <c r="N41" s="8">
        <v>859</v>
      </c>
      <c r="O41" s="8">
        <v>890</v>
      </c>
      <c r="P41" s="8">
        <v>781</v>
      </c>
      <c r="Q41" s="8">
        <v>827</v>
      </c>
      <c r="R41" s="8">
        <v>709</v>
      </c>
      <c r="S41" s="8">
        <v>703</v>
      </c>
      <c r="T41" s="8">
        <v>740</v>
      </c>
      <c r="U41" s="8">
        <v>628</v>
      </c>
      <c r="V41" s="8">
        <v>595</v>
      </c>
      <c r="W41" s="8">
        <v>567</v>
      </c>
      <c r="X41" s="8">
        <v>550</v>
      </c>
      <c r="Y41" s="8">
        <v>509</v>
      </c>
      <c r="Z41" s="8">
        <v>563</v>
      </c>
      <c r="AA41" s="8">
        <v>561</v>
      </c>
      <c r="AB41" s="8">
        <v>544</v>
      </c>
      <c r="AC41" s="8">
        <v>446</v>
      </c>
      <c r="AD41" s="8">
        <v>413</v>
      </c>
      <c r="AE41" s="8">
        <v>393</v>
      </c>
      <c r="AF41" s="9">
        <v>422</v>
      </c>
      <c r="AG41" s="8">
        <v>383</v>
      </c>
    </row>
    <row r="42" spans="1:33" ht="15.75" x14ac:dyDescent="0.25">
      <c r="A42" s="7" t="s">
        <v>286</v>
      </c>
      <c r="B42" s="8">
        <v>255</v>
      </c>
      <c r="C42" s="8">
        <v>249</v>
      </c>
      <c r="D42" s="8">
        <v>349</v>
      </c>
      <c r="E42" s="8">
        <v>475</v>
      </c>
      <c r="F42" s="8">
        <v>517</v>
      </c>
      <c r="G42" s="8">
        <v>443</v>
      </c>
      <c r="H42" s="8">
        <v>350</v>
      </c>
      <c r="I42" s="8">
        <v>299</v>
      </c>
      <c r="J42" s="8">
        <v>283</v>
      </c>
      <c r="K42" s="8">
        <v>252</v>
      </c>
      <c r="L42" s="8">
        <v>217</v>
      </c>
      <c r="M42" s="8">
        <v>196</v>
      </c>
      <c r="N42" s="8">
        <v>163</v>
      </c>
      <c r="O42" s="8">
        <v>160</v>
      </c>
      <c r="P42" s="8">
        <v>140</v>
      </c>
      <c r="Q42" s="8">
        <v>133</v>
      </c>
      <c r="R42" s="8">
        <v>104</v>
      </c>
      <c r="S42" s="8">
        <v>88</v>
      </c>
      <c r="T42" s="8">
        <v>89</v>
      </c>
      <c r="U42" s="8">
        <v>81</v>
      </c>
      <c r="V42" s="8">
        <v>61</v>
      </c>
      <c r="W42" s="8">
        <v>55</v>
      </c>
      <c r="X42" s="8">
        <v>73</v>
      </c>
      <c r="Y42" s="8">
        <v>55</v>
      </c>
      <c r="Z42" s="8">
        <v>76</v>
      </c>
      <c r="AA42" s="8">
        <v>81</v>
      </c>
      <c r="AB42" s="8">
        <v>74</v>
      </c>
      <c r="AC42" s="8">
        <v>91</v>
      </c>
      <c r="AD42" s="8">
        <v>88</v>
      </c>
      <c r="AE42" s="8">
        <v>100</v>
      </c>
      <c r="AF42" s="9">
        <v>98</v>
      </c>
      <c r="AG42" s="8">
        <v>94</v>
      </c>
    </row>
    <row r="43" spans="1:33" ht="15.75" x14ac:dyDescent="0.25">
      <c r="A43" s="7" t="s">
        <v>287</v>
      </c>
      <c r="B43" s="8">
        <v>140</v>
      </c>
      <c r="C43" s="8">
        <v>210</v>
      </c>
      <c r="D43" s="8">
        <v>324</v>
      </c>
      <c r="E43" s="8">
        <v>711</v>
      </c>
      <c r="F43" s="8">
        <v>975</v>
      </c>
      <c r="G43" s="8">
        <v>1006</v>
      </c>
      <c r="H43" s="8">
        <v>789</v>
      </c>
      <c r="I43" s="8">
        <v>639</v>
      </c>
      <c r="J43" s="8">
        <v>533</v>
      </c>
      <c r="K43" s="8">
        <v>531</v>
      </c>
      <c r="L43" s="8">
        <v>452</v>
      </c>
      <c r="M43" s="8">
        <v>375</v>
      </c>
      <c r="N43" s="8">
        <v>339</v>
      </c>
      <c r="O43" s="8">
        <v>321</v>
      </c>
      <c r="P43" s="8">
        <v>278</v>
      </c>
      <c r="Q43" s="8">
        <v>245</v>
      </c>
      <c r="R43" s="8">
        <v>212</v>
      </c>
      <c r="S43" s="8">
        <v>201</v>
      </c>
      <c r="T43" s="8">
        <v>190</v>
      </c>
      <c r="U43" s="8">
        <v>154</v>
      </c>
      <c r="V43" s="8">
        <v>137</v>
      </c>
      <c r="W43" s="8">
        <v>158</v>
      </c>
      <c r="X43" s="8">
        <v>138</v>
      </c>
      <c r="Y43" s="8">
        <v>131</v>
      </c>
      <c r="Z43" s="8">
        <v>152</v>
      </c>
      <c r="AA43" s="8">
        <v>150</v>
      </c>
      <c r="AB43" s="8">
        <v>146</v>
      </c>
      <c r="AC43" s="8">
        <v>113</v>
      </c>
      <c r="AD43" s="8">
        <v>150</v>
      </c>
      <c r="AE43" s="8">
        <v>113</v>
      </c>
      <c r="AF43" s="9">
        <v>143</v>
      </c>
      <c r="AG43" s="8">
        <v>113</v>
      </c>
    </row>
    <row r="44" spans="1:33" ht="30" customHeight="1" x14ac:dyDescent="0.25">
      <c r="A44" s="4" t="s">
        <v>288</v>
      </c>
      <c r="B44" s="5">
        <v>204</v>
      </c>
      <c r="C44" s="5">
        <v>262</v>
      </c>
      <c r="D44" s="5">
        <v>328</v>
      </c>
      <c r="E44" s="5">
        <v>507</v>
      </c>
      <c r="F44" s="5">
        <v>494</v>
      </c>
      <c r="G44" s="5">
        <v>561</v>
      </c>
      <c r="H44" s="5">
        <v>457</v>
      </c>
      <c r="I44" s="5">
        <v>334</v>
      </c>
      <c r="J44" s="5">
        <v>320</v>
      </c>
      <c r="K44" s="5">
        <v>306</v>
      </c>
      <c r="L44" s="5">
        <v>318</v>
      </c>
      <c r="M44" s="5">
        <v>337</v>
      </c>
      <c r="N44" s="5">
        <v>361</v>
      </c>
      <c r="O44" s="5">
        <v>400</v>
      </c>
      <c r="P44" s="5">
        <v>370</v>
      </c>
      <c r="Q44" s="5">
        <v>444</v>
      </c>
      <c r="R44" s="5">
        <v>405</v>
      </c>
      <c r="S44" s="5">
        <v>435</v>
      </c>
      <c r="T44" s="5">
        <v>395</v>
      </c>
      <c r="U44" s="5">
        <v>409</v>
      </c>
      <c r="V44" s="5">
        <v>334</v>
      </c>
      <c r="W44" s="5">
        <v>329</v>
      </c>
      <c r="X44" s="5">
        <v>296</v>
      </c>
      <c r="Y44" s="5">
        <v>267</v>
      </c>
      <c r="Z44" s="5">
        <v>276</v>
      </c>
      <c r="AA44" s="5">
        <v>285</v>
      </c>
      <c r="AB44" s="5">
        <v>245</v>
      </c>
      <c r="AC44" s="5">
        <v>209</v>
      </c>
      <c r="AD44" s="5">
        <v>187</v>
      </c>
      <c r="AE44" s="5">
        <v>167</v>
      </c>
      <c r="AF44" s="6">
        <v>189</v>
      </c>
      <c r="AG44" s="5">
        <v>170</v>
      </c>
    </row>
    <row r="45" spans="1:33" ht="30" customHeight="1" x14ac:dyDescent="0.25">
      <c r="A45" s="4" t="s">
        <v>237</v>
      </c>
      <c r="B45" s="5">
        <v>1686</v>
      </c>
      <c r="C45" s="5">
        <v>1776</v>
      </c>
      <c r="D45" s="5">
        <v>1899</v>
      </c>
      <c r="E45" s="5">
        <v>1713</v>
      </c>
      <c r="F45" s="5">
        <v>2007</v>
      </c>
      <c r="G45" s="5">
        <v>2104</v>
      </c>
      <c r="H45" s="5">
        <v>1735</v>
      </c>
      <c r="I45" s="5">
        <v>1652</v>
      </c>
      <c r="J45" s="5">
        <v>1602</v>
      </c>
      <c r="K45" s="5">
        <v>1586</v>
      </c>
      <c r="L45" s="5">
        <v>1562</v>
      </c>
      <c r="M45" s="5">
        <v>1576</v>
      </c>
      <c r="N45" s="5">
        <v>1695</v>
      </c>
      <c r="O45" s="5">
        <v>1776</v>
      </c>
      <c r="P45" s="5">
        <v>1648</v>
      </c>
      <c r="Q45" s="5">
        <v>1735</v>
      </c>
      <c r="R45" s="5">
        <v>1545</v>
      </c>
      <c r="S45" s="5">
        <v>1423</v>
      </c>
      <c r="T45" s="5">
        <v>1362</v>
      </c>
      <c r="U45" s="5">
        <v>1178</v>
      </c>
      <c r="V45" s="5">
        <v>1001</v>
      </c>
      <c r="W45" s="5">
        <v>911</v>
      </c>
      <c r="X45" s="5">
        <v>907</v>
      </c>
      <c r="Y45" s="5">
        <v>847</v>
      </c>
      <c r="Z45" s="5">
        <v>798</v>
      </c>
      <c r="AA45" s="5">
        <v>850</v>
      </c>
      <c r="AB45" s="5">
        <v>752</v>
      </c>
      <c r="AC45" s="5">
        <v>504</v>
      </c>
      <c r="AD45" s="5">
        <v>508</v>
      </c>
      <c r="AE45" s="5">
        <v>499</v>
      </c>
      <c r="AF45" s="6">
        <v>523</v>
      </c>
      <c r="AG45" s="5">
        <v>477</v>
      </c>
    </row>
    <row r="46" spans="1:33" ht="15.75" x14ac:dyDescent="0.25">
      <c r="A46" s="7" t="s">
        <v>289</v>
      </c>
      <c r="B46" s="8">
        <v>1051</v>
      </c>
      <c r="C46" s="8">
        <v>1194</v>
      </c>
      <c r="D46" s="8">
        <v>1151</v>
      </c>
      <c r="E46" s="8">
        <v>1140</v>
      </c>
      <c r="F46" s="8">
        <v>1248</v>
      </c>
      <c r="G46" s="8">
        <v>1315</v>
      </c>
      <c r="H46" s="8">
        <v>1091</v>
      </c>
      <c r="I46" s="8">
        <v>1077</v>
      </c>
      <c r="J46" s="8">
        <v>1028</v>
      </c>
      <c r="K46" s="8">
        <v>1046</v>
      </c>
      <c r="L46" s="8">
        <v>993</v>
      </c>
      <c r="M46" s="8">
        <v>1055</v>
      </c>
      <c r="N46" s="8">
        <v>1150</v>
      </c>
      <c r="O46" s="8">
        <v>1236</v>
      </c>
      <c r="P46" s="8">
        <v>1146</v>
      </c>
      <c r="Q46" s="8">
        <v>1241</v>
      </c>
      <c r="R46" s="8">
        <v>1088</v>
      </c>
      <c r="S46" s="8">
        <v>1027</v>
      </c>
      <c r="T46" s="8">
        <v>980</v>
      </c>
      <c r="U46" s="8">
        <v>858</v>
      </c>
      <c r="V46" s="8">
        <v>732</v>
      </c>
      <c r="W46" s="8">
        <v>634</v>
      </c>
      <c r="X46" s="8">
        <v>651</v>
      </c>
      <c r="Y46" s="8">
        <v>605</v>
      </c>
      <c r="Z46" s="8">
        <v>556</v>
      </c>
      <c r="AA46" s="8">
        <v>632</v>
      </c>
      <c r="AB46" s="8">
        <v>540</v>
      </c>
      <c r="AC46" s="8">
        <v>354</v>
      </c>
      <c r="AD46" s="8">
        <v>335</v>
      </c>
      <c r="AE46" s="8">
        <v>325</v>
      </c>
      <c r="AF46" s="9">
        <v>353</v>
      </c>
      <c r="AG46" s="8">
        <v>312</v>
      </c>
    </row>
    <row r="47" spans="1:33" ht="15.75" x14ac:dyDescent="0.25">
      <c r="A47" s="7" t="s">
        <v>290</v>
      </c>
      <c r="B47" s="8">
        <v>718</v>
      </c>
      <c r="C47" s="8">
        <v>660</v>
      </c>
      <c r="D47" s="8">
        <v>846</v>
      </c>
      <c r="E47" s="8">
        <v>671</v>
      </c>
      <c r="F47" s="8">
        <v>840</v>
      </c>
      <c r="G47" s="8">
        <v>893</v>
      </c>
      <c r="H47" s="8">
        <v>728</v>
      </c>
      <c r="I47" s="8">
        <v>643</v>
      </c>
      <c r="J47" s="8">
        <v>646</v>
      </c>
      <c r="K47" s="8">
        <v>608</v>
      </c>
      <c r="L47" s="8">
        <v>616</v>
      </c>
      <c r="M47" s="8">
        <v>601</v>
      </c>
      <c r="N47" s="8">
        <v>617</v>
      </c>
      <c r="O47" s="8">
        <v>637</v>
      </c>
      <c r="P47" s="8">
        <v>579</v>
      </c>
      <c r="Q47" s="8">
        <v>579</v>
      </c>
      <c r="R47" s="8">
        <v>522</v>
      </c>
      <c r="S47" s="8">
        <v>445</v>
      </c>
      <c r="T47" s="8">
        <v>429</v>
      </c>
      <c r="U47" s="8">
        <v>358</v>
      </c>
      <c r="V47" s="8">
        <v>301</v>
      </c>
      <c r="W47" s="8">
        <v>300</v>
      </c>
      <c r="X47" s="8">
        <v>273</v>
      </c>
      <c r="Y47" s="8">
        <v>258</v>
      </c>
      <c r="Z47" s="8">
        <v>261</v>
      </c>
      <c r="AA47" s="8">
        <v>241</v>
      </c>
      <c r="AB47" s="8">
        <v>227</v>
      </c>
      <c r="AC47" s="8">
        <v>165</v>
      </c>
      <c r="AD47" s="8">
        <v>179</v>
      </c>
      <c r="AE47" s="8">
        <v>180</v>
      </c>
      <c r="AF47" s="9">
        <v>178</v>
      </c>
      <c r="AG47" s="8">
        <v>170</v>
      </c>
    </row>
    <row r="48" spans="1:33" ht="30" customHeight="1" x14ac:dyDescent="0.25">
      <c r="A48" s="10" t="s">
        <v>167</v>
      </c>
      <c r="B48" s="11">
        <v>9916</v>
      </c>
      <c r="C48" s="11">
        <v>11030</v>
      </c>
      <c r="D48" s="11">
        <v>10392</v>
      </c>
      <c r="E48" s="11">
        <v>10043</v>
      </c>
      <c r="F48" s="11">
        <v>14491</v>
      </c>
      <c r="G48" s="11">
        <v>16310</v>
      </c>
      <c r="H48" s="11">
        <v>14900</v>
      </c>
      <c r="I48" s="11">
        <v>19357</v>
      </c>
      <c r="J48" s="11">
        <v>32782</v>
      </c>
      <c r="K48" s="11">
        <v>36447</v>
      </c>
      <c r="L48" s="11">
        <v>37890</v>
      </c>
      <c r="M48" s="11">
        <v>45081</v>
      </c>
      <c r="N48" s="11">
        <v>47768</v>
      </c>
      <c r="O48" s="11">
        <v>47173</v>
      </c>
      <c r="P48" s="11">
        <v>46942</v>
      </c>
      <c r="Q48" s="11">
        <v>46254</v>
      </c>
      <c r="R48" s="11">
        <v>44611</v>
      </c>
      <c r="S48" s="11">
        <v>46728</v>
      </c>
      <c r="T48" s="11">
        <v>45998</v>
      </c>
      <c r="U48" s="11">
        <v>34851</v>
      </c>
      <c r="V48" s="11">
        <v>35339</v>
      </c>
      <c r="W48" s="11">
        <v>33299</v>
      </c>
      <c r="X48" s="11">
        <v>35248</v>
      </c>
      <c r="Y48" s="11">
        <v>35334</v>
      </c>
      <c r="Z48" s="11">
        <v>34636</v>
      </c>
      <c r="AA48" s="11">
        <v>34103</v>
      </c>
      <c r="AB48" s="11">
        <v>33655</v>
      </c>
      <c r="AC48" s="11">
        <v>30822</v>
      </c>
      <c r="AD48" s="11">
        <v>30704</v>
      </c>
      <c r="AE48" s="11">
        <v>31375</v>
      </c>
      <c r="AF48" s="12">
        <v>31647</v>
      </c>
      <c r="AG48" s="11">
        <v>31631</v>
      </c>
    </row>
    <row r="49" spans="1:33" ht="30" customHeight="1" x14ac:dyDescent="0.25">
      <c r="A49" s="4" t="s">
        <v>291</v>
      </c>
      <c r="B49" s="5">
        <v>10721</v>
      </c>
      <c r="C49" s="5">
        <v>11700</v>
      </c>
      <c r="D49" s="5">
        <v>13004</v>
      </c>
      <c r="E49" s="5">
        <v>14136</v>
      </c>
      <c r="F49" s="5">
        <v>15976</v>
      </c>
      <c r="G49" s="5">
        <v>16072</v>
      </c>
      <c r="H49" s="5">
        <v>14124</v>
      </c>
      <c r="I49" s="5">
        <v>12708</v>
      </c>
      <c r="J49" s="5">
        <v>11341</v>
      </c>
      <c r="K49" s="5">
        <v>11051</v>
      </c>
      <c r="L49" s="5">
        <v>10611</v>
      </c>
      <c r="M49" s="5">
        <v>9991</v>
      </c>
      <c r="N49" s="5">
        <v>9905</v>
      </c>
      <c r="O49" s="5">
        <v>10408</v>
      </c>
      <c r="P49" s="5">
        <v>9529</v>
      </c>
      <c r="Q49" s="5">
        <v>10103</v>
      </c>
      <c r="R49" s="5">
        <v>9373</v>
      </c>
      <c r="S49" s="5">
        <v>9464</v>
      </c>
      <c r="T49" s="5">
        <v>9472</v>
      </c>
      <c r="U49" s="5">
        <v>8386</v>
      </c>
      <c r="V49" s="5">
        <v>7704</v>
      </c>
      <c r="W49" s="5">
        <v>7238</v>
      </c>
      <c r="X49" s="5">
        <v>6978</v>
      </c>
      <c r="Y49" s="5">
        <v>6451</v>
      </c>
      <c r="Z49" s="5">
        <v>6698</v>
      </c>
      <c r="AA49" s="5">
        <v>6964</v>
      </c>
      <c r="AB49" s="5">
        <v>6243</v>
      </c>
      <c r="AC49" s="5">
        <v>4850</v>
      </c>
      <c r="AD49" s="5">
        <v>4870</v>
      </c>
      <c r="AE49" s="5">
        <v>4947</v>
      </c>
      <c r="AF49" s="6">
        <v>4974</v>
      </c>
      <c r="AG49" s="5">
        <v>4925</v>
      </c>
    </row>
    <row r="50" spans="1:33" ht="30" customHeight="1" x14ac:dyDescent="0.25">
      <c r="A50" s="10" t="s">
        <v>146</v>
      </c>
      <c r="B50" s="11">
        <v>9898</v>
      </c>
      <c r="C50" s="11">
        <v>11017</v>
      </c>
      <c r="D50" s="11">
        <v>10391</v>
      </c>
      <c r="E50" s="11">
        <v>10059</v>
      </c>
      <c r="F50" s="11">
        <v>14510</v>
      </c>
      <c r="G50" s="11">
        <v>16337</v>
      </c>
      <c r="H50" s="11">
        <v>14937</v>
      </c>
      <c r="I50" s="11">
        <v>19398</v>
      </c>
      <c r="J50" s="11">
        <v>32787</v>
      </c>
      <c r="K50" s="11">
        <v>36450</v>
      </c>
      <c r="L50" s="11">
        <v>37891</v>
      </c>
      <c r="M50" s="11">
        <v>45118</v>
      </c>
      <c r="N50" s="11">
        <v>47796</v>
      </c>
      <c r="O50" s="11">
        <v>47138</v>
      </c>
      <c r="P50" s="11">
        <v>46911</v>
      </c>
      <c r="Q50" s="11">
        <v>46220</v>
      </c>
      <c r="R50" s="11">
        <v>44559</v>
      </c>
      <c r="S50" s="11">
        <v>46754</v>
      </c>
      <c r="T50" s="11">
        <v>46031</v>
      </c>
      <c r="U50" s="11">
        <v>34880</v>
      </c>
      <c r="V50" s="11">
        <v>35371</v>
      </c>
      <c r="W50" s="11">
        <v>33350</v>
      </c>
      <c r="X50" s="11">
        <v>35324</v>
      </c>
      <c r="Y50" s="11">
        <v>35420</v>
      </c>
      <c r="Z50" s="11">
        <v>34715</v>
      </c>
      <c r="AA50" s="11">
        <v>34163</v>
      </c>
      <c r="AB50" s="11">
        <v>33734</v>
      </c>
      <c r="AC50" s="11">
        <v>31183</v>
      </c>
      <c r="AD50" s="11">
        <v>30847</v>
      </c>
      <c r="AE50" s="11">
        <v>31532</v>
      </c>
      <c r="AF50" s="12">
        <v>31799</v>
      </c>
      <c r="AG50" s="11">
        <v>31791</v>
      </c>
    </row>
    <row r="51" spans="1:33" ht="30" customHeight="1" x14ac:dyDescent="0.25">
      <c r="A51" s="4" t="s">
        <v>1475</v>
      </c>
      <c r="B51" s="5" t="s">
        <v>169</v>
      </c>
      <c r="C51" s="5" t="s">
        <v>169</v>
      </c>
      <c r="D51" s="5" t="s">
        <v>169</v>
      </c>
      <c r="E51" s="5" t="s">
        <v>169</v>
      </c>
      <c r="F51" s="5" t="s">
        <v>169</v>
      </c>
      <c r="G51" s="5" t="s">
        <v>169</v>
      </c>
      <c r="H51" s="5" t="s">
        <v>169</v>
      </c>
      <c r="I51" s="5" t="s">
        <v>169</v>
      </c>
      <c r="J51" s="5" t="s">
        <v>169</v>
      </c>
      <c r="K51" s="5" t="s">
        <v>169</v>
      </c>
      <c r="L51" s="5" t="s">
        <v>169</v>
      </c>
      <c r="M51" s="5" t="s">
        <v>169</v>
      </c>
      <c r="N51" s="5" t="s">
        <v>169</v>
      </c>
      <c r="O51" s="5" t="s">
        <v>169</v>
      </c>
      <c r="P51" s="5" t="s">
        <v>169</v>
      </c>
      <c r="Q51" s="5" t="s">
        <v>169</v>
      </c>
      <c r="R51" s="5" t="s">
        <v>169</v>
      </c>
      <c r="S51" s="5" t="s">
        <v>169</v>
      </c>
      <c r="T51" s="5" t="s">
        <v>169</v>
      </c>
      <c r="U51" s="5" t="s">
        <v>169</v>
      </c>
      <c r="V51" s="5" t="s">
        <v>169</v>
      </c>
      <c r="W51" s="5" t="s">
        <v>169</v>
      </c>
      <c r="X51" s="5" t="s">
        <v>169</v>
      </c>
      <c r="Y51" s="5">
        <v>2789</v>
      </c>
      <c r="Z51" s="5">
        <v>2806</v>
      </c>
      <c r="AA51" s="5">
        <v>3176</v>
      </c>
      <c r="AB51" s="5">
        <v>3131</v>
      </c>
      <c r="AC51" s="5">
        <v>2992</v>
      </c>
      <c r="AD51" s="5">
        <v>2747</v>
      </c>
      <c r="AE51" s="5">
        <v>3443</v>
      </c>
      <c r="AF51" s="6">
        <v>3013</v>
      </c>
      <c r="AG51" s="5">
        <v>3453</v>
      </c>
    </row>
    <row r="52" spans="1:33" ht="15.75" x14ac:dyDescent="0.25">
      <c r="A52" s="7" t="s">
        <v>170</v>
      </c>
      <c r="B52" s="8" t="s">
        <v>169</v>
      </c>
      <c r="C52" s="8" t="s">
        <v>169</v>
      </c>
      <c r="D52" s="8" t="s">
        <v>169</v>
      </c>
      <c r="E52" s="8" t="s">
        <v>169</v>
      </c>
      <c r="F52" s="8" t="s">
        <v>169</v>
      </c>
      <c r="G52" s="8" t="s">
        <v>169</v>
      </c>
      <c r="H52" s="8" t="s">
        <v>169</v>
      </c>
      <c r="I52" s="8" t="s">
        <v>169</v>
      </c>
      <c r="J52" s="8" t="s">
        <v>169</v>
      </c>
      <c r="K52" s="8" t="s">
        <v>169</v>
      </c>
      <c r="L52" s="8" t="s">
        <v>169</v>
      </c>
      <c r="M52" s="8" t="s">
        <v>169</v>
      </c>
      <c r="N52" s="8" t="s">
        <v>169</v>
      </c>
      <c r="O52" s="8" t="s">
        <v>169</v>
      </c>
      <c r="P52" s="8" t="s">
        <v>169</v>
      </c>
      <c r="Q52" s="8" t="s">
        <v>169</v>
      </c>
      <c r="R52" s="8" t="s">
        <v>169</v>
      </c>
      <c r="S52" s="8" t="s">
        <v>169</v>
      </c>
      <c r="T52" s="8" t="s">
        <v>169</v>
      </c>
      <c r="U52" s="8" t="s">
        <v>169</v>
      </c>
      <c r="V52" s="8" t="s">
        <v>169</v>
      </c>
      <c r="W52" s="8" t="s">
        <v>169</v>
      </c>
      <c r="X52" s="8" t="s">
        <v>169</v>
      </c>
      <c r="Y52" s="8">
        <v>2010</v>
      </c>
      <c r="Z52" s="8">
        <v>1952</v>
      </c>
      <c r="AA52" s="8">
        <v>2171</v>
      </c>
      <c r="AB52" s="8">
        <v>2109</v>
      </c>
      <c r="AC52" s="8">
        <v>1782</v>
      </c>
      <c r="AD52" s="8">
        <v>1594</v>
      </c>
      <c r="AE52" s="8">
        <v>1956</v>
      </c>
      <c r="AF52" s="9">
        <v>1704</v>
      </c>
      <c r="AG52" s="8">
        <v>2072</v>
      </c>
    </row>
    <row r="53" spans="1:33" ht="15.75" x14ac:dyDescent="0.25">
      <c r="A53" s="7" t="s">
        <v>171</v>
      </c>
      <c r="B53" s="8" t="s">
        <v>169</v>
      </c>
      <c r="C53" s="8" t="s">
        <v>169</v>
      </c>
      <c r="D53" s="8" t="s">
        <v>169</v>
      </c>
      <c r="E53" s="8" t="s">
        <v>169</v>
      </c>
      <c r="F53" s="8" t="s">
        <v>169</v>
      </c>
      <c r="G53" s="8" t="s">
        <v>169</v>
      </c>
      <c r="H53" s="8" t="s">
        <v>169</v>
      </c>
      <c r="I53" s="8" t="s">
        <v>169</v>
      </c>
      <c r="J53" s="8" t="s">
        <v>169</v>
      </c>
      <c r="K53" s="8" t="s">
        <v>169</v>
      </c>
      <c r="L53" s="8" t="s">
        <v>169</v>
      </c>
      <c r="M53" s="8" t="s">
        <v>169</v>
      </c>
      <c r="N53" s="8" t="s">
        <v>169</v>
      </c>
      <c r="O53" s="8" t="s">
        <v>169</v>
      </c>
      <c r="P53" s="8" t="s">
        <v>169</v>
      </c>
      <c r="Q53" s="8" t="s">
        <v>169</v>
      </c>
      <c r="R53" s="8" t="s">
        <v>169</v>
      </c>
      <c r="S53" s="8" t="s">
        <v>169</v>
      </c>
      <c r="T53" s="8" t="s">
        <v>169</v>
      </c>
      <c r="U53" s="8" t="s">
        <v>169</v>
      </c>
      <c r="V53" s="8" t="s">
        <v>169</v>
      </c>
      <c r="W53" s="8" t="s">
        <v>169</v>
      </c>
      <c r="X53" s="8" t="s">
        <v>169</v>
      </c>
      <c r="Y53" s="8">
        <v>695</v>
      </c>
      <c r="Z53" s="8">
        <v>782</v>
      </c>
      <c r="AA53" s="8">
        <v>938</v>
      </c>
      <c r="AB53" s="8">
        <v>840</v>
      </c>
      <c r="AC53" s="8">
        <v>779</v>
      </c>
      <c r="AD53" s="8">
        <v>822</v>
      </c>
      <c r="AE53" s="8">
        <v>1002</v>
      </c>
      <c r="AF53" s="9">
        <v>904</v>
      </c>
      <c r="AG53" s="8">
        <v>989</v>
      </c>
    </row>
    <row r="54" spans="1:33" ht="15.75" x14ac:dyDescent="0.25">
      <c r="A54" s="7" t="s">
        <v>172</v>
      </c>
      <c r="B54" s="8" t="s">
        <v>169</v>
      </c>
      <c r="C54" s="8" t="s">
        <v>169</v>
      </c>
      <c r="D54" s="8" t="s">
        <v>169</v>
      </c>
      <c r="E54" s="8" t="s">
        <v>169</v>
      </c>
      <c r="F54" s="8" t="s">
        <v>169</v>
      </c>
      <c r="G54" s="8" t="s">
        <v>169</v>
      </c>
      <c r="H54" s="8" t="s">
        <v>169</v>
      </c>
      <c r="I54" s="8" t="s">
        <v>169</v>
      </c>
      <c r="J54" s="8" t="s">
        <v>169</v>
      </c>
      <c r="K54" s="8" t="s">
        <v>169</v>
      </c>
      <c r="L54" s="8" t="s">
        <v>169</v>
      </c>
      <c r="M54" s="8" t="s">
        <v>169</v>
      </c>
      <c r="N54" s="8" t="s">
        <v>169</v>
      </c>
      <c r="O54" s="8" t="s">
        <v>169</v>
      </c>
      <c r="P54" s="8" t="s">
        <v>169</v>
      </c>
      <c r="Q54" s="8" t="s">
        <v>169</v>
      </c>
      <c r="R54" s="8" t="s">
        <v>169</v>
      </c>
      <c r="S54" s="8" t="s">
        <v>169</v>
      </c>
      <c r="T54" s="8" t="s">
        <v>169</v>
      </c>
      <c r="U54" s="8" t="s">
        <v>169</v>
      </c>
      <c r="V54" s="8" t="s">
        <v>169</v>
      </c>
      <c r="W54" s="8" t="s">
        <v>169</v>
      </c>
      <c r="X54" s="8" t="s">
        <v>169</v>
      </c>
      <c r="Y54" s="8">
        <v>64</v>
      </c>
      <c r="Z54" s="8">
        <v>54</v>
      </c>
      <c r="AA54" s="8">
        <v>41</v>
      </c>
      <c r="AB54" s="8">
        <v>54</v>
      </c>
      <c r="AC54" s="8">
        <v>364</v>
      </c>
      <c r="AD54" s="8">
        <v>282</v>
      </c>
      <c r="AE54" s="8">
        <v>359</v>
      </c>
      <c r="AF54" s="9">
        <v>310</v>
      </c>
      <c r="AG54" s="8">
        <v>287</v>
      </c>
    </row>
    <row r="55" spans="1:33" ht="15.75" x14ac:dyDescent="0.25">
      <c r="A55" s="7" t="s">
        <v>173</v>
      </c>
      <c r="B55" s="8" t="s">
        <v>169</v>
      </c>
      <c r="C55" s="8" t="s">
        <v>169</v>
      </c>
      <c r="D55" s="8" t="s">
        <v>169</v>
      </c>
      <c r="E55" s="8" t="s">
        <v>169</v>
      </c>
      <c r="F55" s="8" t="s">
        <v>169</v>
      </c>
      <c r="G55" s="8" t="s">
        <v>169</v>
      </c>
      <c r="H55" s="8" t="s">
        <v>169</v>
      </c>
      <c r="I55" s="8" t="s">
        <v>169</v>
      </c>
      <c r="J55" s="8" t="s">
        <v>169</v>
      </c>
      <c r="K55" s="8" t="s">
        <v>169</v>
      </c>
      <c r="L55" s="8" t="s">
        <v>169</v>
      </c>
      <c r="M55" s="8" t="s">
        <v>169</v>
      </c>
      <c r="N55" s="8" t="s">
        <v>169</v>
      </c>
      <c r="O55" s="8" t="s">
        <v>169</v>
      </c>
      <c r="P55" s="8" t="s">
        <v>169</v>
      </c>
      <c r="Q55" s="8" t="s">
        <v>169</v>
      </c>
      <c r="R55" s="8" t="s">
        <v>169</v>
      </c>
      <c r="S55" s="8" t="s">
        <v>169</v>
      </c>
      <c r="T55" s="8" t="s">
        <v>169</v>
      </c>
      <c r="U55" s="8" t="s">
        <v>169</v>
      </c>
      <c r="V55" s="8" t="s">
        <v>169</v>
      </c>
      <c r="W55" s="8" t="s">
        <v>169</v>
      </c>
      <c r="X55" s="8" t="s">
        <v>169</v>
      </c>
      <c r="Y55" s="8">
        <v>81</v>
      </c>
      <c r="Z55" s="8">
        <v>70</v>
      </c>
      <c r="AA55" s="8">
        <v>136</v>
      </c>
      <c r="AB55" s="8">
        <v>199</v>
      </c>
      <c r="AC55" s="8">
        <v>150</v>
      </c>
      <c r="AD55" s="8">
        <v>103</v>
      </c>
      <c r="AE55" s="8">
        <v>203</v>
      </c>
      <c r="AF55" s="9">
        <v>152</v>
      </c>
      <c r="AG55" s="8">
        <v>182</v>
      </c>
    </row>
    <row r="56" spans="1:33" ht="30" customHeight="1" x14ac:dyDescent="0.25">
      <c r="A56" s="4" t="s">
        <v>1476</v>
      </c>
      <c r="B56" s="5" t="s">
        <v>169</v>
      </c>
      <c r="C56" s="5" t="s">
        <v>169</v>
      </c>
      <c r="D56" s="5" t="s">
        <v>169</v>
      </c>
      <c r="E56" s="5" t="s">
        <v>169</v>
      </c>
      <c r="F56" s="5" t="s">
        <v>169</v>
      </c>
      <c r="G56" s="5" t="s">
        <v>169</v>
      </c>
      <c r="H56" s="5" t="s">
        <v>169</v>
      </c>
      <c r="I56" s="5" t="s">
        <v>169</v>
      </c>
      <c r="J56" s="5" t="s">
        <v>169</v>
      </c>
      <c r="K56" s="5" t="s">
        <v>169</v>
      </c>
      <c r="L56" s="5" t="s">
        <v>169</v>
      </c>
      <c r="M56" s="5" t="s">
        <v>169</v>
      </c>
      <c r="N56" s="5" t="s">
        <v>169</v>
      </c>
      <c r="O56" s="5" t="s">
        <v>169</v>
      </c>
      <c r="P56" s="5" t="s">
        <v>169</v>
      </c>
      <c r="Q56" s="5" t="s">
        <v>169</v>
      </c>
      <c r="R56" s="5" t="s">
        <v>169</v>
      </c>
      <c r="S56" s="5" t="s">
        <v>169</v>
      </c>
      <c r="T56" s="5" t="s">
        <v>169</v>
      </c>
      <c r="U56" s="5" t="s">
        <v>169</v>
      </c>
      <c r="V56" s="5" t="s">
        <v>169</v>
      </c>
      <c r="W56" s="5" t="s">
        <v>169</v>
      </c>
      <c r="X56" s="5" t="s">
        <v>169</v>
      </c>
      <c r="Y56" s="5">
        <v>1347</v>
      </c>
      <c r="Z56" s="5">
        <v>1043</v>
      </c>
      <c r="AA56" s="5">
        <v>847</v>
      </c>
      <c r="AB56" s="5">
        <v>743</v>
      </c>
      <c r="AC56" s="5">
        <v>623</v>
      </c>
      <c r="AD56" s="5">
        <v>815</v>
      </c>
      <c r="AE56" s="5">
        <v>613</v>
      </c>
      <c r="AF56" s="6">
        <v>805</v>
      </c>
      <c r="AG56" s="5">
        <v>585</v>
      </c>
    </row>
    <row r="57" spans="1:33" ht="15.75" x14ac:dyDescent="0.25">
      <c r="A57" s="7" t="s">
        <v>174</v>
      </c>
      <c r="B57" s="8" t="s">
        <v>169</v>
      </c>
      <c r="C57" s="8" t="s">
        <v>169</v>
      </c>
      <c r="D57" s="8" t="s">
        <v>169</v>
      </c>
      <c r="E57" s="8" t="s">
        <v>169</v>
      </c>
      <c r="F57" s="8" t="s">
        <v>169</v>
      </c>
      <c r="G57" s="8" t="s">
        <v>169</v>
      </c>
      <c r="H57" s="8" t="s">
        <v>169</v>
      </c>
      <c r="I57" s="8" t="s">
        <v>169</v>
      </c>
      <c r="J57" s="8" t="s">
        <v>169</v>
      </c>
      <c r="K57" s="8" t="s">
        <v>169</v>
      </c>
      <c r="L57" s="8" t="s">
        <v>169</v>
      </c>
      <c r="M57" s="8" t="s">
        <v>169</v>
      </c>
      <c r="N57" s="8" t="s">
        <v>169</v>
      </c>
      <c r="O57" s="8" t="s">
        <v>169</v>
      </c>
      <c r="P57" s="8" t="s">
        <v>169</v>
      </c>
      <c r="Q57" s="8" t="s">
        <v>169</v>
      </c>
      <c r="R57" s="8" t="s">
        <v>169</v>
      </c>
      <c r="S57" s="8" t="s">
        <v>169</v>
      </c>
      <c r="T57" s="8" t="s">
        <v>169</v>
      </c>
      <c r="U57" s="8" t="s">
        <v>169</v>
      </c>
      <c r="V57" s="8" t="s">
        <v>169</v>
      </c>
      <c r="W57" s="8" t="s">
        <v>169</v>
      </c>
      <c r="X57" s="8" t="s">
        <v>169</v>
      </c>
      <c r="Y57" s="8">
        <v>895</v>
      </c>
      <c r="Z57" s="8">
        <v>627</v>
      </c>
      <c r="AA57" s="8">
        <v>385</v>
      </c>
      <c r="AB57" s="8">
        <v>301</v>
      </c>
      <c r="AC57" s="8">
        <v>108</v>
      </c>
      <c r="AD57" s="8">
        <v>122</v>
      </c>
      <c r="AE57" s="8">
        <v>127</v>
      </c>
      <c r="AF57" s="9">
        <v>114</v>
      </c>
      <c r="AG57" s="8">
        <v>126</v>
      </c>
    </row>
    <row r="58" spans="1:33" ht="15.75" x14ac:dyDescent="0.25">
      <c r="A58" s="7" t="s">
        <v>175</v>
      </c>
      <c r="B58" s="8" t="s">
        <v>169</v>
      </c>
      <c r="C58" s="8" t="s">
        <v>169</v>
      </c>
      <c r="D58" s="8" t="s">
        <v>169</v>
      </c>
      <c r="E58" s="8" t="s">
        <v>169</v>
      </c>
      <c r="F58" s="8" t="s">
        <v>169</v>
      </c>
      <c r="G58" s="8" t="s">
        <v>169</v>
      </c>
      <c r="H58" s="8" t="s">
        <v>169</v>
      </c>
      <c r="I58" s="8" t="s">
        <v>169</v>
      </c>
      <c r="J58" s="8" t="s">
        <v>169</v>
      </c>
      <c r="K58" s="8" t="s">
        <v>169</v>
      </c>
      <c r="L58" s="8" t="s">
        <v>169</v>
      </c>
      <c r="M58" s="8" t="s">
        <v>169</v>
      </c>
      <c r="N58" s="8" t="s">
        <v>169</v>
      </c>
      <c r="O58" s="8" t="s">
        <v>169</v>
      </c>
      <c r="P58" s="8" t="s">
        <v>169</v>
      </c>
      <c r="Q58" s="8" t="s">
        <v>169</v>
      </c>
      <c r="R58" s="8" t="s">
        <v>169</v>
      </c>
      <c r="S58" s="8" t="s">
        <v>169</v>
      </c>
      <c r="T58" s="8" t="s">
        <v>169</v>
      </c>
      <c r="U58" s="8" t="s">
        <v>169</v>
      </c>
      <c r="V58" s="8" t="s">
        <v>169</v>
      </c>
      <c r="W58" s="8" t="s">
        <v>169</v>
      </c>
      <c r="X58" s="8" t="s">
        <v>169</v>
      </c>
      <c r="Y58" s="8">
        <v>492</v>
      </c>
      <c r="Z58" s="8">
        <v>430</v>
      </c>
      <c r="AA58" s="8">
        <v>467</v>
      </c>
      <c r="AB58" s="8">
        <v>455</v>
      </c>
      <c r="AC58" s="8">
        <v>522</v>
      </c>
      <c r="AD58" s="8">
        <v>705</v>
      </c>
      <c r="AE58" s="8">
        <v>493</v>
      </c>
      <c r="AF58" s="9">
        <v>698</v>
      </c>
      <c r="AG58" s="8">
        <v>462</v>
      </c>
    </row>
    <row r="59" spans="1:33" ht="30" customHeight="1" x14ac:dyDescent="0.25">
      <c r="A59" s="10" t="s">
        <v>146</v>
      </c>
      <c r="B59" s="11" t="s">
        <v>169</v>
      </c>
      <c r="C59" s="11" t="s">
        <v>169</v>
      </c>
      <c r="D59" s="11" t="s">
        <v>169</v>
      </c>
      <c r="E59" s="11" t="s">
        <v>169</v>
      </c>
      <c r="F59" s="11" t="s">
        <v>169</v>
      </c>
      <c r="G59" s="11" t="s">
        <v>169</v>
      </c>
      <c r="H59" s="11" t="s">
        <v>169</v>
      </c>
      <c r="I59" s="11" t="s">
        <v>169</v>
      </c>
      <c r="J59" s="11" t="s">
        <v>169</v>
      </c>
      <c r="K59" s="11" t="s">
        <v>169</v>
      </c>
      <c r="L59" s="11" t="s">
        <v>169</v>
      </c>
      <c r="M59" s="11" t="s">
        <v>169</v>
      </c>
      <c r="N59" s="11" t="s">
        <v>169</v>
      </c>
      <c r="O59" s="11" t="s">
        <v>169</v>
      </c>
      <c r="P59" s="11" t="s">
        <v>169</v>
      </c>
      <c r="Q59" s="11" t="s">
        <v>169</v>
      </c>
      <c r="R59" s="11" t="s">
        <v>169</v>
      </c>
      <c r="S59" s="11" t="s">
        <v>169</v>
      </c>
      <c r="T59" s="11" t="s">
        <v>169</v>
      </c>
      <c r="U59" s="11" t="s">
        <v>169</v>
      </c>
      <c r="V59" s="11" t="s">
        <v>169</v>
      </c>
      <c r="W59" s="11" t="s">
        <v>169</v>
      </c>
      <c r="X59" s="11" t="s">
        <v>169</v>
      </c>
      <c r="Y59" s="11">
        <v>17171</v>
      </c>
      <c r="Z59" s="11">
        <v>25725</v>
      </c>
      <c r="AA59" s="11">
        <v>34163</v>
      </c>
      <c r="AB59" s="11">
        <v>33734</v>
      </c>
      <c r="AC59" s="11">
        <v>31183</v>
      </c>
      <c r="AD59" s="11">
        <v>30847</v>
      </c>
      <c r="AE59" s="11">
        <v>31532</v>
      </c>
      <c r="AF59" s="12">
        <v>31799</v>
      </c>
      <c r="AG59" s="11">
        <v>31791</v>
      </c>
    </row>
    <row r="60" spans="1:33" ht="35.25" customHeight="1" x14ac:dyDescent="0.25">
      <c r="A60" s="4" t="s">
        <v>1486</v>
      </c>
      <c r="B60" s="5" t="s">
        <v>169</v>
      </c>
      <c r="C60" s="5" t="s">
        <v>169</v>
      </c>
      <c r="D60" s="5" t="s">
        <v>169</v>
      </c>
      <c r="E60" s="5" t="s">
        <v>169</v>
      </c>
      <c r="F60" s="5" t="s">
        <v>169</v>
      </c>
      <c r="G60" s="5" t="s">
        <v>169</v>
      </c>
      <c r="H60" s="5" t="s">
        <v>169</v>
      </c>
      <c r="I60" s="5" t="s">
        <v>169</v>
      </c>
      <c r="J60" s="5" t="s">
        <v>169</v>
      </c>
      <c r="K60" s="5" t="s">
        <v>169</v>
      </c>
      <c r="L60" s="5" t="s">
        <v>169</v>
      </c>
      <c r="M60" s="5" t="s">
        <v>169</v>
      </c>
      <c r="N60" s="5" t="s">
        <v>169</v>
      </c>
      <c r="O60" s="5" t="s">
        <v>169</v>
      </c>
      <c r="P60" s="5" t="s">
        <v>169</v>
      </c>
      <c r="Q60" s="5" t="s">
        <v>169</v>
      </c>
      <c r="R60" s="5" t="s">
        <v>169</v>
      </c>
      <c r="S60" s="5" t="s">
        <v>169</v>
      </c>
      <c r="T60" s="5" t="s">
        <v>169</v>
      </c>
      <c r="U60" s="5" t="s">
        <v>169</v>
      </c>
      <c r="V60" s="5" t="s">
        <v>169</v>
      </c>
      <c r="W60" s="5" t="s">
        <v>169</v>
      </c>
      <c r="X60" s="5" t="s">
        <v>169</v>
      </c>
      <c r="Y60" s="5">
        <v>9486</v>
      </c>
      <c r="Z60" s="5">
        <v>9410</v>
      </c>
      <c r="AA60" s="5">
        <v>9874</v>
      </c>
      <c r="AB60" s="5">
        <v>9088</v>
      </c>
      <c r="AC60" s="5">
        <v>7693</v>
      </c>
      <c r="AD60" s="5">
        <v>7755</v>
      </c>
      <c r="AE60" s="5">
        <v>8268</v>
      </c>
      <c r="AF60" s="6">
        <v>8055</v>
      </c>
      <c r="AG60" s="812">
        <v>8226</v>
      </c>
    </row>
    <row r="61" spans="1:33" ht="30" customHeight="1" x14ac:dyDescent="0.25">
      <c r="A61" s="10" t="s">
        <v>146</v>
      </c>
      <c r="B61" s="11" t="s">
        <v>169</v>
      </c>
      <c r="C61" s="11" t="s">
        <v>169</v>
      </c>
      <c r="D61" s="11" t="s">
        <v>169</v>
      </c>
      <c r="E61" s="11" t="s">
        <v>169</v>
      </c>
      <c r="F61" s="11" t="s">
        <v>169</v>
      </c>
      <c r="G61" s="11" t="s">
        <v>169</v>
      </c>
      <c r="H61" s="11" t="s">
        <v>169</v>
      </c>
      <c r="I61" s="11" t="s">
        <v>169</v>
      </c>
      <c r="J61" s="11" t="s">
        <v>169</v>
      </c>
      <c r="K61" s="11" t="s">
        <v>169</v>
      </c>
      <c r="L61" s="11" t="s">
        <v>169</v>
      </c>
      <c r="M61" s="11" t="s">
        <v>169</v>
      </c>
      <c r="N61" s="11" t="s">
        <v>169</v>
      </c>
      <c r="O61" s="11" t="s">
        <v>169</v>
      </c>
      <c r="P61" s="11" t="s">
        <v>169</v>
      </c>
      <c r="Q61" s="11" t="s">
        <v>169</v>
      </c>
      <c r="R61" s="11" t="s">
        <v>169</v>
      </c>
      <c r="S61" s="11" t="s">
        <v>169</v>
      </c>
      <c r="T61" s="11" t="s">
        <v>169</v>
      </c>
      <c r="U61" s="11" t="s">
        <v>169</v>
      </c>
      <c r="V61" s="11" t="s">
        <v>169</v>
      </c>
      <c r="W61" s="11" t="s">
        <v>169</v>
      </c>
      <c r="X61" s="11" t="s">
        <v>169</v>
      </c>
      <c r="Y61" s="11">
        <v>17171</v>
      </c>
      <c r="Z61" s="11">
        <v>25725</v>
      </c>
      <c r="AA61" s="11">
        <v>34163</v>
      </c>
      <c r="AB61" s="11">
        <v>33734</v>
      </c>
      <c r="AC61" s="11">
        <v>31183</v>
      </c>
      <c r="AD61" s="11">
        <v>30847</v>
      </c>
      <c r="AE61" s="11">
        <v>31532</v>
      </c>
      <c r="AF61" s="12">
        <v>31799</v>
      </c>
      <c r="AG61" s="11">
        <v>31791</v>
      </c>
    </row>
  </sheetData>
  <hyperlinks>
    <hyperlink ref="A6" location="'Notes_A1 to A4'!A1" display="Link to Notes page." xr:uid="{00000000-0004-0000-1100-000000000000}"/>
    <hyperlink ref="A4" location=" 'Table of contents'!A1" display="Link to Table of contents." xr:uid="{00000000-0004-0000-1100-000001000000}"/>
  </hyperlinks>
  <pageMargins left="0.7" right="0.7" top="0.75" bottom="0.75" header="0.3" footer="0.3"/>
  <pageSetup paperSize="9"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W56"/>
  <sheetViews>
    <sheetView showGridLines="0" workbookViewId="0"/>
  </sheetViews>
  <sheetFormatPr defaultRowHeight="15" customHeight="1" x14ac:dyDescent="0.25"/>
  <cols>
    <col min="1" max="1" width="105.7109375" customWidth="1"/>
    <col min="2" max="49" width="16.7109375" customWidth="1"/>
  </cols>
  <sheetData>
    <row r="1" spans="1:49" ht="20.100000000000001" customHeight="1" x14ac:dyDescent="0.25">
      <c r="A1" s="836" t="s">
        <v>1487</v>
      </c>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4"/>
      <c r="AM1" s="124"/>
      <c r="AN1" s="124"/>
      <c r="AO1" s="124"/>
      <c r="AP1" s="124"/>
      <c r="AQ1" s="124"/>
      <c r="AR1" s="124"/>
      <c r="AS1" s="124"/>
      <c r="AT1" s="124"/>
      <c r="AU1" s="124"/>
      <c r="AV1" s="124"/>
      <c r="AW1" s="124"/>
    </row>
    <row r="2" spans="1:49" ht="20.100000000000001" customHeight="1" x14ac:dyDescent="0.25">
      <c r="A2" s="185" t="s">
        <v>176</v>
      </c>
      <c r="B2" s="124"/>
      <c r="C2" s="124"/>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c r="AH2" s="124"/>
      <c r="AI2" s="124"/>
      <c r="AJ2" s="124"/>
      <c r="AK2" s="124"/>
      <c r="AL2" s="124"/>
      <c r="AM2" s="124"/>
      <c r="AN2" s="124"/>
      <c r="AO2" s="124"/>
      <c r="AP2" s="124"/>
      <c r="AQ2" s="124"/>
      <c r="AR2" s="124"/>
      <c r="AS2" s="124"/>
      <c r="AT2" s="124"/>
      <c r="AU2" s="124"/>
      <c r="AV2" s="124"/>
      <c r="AW2" s="124"/>
    </row>
    <row r="3" spans="1:49" ht="20.100000000000001" customHeight="1" x14ac:dyDescent="0.25">
      <c r="A3" s="1" t="s">
        <v>177</v>
      </c>
      <c r="B3" s="124"/>
      <c r="C3" s="124"/>
      <c r="D3" s="124"/>
      <c r="E3" s="124"/>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c r="AH3" s="124"/>
      <c r="AI3" s="124"/>
      <c r="AJ3" s="124"/>
      <c r="AK3" s="124"/>
      <c r="AL3" s="124"/>
      <c r="AM3" s="124"/>
      <c r="AN3" s="124"/>
      <c r="AO3" s="124"/>
      <c r="AP3" s="124"/>
      <c r="AQ3" s="124"/>
      <c r="AR3" s="124"/>
      <c r="AS3" s="124"/>
      <c r="AT3" s="124"/>
      <c r="AU3" s="124"/>
      <c r="AV3" s="124"/>
      <c r="AW3" s="124"/>
    </row>
    <row r="4" spans="1:49" ht="20.100000000000001" customHeight="1" x14ac:dyDescent="0.25">
      <c r="A4" s="2" t="s">
        <v>97</v>
      </c>
      <c r="B4" s="124"/>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c r="AH4" s="124"/>
      <c r="AI4" s="124"/>
      <c r="AJ4" s="124"/>
      <c r="AK4" s="124"/>
      <c r="AL4" s="124"/>
      <c r="AM4" s="124"/>
      <c r="AN4" s="124"/>
      <c r="AO4" s="124"/>
      <c r="AP4" s="124"/>
      <c r="AQ4" s="124"/>
      <c r="AR4" s="124"/>
      <c r="AS4" s="124"/>
      <c r="AT4" s="124"/>
      <c r="AU4" s="124"/>
      <c r="AV4" s="124"/>
      <c r="AW4" s="124"/>
    </row>
    <row r="5" spans="1:49" ht="20.100000000000001" customHeight="1" x14ac:dyDescent="0.25">
      <c r="A5" s="1" t="s">
        <v>98</v>
      </c>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c r="AG5" s="124"/>
      <c r="AH5" s="124"/>
      <c r="AI5" s="124"/>
      <c r="AJ5" s="124"/>
      <c r="AK5" s="124"/>
      <c r="AL5" s="124"/>
      <c r="AM5" s="124"/>
      <c r="AN5" s="124"/>
      <c r="AO5" s="124"/>
      <c r="AP5" s="124"/>
      <c r="AQ5" s="124"/>
      <c r="AR5" s="124"/>
      <c r="AS5" s="124"/>
      <c r="AT5" s="124"/>
      <c r="AU5" s="124"/>
      <c r="AV5" s="124"/>
      <c r="AW5" s="124"/>
    </row>
    <row r="6" spans="1:49" ht="20.100000000000001" customHeight="1" x14ac:dyDescent="0.25">
      <c r="A6" s="2" t="s">
        <v>99</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4"/>
      <c r="AH6" s="124"/>
      <c r="AI6" s="124"/>
      <c r="AJ6" s="124"/>
      <c r="AK6" s="124"/>
      <c r="AL6" s="124"/>
      <c r="AM6" s="124"/>
      <c r="AN6" s="124"/>
      <c r="AO6" s="124"/>
      <c r="AP6" s="124"/>
      <c r="AQ6" s="124"/>
      <c r="AR6" s="124"/>
      <c r="AS6" s="124"/>
      <c r="AT6" s="124"/>
      <c r="AU6" s="124"/>
      <c r="AV6" s="124"/>
      <c r="AW6" s="124"/>
    </row>
    <row r="7" spans="1:49" ht="20.100000000000001" customHeight="1" x14ac:dyDescent="0.25">
      <c r="A7" s="1" t="s">
        <v>100</v>
      </c>
      <c r="B7" s="124"/>
      <c r="C7" s="124"/>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c r="AG7" s="124"/>
      <c r="AH7" s="124"/>
      <c r="AI7" s="124"/>
      <c r="AJ7" s="124"/>
      <c r="AK7" s="124"/>
      <c r="AL7" s="124"/>
      <c r="AM7" s="124"/>
      <c r="AN7" s="124"/>
      <c r="AO7" s="124"/>
      <c r="AP7" s="124"/>
      <c r="AQ7" s="124"/>
      <c r="AR7" s="124"/>
      <c r="AS7" s="124"/>
      <c r="AT7" s="124"/>
      <c r="AU7" s="124"/>
      <c r="AV7" s="124"/>
      <c r="AW7" s="124"/>
    </row>
    <row r="8" spans="1:49" ht="80.099999999999994" customHeight="1" x14ac:dyDescent="0.25">
      <c r="A8" s="31" t="s">
        <v>101</v>
      </c>
      <c r="B8" s="99" t="s">
        <v>178</v>
      </c>
      <c r="C8" s="99" t="s">
        <v>179</v>
      </c>
      <c r="D8" s="99" t="s">
        <v>180</v>
      </c>
      <c r="E8" s="99" t="s">
        <v>181</v>
      </c>
      <c r="F8" s="99" t="s">
        <v>182</v>
      </c>
      <c r="G8" s="99" t="s">
        <v>183</v>
      </c>
      <c r="H8" s="99" t="s">
        <v>184</v>
      </c>
      <c r="I8" s="99" t="s">
        <v>185</v>
      </c>
      <c r="J8" s="99" t="s">
        <v>186</v>
      </c>
      <c r="K8" s="99" t="s">
        <v>187</v>
      </c>
      <c r="L8" s="99" t="s">
        <v>188</v>
      </c>
      <c r="M8" s="99" t="s">
        <v>189</v>
      </c>
      <c r="N8" s="99" t="s">
        <v>190</v>
      </c>
      <c r="O8" s="99" t="s">
        <v>191</v>
      </c>
      <c r="P8" s="99" t="s">
        <v>192</v>
      </c>
      <c r="Q8" s="99" t="s">
        <v>193</v>
      </c>
      <c r="R8" s="99" t="s">
        <v>194</v>
      </c>
      <c r="S8" s="99" t="s">
        <v>195</v>
      </c>
      <c r="T8" s="99" t="s">
        <v>196</v>
      </c>
      <c r="U8" s="99" t="s">
        <v>197</v>
      </c>
      <c r="V8" s="99" t="s">
        <v>198</v>
      </c>
      <c r="W8" s="99" t="s">
        <v>199</v>
      </c>
      <c r="X8" s="99" t="s">
        <v>200</v>
      </c>
      <c r="Y8" s="99" t="s">
        <v>201</v>
      </c>
      <c r="Z8" s="99" t="s">
        <v>202</v>
      </c>
      <c r="AA8" s="99" t="s">
        <v>203</v>
      </c>
      <c r="AB8" s="99" t="s">
        <v>204</v>
      </c>
      <c r="AC8" s="99" t="s">
        <v>205</v>
      </c>
      <c r="AD8" s="99" t="s">
        <v>206</v>
      </c>
      <c r="AE8" s="99" t="s">
        <v>207</v>
      </c>
      <c r="AF8" s="99" t="s">
        <v>208</v>
      </c>
      <c r="AG8" s="99" t="s">
        <v>209</v>
      </c>
      <c r="AH8" s="99" t="s">
        <v>210</v>
      </c>
      <c r="AI8" s="99" t="s">
        <v>211</v>
      </c>
      <c r="AJ8" s="99" t="s">
        <v>212</v>
      </c>
      <c r="AK8" s="99" t="s">
        <v>213</v>
      </c>
      <c r="AL8" s="99" t="s">
        <v>214</v>
      </c>
      <c r="AM8" s="99" t="s">
        <v>215</v>
      </c>
      <c r="AN8" s="99" t="s">
        <v>216</v>
      </c>
      <c r="AO8" s="99" t="s">
        <v>217</v>
      </c>
      <c r="AP8" s="99" t="s">
        <v>218</v>
      </c>
      <c r="AQ8" s="99" t="s">
        <v>219</v>
      </c>
      <c r="AR8" s="99" t="s">
        <v>220</v>
      </c>
      <c r="AS8" s="99" t="s">
        <v>221</v>
      </c>
      <c r="AT8" s="99" t="s">
        <v>222</v>
      </c>
      <c r="AU8" s="99" t="s">
        <v>223</v>
      </c>
      <c r="AV8" s="99" t="s">
        <v>224</v>
      </c>
      <c r="AW8" s="99" t="s">
        <v>225</v>
      </c>
    </row>
    <row r="9" spans="1:49" ht="15.75" x14ac:dyDescent="0.25">
      <c r="A9" s="4" t="s">
        <v>134</v>
      </c>
      <c r="B9" s="5">
        <v>-64.608087486547078</v>
      </c>
      <c r="C9" s="5" t="s">
        <v>226</v>
      </c>
      <c r="D9" s="5">
        <v>-62.224725134669043</v>
      </c>
      <c r="E9" s="5" t="s">
        <v>226</v>
      </c>
      <c r="F9" s="5">
        <v>-58.765023274158217</v>
      </c>
      <c r="G9" s="5" t="s">
        <v>226</v>
      </c>
      <c r="H9" s="5">
        <v>-50.016221843944592</v>
      </c>
      <c r="I9" s="5" t="s">
        <v>226</v>
      </c>
      <c r="J9" s="5">
        <v>-49.629879290903467</v>
      </c>
      <c r="K9" s="5" t="s">
        <v>226</v>
      </c>
      <c r="L9" s="5">
        <v>-51.315730842671691</v>
      </c>
      <c r="M9" s="5" t="s">
        <v>226</v>
      </c>
      <c r="N9" s="5">
        <v>-44.390668076214723</v>
      </c>
      <c r="O9" s="5" t="s">
        <v>226</v>
      </c>
      <c r="P9" s="5">
        <v>-41.918413037672167</v>
      </c>
      <c r="Q9" s="5" t="s">
        <v>226</v>
      </c>
      <c r="R9" s="5">
        <v>-47.734233203094007</v>
      </c>
      <c r="S9" s="5" t="s">
        <v>226</v>
      </c>
      <c r="T9" s="5">
        <v>-42.143815716617908</v>
      </c>
      <c r="U9" s="5" t="s">
        <v>226</v>
      </c>
      <c r="V9" s="5">
        <v>-42.107961233418969</v>
      </c>
      <c r="W9" s="5" t="s">
        <v>226</v>
      </c>
      <c r="X9" s="5">
        <v>-36.467250613335032</v>
      </c>
      <c r="Y9" s="5" t="s">
        <v>226</v>
      </c>
      <c r="Z9" s="5">
        <v>-43.204069501173272</v>
      </c>
      <c r="AA9" s="5" t="s">
        <v>226</v>
      </c>
      <c r="AB9" s="5">
        <v>-39.134170600128932</v>
      </c>
      <c r="AC9" s="5" t="s">
        <v>226</v>
      </c>
      <c r="AD9" s="5">
        <v>-31.422810147498549</v>
      </c>
      <c r="AE9" s="5" t="s">
        <v>226</v>
      </c>
      <c r="AF9" s="5">
        <v>-18.839733203378369</v>
      </c>
      <c r="AG9" s="5" t="s">
        <v>226</v>
      </c>
      <c r="AH9" s="5">
        <v>-16.75464859956249</v>
      </c>
      <c r="AI9" s="5" t="s">
        <v>226</v>
      </c>
      <c r="AJ9" s="5">
        <v>-17.8771939801378</v>
      </c>
      <c r="AK9" s="5" t="s">
        <v>226</v>
      </c>
      <c r="AL9" s="5">
        <v>-12.50554677190819</v>
      </c>
      <c r="AM9" s="5"/>
      <c r="AN9" s="5">
        <v>-16.66205277823223</v>
      </c>
      <c r="AO9" s="5" t="s">
        <v>226</v>
      </c>
      <c r="AP9" s="5">
        <v>-16.276185889254659</v>
      </c>
      <c r="AQ9" s="5" t="s">
        <v>226</v>
      </c>
      <c r="AR9" s="5">
        <v>-11.43056243280661</v>
      </c>
      <c r="AS9" s="5"/>
      <c r="AT9" s="5">
        <v>10.164378890992801</v>
      </c>
      <c r="AU9" s="5"/>
      <c r="AV9" s="6">
        <v>-1.706348668186275</v>
      </c>
      <c r="AW9" s="5"/>
    </row>
    <row r="10" spans="1:49" ht="15.75" x14ac:dyDescent="0.25">
      <c r="A10" s="7" t="s">
        <v>266</v>
      </c>
      <c r="B10" s="8">
        <v>-77.846819825251373</v>
      </c>
      <c r="C10" s="8" t="s">
        <v>226</v>
      </c>
      <c r="D10" s="8">
        <v>-76.921257153266694</v>
      </c>
      <c r="E10" s="8" t="s">
        <v>226</v>
      </c>
      <c r="F10" s="8">
        <v>-74.418104918418777</v>
      </c>
      <c r="G10" s="8" t="s">
        <v>226</v>
      </c>
      <c r="H10" s="8">
        <v>-67.679506134458904</v>
      </c>
      <c r="I10" s="8" t="s">
        <v>226</v>
      </c>
      <c r="J10" s="8">
        <v>-67.341124770632192</v>
      </c>
      <c r="K10" s="8" t="s">
        <v>226</v>
      </c>
      <c r="L10" s="8">
        <v>-68.067397704846783</v>
      </c>
      <c r="M10" s="8" t="s">
        <v>226</v>
      </c>
      <c r="N10" s="8">
        <v>-64.685140911158797</v>
      </c>
      <c r="O10" s="8" t="s">
        <v>226</v>
      </c>
      <c r="P10" s="8">
        <v>-62.073913071511001</v>
      </c>
      <c r="Q10" s="8" t="s">
        <v>226</v>
      </c>
      <c r="R10" s="8">
        <v>-65.123142293050122</v>
      </c>
      <c r="S10" s="8" t="s">
        <v>226</v>
      </c>
      <c r="T10" s="8">
        <v>-59.649139524876688</v>
      </c>
      <c r="U10" s="8" t="s">
        <v>226</v>
      </c>
      <c r="V10" s="8">
        <v>-61.049614587128268</v>
      </c>
      <c r="W10" s="8" t="s">
        <v>226</v>
      </c>
      <c r="X10" s="8">
        <v>-56.836583251970652</v>
      </c>
      <c r="Y10" s="8" t="s">
        <v>226</v>
      </c>
      <c r="Z10" s="8">
        <v>-62.961042966455807</v>
      </c>
      <c r="AA10" s="8" t="s">
        <v>226</v>
      </c>
      <c r="AB10" s="8">
        <v>-58.00276220070559</v>
      </c>
      <c r="AC10" s="8" t="s">
        <v>226</v>
      </c>
      <c r="AD10" s="8">
        <v>-55.815089144937161</v>
      </c>
      <c r="AE10" s="8" t="s">
        <v>226</v>
      </c>
      <c r="AF10" s="8">
        <v>-41.455248169604353</v>
      </c>
      <c r="AG10" s="8" t="s">
        <v>226</v>
      </c>
      <c r="AH10" s="8">
        <v>-38.628566849000357</v>
      </c>
      <c r="AI10" s="8" t="s">
        <v>226</v>
      </c>
      <c r="AJ10" s="8">
        <v>-37.597389992965446</v>
      </c>
      <c r="AK10" s="8" t="s">
        <v>226</v>
      </c>
      <c r="AL10" s="8">
        <v>-30.025931046765539</v>
      </c>
      <c r="AM10" s="8" t="s">
        <v>226</v>
      </c>
      <c r="AN10" s="8">
        <v>-37.914072428629318</v>
      </c>
      <c r="AO10" s="8" t="s">
        <v>226</v>
      </c>
      <c r="AP10" s="8">
        <v>-38.81791010392844</v>
      </c>
      <c r="AQ10" s="8" t="s">
        <v>226</v>
      </c>
      <c r="AR10" s="8">
        <v>-31.20819701299434</v>
      </c>
      <c r="AS10" s="8" t="s">
        <v>226</v>
      </c>
      <c r="AT10" s="8">
        <v>-7.7175794753127853</v>
      </c>
      <c r="AU10" s="8"/>
      <c r="AV10" s="9">
        <v>-21.344300999702821</v>
      </c>
      <c r="AW10" s="8"/>
    </row>
    <row r="11" spans="1:49" ht="15.75" x14ac:dyDescent="0.25">
      <c r="A11" s="7" t="s">
        <v>267</v>
      </c>
      <c r="B11" s="8">
        <v>-75.640205656051066</v>
      </c>
      <c r="C11" s="8" t="s">
        <v>226</v>
      </c>
      <c r="D11" s="8">
        <v>-74.626254373169516</v>
      </c>
      <c r="E11" s="8" t="s">
        <v>226</v>
      </c>
      <c r="F11" s="8">
        <v>-70.258521608368667</v>
      </c>
      <c r="G11" s="8" t="s">
        <v>226</v>
      </c>
      <c r="H11" s="8">
        <v>-69.753511438072977</v>
      </c>
      <c r="I11" s="8" t="s">
        <v>226</v>
      </c>
      <c r="J11" s="8">
        <v>-73.529548759240996</v>
      </c>
      <c r="K11" s="8" t="s">
        <v>226</v>
      </c>
      <c r="L11" s="8">
        <v>-74.260123387867111</v>
      </c>
      <c r="M11" s="8" t="s">
        <v>226</v>
      </c>
      <c r="N11" s="8">
        <v>-70.524435784838346</v>
      </c>
      <c r="O11" s="8" t="s">
        <v>226</v>
      </c>
      <c r="P11" s="8">
        <v>-66.752641684189101</v>
      </c>
      <c r="Q11" s="8" t="s">
        <v>226</v>
      </c>
      <c r="R11" s="8">
        <v>-70.200851175391392</v>
      </c>
      <c r="S11" s="8" t="s">
        <v>226</v>
      </c>
      <c r="T11" s="8">
        <v>-63.969309932770393</v>
      </c>
      <c r="U11" s="8" t="s">
        <v>226</v>
      </c>
      <c r="V11" s="8">
        <v>-65.061676085576849</v>
      </c>
      <c r="W11" s="8" t="s">
        <v>226</v>
      </c>
      <c r="X11" s="8">
        <v>-62.968206194449671</v>
      </c>
      <c r="Y11" s="8" t="s">
        <v>226</v>
      </c>
      <c r="Z11" s="8">
        <v>-66.789681695589238</v>
      </c>
      <c r="AA11" s="8" t="s">
        <v>226</v>
      </c>
      <c r="AB11" s="8">
        <v>-67.563447793475802</v>
      </c>
      <c r="AC11" s="8" t="s">
        <v>226</v>
      </c>
      <c r="AD11" s="8">
        <v>-59.905101034403849</v>
      </c>
      <c r="AE11" s="8" t="s">
        <v>226</v>
      </c>
      <c r="AF11" s="8">
        <v>-50.019995207331213</v>
      </c>
      <c r="AG11" s="8" t="s">
        <v>226</v>
      </c>
      <c r="AH11" s="8">
        <v>-41.775019022183038</v>
      </c>
      <c r="AI11" s="8" t="s">
        <v>226</v>
      </c>
      <c r="AJ11" s="8">
        <v>-47.162801805012521</v>
      </c>
      <c r="AK11" s="8" t="s">
        <v>226</v>
      </c>
      <c r="AL11" s="8">
        <v>-37.542892669610893</v>
      </c>
      <c r="AM11" s="8" t="s">
        <v>226</v>
      </c>
      <c r="AN11" s="8">
        <v>-33.061792179789748</v>
      </c>
      <c r="AO11" s="8" t="s">
        <v>226</v>
      </c>
      <c r="AP11" s="8">
        <v>-49.030105490808708</v>
      </c>
      <c r="AQ11" s="8" t="s">
        <v>226</v>
      </c>
      <c r="AR11" s="8">
        <v>-42.077247133974574</v>
      </c>
      <c r="AS11" s="8" t="s">
        <v>226</v>
      </c>
      <c r="AT11" s="8">
        <v>7.1524528663095666</v>
      </c>
      <c r="AU11" s="8"/>
      <c r="AV11" s="9">
        <v>-19.216363118669491</v>
      </c>
      <c r="AW11" s="8"/>
    </row>
    <row r="12" spans="1:49" ht="15.75" x14ac:dyDescent="0.25">
      <c r="A12" s="7" t="s">
        <v>268</v>
      </c>
      <c r="B12" s="8">
        <v>-78.947687653269739</v>
      </c>
      <c r="C12" s="8" t="s">
        <v>226</v>
      </c>
      <c r="D12" s="8">
        <v>-78.024260379216145</v>
      </c>
      <c r="E12" s="8" t="s">
        <v>226</v>
      </c>
      <c r="F12" s="8">
        <v>-76.818547255120876</v>
      </c>
      <c r="G12" s="8" t="s">
        <v>226</v>
      </c>
      <c r="H12" s="8">
        <v>-64.449058857639642</v>
      </c>
      <c r="I12" s="8" t="s">
        <v>226</v>
      </c>
      <c r="J12" s="8">
        <v>-57.72824639822052</v>
      </c>
      <c r="K12" s="8" t="s">
        <v>226</v>
      </c>
      <c r="L12" s="8">
        <v>-58.73349053349294</v>
      </c>
      <c r="M12" s="8" t="s">
        <v>226</v>
      </c>
      <c r="N12" s="8">
        <v>-56.954282565837147</v>
      </c>
      <c r="O12" s="8" t="s">
        <v>226</v>
      </c>
      <c r="P12" s="8">
        <v>-55.389971768041967</v>
      </c>
      <c r="Q12" s="8" t="s">
        <v>226</v>
      </c>
      <c r="R12" s="8">
        <v>-58.937763036052061</v>
      </c>
      <c r="S12" s="8" t="s">
        <v>226</v>
      </c>
      <c r="T12" s="8">
        <v>-52.297068133440739</v>
      </c>
      <c r="U12" s="8" t="s">
        <v>226</v>
      </c>
      <c r="V12" s="8">
        <v>-54.419313085322237</v>
      </c>
      <c r="W12" s="8" t="s">
        <v>226</v>
      </c>
      <c r="X12" s="8">
        <v>-47.559188368616198</v>
      </c>
      <c r="Y12" s="8" t="s">
        <v>226</v>
      </c>
      <c r="Z12" s="8">
        <v>-57.245759499058281</v>
      </c>
      <c r="AA12" s="8" t="s">
        <v>226</v>
      </c>
      <c r="AB12" s="8">
        <v>-41.862016981388358</v>
      </c>
      <c r="AC12" s="8" t="s">
        <v>226</v>
      </c>
      <c r="AD12" s="8">
        <v>-48.466392465274552</v>
      </c>
      <c r="AE12" s="8" t="s">
        <v>226</v>
      </c>
      <c r="AF12" s="8">
        <v>-26.5915714950713</v>
      </c>
      <c r="AG12" s="8"/>
      <c r="AH12" s="8">
        <v>-30.365062853153791</v>
      </c>
      <c r="AI12" s="8" t="s">
        <v>226</v>
      </c>
      <c r="AJ12" s="8">
        <v>-20.931527953099678</v>
      </c>
      <c r="AK12" s="8"/>
      <c r="AL12" s="8">
        <v>-15.878596064777071</v>
      </c>
      <c r="AM12" s="8"/>
      <c r="AN12" s="8">
        <v>-37.464685982655602</v>
      </c>
      <c r="AO12" s="8" t="s">
        <v>226</v>
      </c>
      <c r="AP12" s="8">
        <v>-20.635028435650149</v>
      </c>
      <c r="AQ12" s="8"/>
      <c r="AR12" s="8">
        <v>-14.384462281181669</v>
      </c>
      <c r="AS12" s="8"/>
      <c r="AT12" s="8">
        <v>-9.4237475092022081</v>
      </c>
      <c r="AU12" s="8"/>
      <c r="AV12" s="9">
        <v>-14.530723606530371</v>
      </c>
      <c r="AW12" s="8"/>
    </row>
    <row r="13" spans="1:49" ht="15.75" x14ac:dyDescent="0.25">
      <c r="A13" s="7" t="s">
        <v>269</v>
      </c>
      <c r="B13" s="8">
        <v>-50.512828414922197</v>
      </c>
      <c r="C13" s="8" t="s">
        <v>226</v>
      </c>
      <c r="D13" s="8">
        <v>-42.190233587704419</v>
      </c>
      <c r="E13" s="8" t="s">
        <v>226</v>
      </c>
      <c r="F13" s="8">
        <v>-39.577156792610417</v>
      </c>
      <c r="G13" s="8" t="s">
        <v>226</v>
      </c>
      <c r="H13" s="8">
        <v>-31.672212610601669</v>
      </c>
      <c r="I13" s="8" t="s">
        <v>226</v>
      </c>
      <c r="J13" s="8">
        <v>-32.758840833219139</v>
      </c>
      <c r="K13" s="8" t="s">
        <v>226</v>
      </c>
      <c r="L13" s="8">
        <v>-33.643068780028592</v>
      </c>
      <c r="M13" s="8" t="s">
        <v>226</v>
      </c>
      <c r="N13" s="8">
        <v>-21.108933418942559</v>
      </c>
      <c r="O13" s="8" t="s">
        <v>226</v>
      </c>
      <c r="P13" s="8">
        <v>-19.131510006815649</v>
      </c>
      <c r="Q13" s="8" t="s">
        <v>226</v>
      </c>
      <c r="R13" s="8">
        <v>-29.571068991962331</v>
      </c>
      <c r="S13" s="8" t="s">
        <v>226</v>
      </c>
      <c r="T13" s="8">
        <v>-27.290946155861072</v>
      </c>
      <c r="U13" s="8" t="s">
        <v>226</v>
      </c>
      <c r="V13" s="8">
        <v>-22.759755777790641</v>
      </c>
      <c r="W13" s="8" t="s">
        <v>226</v>
      </c>
      <c r="X13" s="8">
        <v>-16.534904967247421</v>
      </c>
      <c r="Y13" s="8"/>
      <c r="Z13" s="8">
        <v>-19.294032204528701</v>
      </c>
      <c r="AA13" s="8" t="s">
        <v>226</v>
      </c>
      <c r="AB13" s="8">
        <v>-19.373481337302049</v>
      </c>
      <c r="AC13" s="8" t="s">
        <v>226</v>
      </c>
      <c r="AD13" s="8">
        <v>-2.7916239976474189</v>
      </c>
      <c r="AE13" s="8"/>
      <c r="AF13" s="8">
        <v>1.0350483447587819</v>
      </c>
      <c r="AG13" s="8"/>
      <c r="AH13" s="8">
        <v>3.7808311055158579</v>
      </c>
      <c r="AI13" s="8"/>
      <c r="AJ13" s="8">
        <v>-0.17697585633884569</v>
      </c>
      <c r="AK13" s="8"/>
      <c r="AL13" s="8">
        <v>0.14075564253646089</v>
      </c>
      <c r="AM13" s="8"/>
      <c r="AN13" s="8">
        <v>1.6411325483878689</v>
      </c>
      <c r="AO13" s="8"/>
      <c r="AP13" s="8">
        <v>2.0773131232819648</v>
      </c>
      <c r="AQ13" s="8"/>
      <c r="AR13" s="8">
        <v>3.6448880827584458</v>
      </c>
      <c r="AS13" s="8"/>
      <c r="AT13" s="8">
        <v>20.70110321070295</v>
      </c>
      <c r="AU13" s="8"/>
      <c r="AV13" s="9">
        <v>17.09323042671587</v>
      </c>
      <c r="AW13" s="8"/>
    </row>
    <row r="14" spans="1:49" ht="30" customHeight="1" x14ac:dyDescent="0.25">
      <c r="A14" s="4" t="s">
        <v>270</v>
      </c>
      <c r="B14" s="5">
        <v>-76.659736301122777</v>
      </c>
      <c r="C14" s="5" t="s">
        <v>226</v>
      </c>
      <c r="D14" s="5">
        <v>-78.705868576505083</v>
      </c>
      <c r="E14" s="5" t="s">
        <v>226</v>
      </c>
      <c r="F14" s="5">
        <v>-73.267278117174598</v>
      </c>
      <c r="G14" s="5" t="s">
        <v>226</v>
      </c>
      <c r="H14" s="5">
        <v>-72.641056659076369</v>
      </c>
      <c r="I14" s="5" t="s">
        <v>226</v>
      </c>
      <c r="J14" s="5">
        <v>-75.294512194759079</v>
      </c>
      <c r="K14" s="5" t="s">
        <v>226</v>
      </c>
      <c r="L14" s="5">
        <v>-73.929529274003286</v>
      </c>
      <c r="M14" s="5" t="s">
        <v>226</v>
      </c>
      <c r="N14" s="5">
        <v>-71.040300647592218</v>
      </c>
      <c r="O14" s="5" t="s">
        <v>226</v>
      </c>
      <c r="P14" s="5">
        <v>-73.437024003449096</v>
      </c>
      <c r="Q14" s="5" t="s">
        <v>226</v>
      </c>
      <c r="R14" s="5">
        <v>-73.210301270834364</v>
      </c>
      <c r="S14" s="5" t="s">
        <v>226</v>
      </c>
      <c r="T14" s="5">
        <v>-72.19805843302349</v>
      </c>
      <c r="U14" s="5" t="s">
        <v>226</v>
      </c>
      <c r="V14" s="5">
        <v>-72.906043699431549</v>
      </c>
      <c r="W14" s="5" t="s">
        <v>226</v>
      </c>
      <c r="X14" s="5">
        <v>-74.324340681157537</v>
      </c>
      <c r="Y14" s="5" t="s">
        <v>226</v>
      </c>
      <c r="Z14" s="5">
        <v>-68.363020558032829</v>
      </c>
      <c r="AA14" s="5" t="s">
        <v>226</v>
      </c>
      <c r="AB14" s="5">
        <v>-70.268430981443259</v>
      </c>
      <c r="AC14" s="5" t="s">
        <v>226</v>
      </c>
      <c r="AD14" s="5">
        <v>-60.459424125321263</v>
      </c>
      <c r="AE14" s="5" t="s">
        <v>226</v>
      </c>
      <c r="AF14" s="5">
        <v>-55.371593845782698</v>
      </c>
      <c r="AG14" s="5" t="s">
        <v>226</v>
      </c>
      <c r="AH14" s="5">
        <v>-26.35686503116343</v>
      </c>
      <c r="AI14" s="5"/>
      <c r="AJ14" s="5">
        <v>-50.646401694982018</v>
      </c>
      <c r="AK14" s="5" t="s">
        <v>226</v>
      </c>
      <c r="AL14" s="5">
        <v>-41.221764294675467</v>
      </c>
      <c r="AM14" s="5" t="s">
        <v>226</v>
      </c>
      <c r="AN14" s="5">
        <v>-53.098549862799203</v>
      </c>
      <c r="AO14" s="5" t="s">
        <v>226</v>
      </c>
      <c r="AP14" s="5">
        <v>-62.822211944522287</v>
      </c>
      <c r="AQ14" s="5" t="s">
        <v>226</v>
      </c>
      <c r="AR14" s="5">
        <v>-47.524543181248447</v>
      </c>
      <c r="AS14" s="5" t="s">
        <v>226</v>
      </c>
      <c r="AT14" s="5">
        <v>-8.6958018361027012</v>
      </c>
      <c r="AU14" s="5"/>
      <c r="AV14" s="6">
        <v>-43.923501744286561</v>
      </c>
      <c r="AW14" s="5" t="s">
        <v>226</v>
      </c>
    </row>
    <row r="15" spans="1:49" ht="30" customHeight="1" x14ac:dyDescent="0.25">
      <c r="A15" s="4" t="s">
        <v>271</v>
      </c>
      <c r="B15" s="5">
        <v>-72.029919946610363</v>
      </c>
      <c r="C15" s="5" t="s">
        <v>226</v>
      </c>
      <c r="D15" s="5">
        <v>-67.992565885285401</v>
      </c>
      <c r="E15" s="5" t="s">
        <v>226</v>
      </c>
      <c r="F15" s="5">
        <v>-63.118164550452093</v>
      </c>
      <c r="G15" s="5" t="s">
        <v>226</v>
      </c>
      <c r="H15" s="5">
        <v>-57.375775269853648</v>
      </c>
      <c r="I15" s="5" t="s">
        <v>226</v>
      </c>
      <c r="J15" s="5">
        <v>-55.902327855054317</v>
      </c>
      <c r="K15" s="5" t="s">
        <v>226</v>
      </c>
      <c r="L15" s="5">
        <v>-53.403432490567518</v>
      </c>
      <c r="M15" s="5" t="s">
        <v>226</v>
      </c>
      <c r="N15" s="5">
        <v>-48.378129488027888</v>
      </c>
      <c r="O15" s="5" t="s">
        <v>226</v>
      </c>
      <c r="P15" s="5">
        <v>-45.854294427017336</v>
      </c>
      <c r="Q15" s="5" t="s">
        <v>226</v>
      </c>
      <c r="R15" s="5">
        <v>-48.729982264320171</v>
      </c>
      <c r="S15" s="5" t="s">
        <v>226</v>
      </c>
      <c r="T15" s="5">
        <v>-42.716218991098387</v>
      </c>
      <c r="U15" s="5" t="s">
        <v>226</v>
      </c>
      <c r="V15" s="5">
        <v>-47.262957401697307</v>
      </c>
      <c r="W15" s="5" t="s">
        <v>226</v>
      </c>
      <c r="X15" s="5">
        <v>-42.900427588041843</v>
      </c>
      <c r="Y15" s="5" t="s">
        <v>226</v>
      </c>
      <c r="Z15" s="5">
        <v>-44.634108456681602</v>
      </c>
      <c r="AA15" s="5" t="s">
        <v>226</v>
      </c>
      <c r="AB15" s="5">
        <v>-46.333887770849067</v>
      </c>
      <c r="AC15" s="5" t="s">
        <v>226</v>
      </c>
      <c r="AD15" s="5">
        <v>-39.701154631974212</v>
      </c>
      <c r="AE15" s="5" t="s">
        <v>226</v>
      </c>
      <c r="AF15" s="5">
        <v>-35.729076037811197</v>
      </c>
      <c r="AG15" s="5" t="s">
        <v>226</v>
      </c>
      <c r="AH15" s="5">
        <v>-31.53517199172537</v>
      </c>
      <c r="AI15" s="5" t="s">
        <v>226</v>
      </c>
      <c r="AJ15" s="5">
        <v>-26.509661876110709</v>
      </c>
      <c r="AK15" s="5" t="s">
        <v>226</v>
      </c>
      <c r="AL15" s="5">
        <v>-18.770499459536499</v>
      </c>
      <c r="AM15" s="5" t="s">
        <v>226</v>
      </c>
      <c r="AN15" s="5">
        <v>-24.68573176805943</v>
      </c>
      <c r="AO15" s="5" t="s">
        <v>226</v>
      </c>
      <c r="AP15" s="5">
        <v>-27.742287358213371</v>
      </c>
      <c r="AQ15" s="5" t="s">
        <v>226</v>
      </c>
      <c r="AR15" s="5">
        <v>-19.220246477350571</v>
      </c>
      <c r="AS15" s="5" t="s">
        <v>226</v>
      </c>
      <c r="AT15" s="5">
        <v>3.0176985121666E-2</v>
      </c>
      <c r="AU15" s="5"/>
      <c r="AV15" s="6">
        <v>0.1671801476827994</v>
      </c>
      <c r="AW15" s="5"/>
    </row>
    <row r="16" spans="1:49" ht="30" customHeight="1" x14ac:dyDescent="0.25">
      <c r="A16" s="4" t="s">
        <v>272</v>
      </c>
      <c r="B16" s="5">
        <v>-37.717660976755027</v>
      </c>
      <c r="C16" s="5" t="s">
        <v>226</v>
      </c>
      <c r="D16" s="5">
        <v>-26.00289843601956</v>
      </c>
      <c r="E16" s="5" t="s">
        <v>226</v>
      </c>
      <c r="F16" s="5">
        <v>-28.63171093471577</v>
      </c>
      <c r="G16" s="5" t="s">
        <v>226</v>
      </c>
      <c r="H16" s="5">
        <v>-23.759668338976692</v>
      </c>
      <c r="I16" s="5" t="s">
        <v>226</v>
      </c>
      <c r="J16" s="5">
        <v>-32.31236408703586</v>
      </c>
      <c r="K16" s="5" t="s">
        <v>226</v>
      </c>
      <c r="L16" s="5">
        <v>-27.358389996629139</v>
      </c>
      <c r="M16" s="5" t="s">
        <v>226</v>
      </c>
      <c r="N16" s="5">
        <v>-21.857517496043819</v>
      </c>
      <c r="O16" s="5" t="s">
        <v>226</v>
      </c>
      <c r="P16" s="5">
        <v>-20.425235078508809</v>
      </c>
      <c r="Q16" s="5" t="s">
        <v>226</v>
      </c>
      <c r="R16" s="5">
        <v>-19.640685240540311</v>
      </c>
      <c r="S16" s="5" t="s">
        <v>226</v>
      </c>
      <c r="T16" s="5">
        <v>-22.582304912778159</v>
      </c>
      <c r="U16" s="5" t="s">
        <v>226</v>
      </c>
      <c r="V16" s="5">
        <v>-35.507704665309333</v>
      </c>
      <c r="W16" s="5" t="s">
        <v>226</v>
      </c>
      <c r="X16" s="5">
        <v>-16.187113446974411</v>
      </c>
      <c r="Y16" s="5"/>
      <c r="Z16" s="5">
        <v>-17.42241317362722</v>
      </c>
      <c r="AA16" s="5"/>
      <c r="AB16" s="5">
        <v>-27.963032505397202</v>
      </c>
      <c r="AC16" s="5" t="s">
        <v>226</v>
      </c>
      <c r="AD16" s="5">
        <v>-19.254693638500051</v>
      </c>
      <c r="AE16" s="5"/>
      <c r="AF16" s="5">
        <v>-21.946188356505282</v>
      </c>
      <c r="AG16" s="5" t="s">
        <v>226</v>
      </c>
      <c r="AH16" s="5">
        <v>-0.2427192943879608</v>
      </c>
      <c r="AI16" s="5"/>
      <c r="AJ16" s="5">
        <v>20.25043045717074</v>
      </c>
      <c r="AK16" s="5"/>
      <c r="AL16" s="5">
        <v>16.448806552774521</v>
      </c>
      <c r="AM16" s="5"/>
      <c r="AN16" s="5">
        <v>2.988281446008112</v>
      </c>
      <c r="AO16" s="5"/>
      <c r="AP16" s="5">
        <v>-1.2342766938455711E-2</v>
      </c>
      <c r="AQ16" s="5"/>
      <c r="AR16" s="5">
        <v>14.00510658525087</v>
      </c>
      <c r="AS16" s="5"/>
      <c r="AT16" s="5">
        <v>74.228987994552014</v>
      </c>
      <c r="AU16" s="5" t="s">
        <v>226</v>
      </c>
      <c r="AV16" s="6">
        <v>20.695922956188049</v>
      </c>
      <c r="AW16" s="5"/>
    </row>
    <row r="17" spans="1:49" ht="15.75" x14ac:dyDescent="0.25">
      <c r="A17" s="7" t="s">
        <v>273</v>
      </c>
      <c r="B17" s="8">
        <v>29.451016409501651</v>
      </c>
      <c r="C17" s="8"/>
      <c r="D17" s="8">
        <v>17.029320954272102</v>
      </c>
      <c r="E17" s="8"/>
      <c r="F17" s="8">
        <v>64.739701516067854</v>
      </c>
      <c r="G17" s="8"/>
      <c r="H17" s="8">
        <v>40.559826670060183</v>
      </c>
      <c r="I17" s="8"/>
      <c r="J17" s="8">
        <v>8.8254634473570412</v>
      </c>
      <c r="K17" s="8"/>
      <c r="L17" s="8">
        <v>-13.752444377866439</v>
      </c>
      <c r="M17" s="8"/>
      <c r="N17" s="8">
        <v>2.645983532241392</v>
      </c>
      <c r="O17" s="8"/>
      <c r="P17" s="8">
        <v>38.324130973219141</v>
      </c>
      <c r="Q17" s="8"/>
      <c r="R17" s="8">
        <v>42.370832850922383</v>
      </c>
      <c r="S17" s="8"/>
      <c r="T17" s="8">
        <v>21.17991874895289</v>
      </c>
      <c r="U17" s="8"/>
      <c r="V17" s="8">
        <v>4.3941288794554936</v>
      </c>
      <c r="W17" s="8"/>
      <c r="X17" s="8">
        <v>53.946247245862992</v>
      </c>
      <c r="Y17" s="8"/>
      <c r="Z17" s="8">
        <v>36.670547733819618</v>
      </c>
      <c r="AA17" s="8"/>
      <c r="AB17" s="8">
        <v>20.554744415228551</v>
      </c>
      <c r="AC17" s="8"/>
      <c r="AD17" s="8">
        <v>53.105513898849132</v>
      </c>
      <c r="AE17" s="8"/>
      <c r="AF17" s="8">
        <v>66.264842233841705</v>
      </c>
      <c r="AG17" s="8"/>
      <c r="AH17" s="8">
        <v>75.672059874891872</v>
      </c>
      <c r="AI17" s="8" t="s">
        <v>226</v>
      </c>
      <c r="AJ17" s="8">
        <v>151.53691531877851</v>
      </c>
      <c r="AK17" s="8" t="s">
        <v>226</v>
      </c>
      <c r="AL17" s="8">
        <v>153.9024142918434</v>
      </c>
      <c r="AM17" s="8" t="s">
        <v>226</v>
      </c>
      <c r="AN17" s="8">
        <v>62.630263902007989</v>
      </c>
      <c r="AO17" s="8"/>
      <c r="AP17" s="8">
        <v>61.641277249347112</v>
      </c>
      <c r="AQ17" s="8"/>
      <c r="AR17" s="8">
        <v>174.2071210812409</v>
      </c>
      <c r="AS17" s="8" t="s">
        <v>226</v>
      </c>
      <c r="AT17" s="8">
        <v>198.11951316120269</v>
      </c>
      <c r="AU17" s="8" t="s">
        <v>226</v>
      </c>
      <c r="AV17" s="9">
        <v>30.342063303674191</v>
      </c>
      <c r="AW17" s="8"/>
    </row>
    <row r="18" spans="1:49" ht="15.75" x14ac:dyDescent="0.25">
      <c r="A18" s="7" t="s">
        <v>274</v>
      </c>
      <c r="B18" s="8">
        <v>-57.111431473744908</v>
      </c>
      <c r="C18" s="8" t="s">
        <v>226</v>
      </c>
      <c r="D18" s="8">
        <v>-52.055898092184037</v>
      </c>
      <c r="E18" s="8" t="s">
        <v>226</v>
      </c>
      <c r="F18" s="8">
        <v>-51.891371553701561</v>
      </c>
      <c r="G18" s="8" t="s">
        <v>226</v>
      </c>
      <c r="H18" s="8">
        <v>-52.48531761608448</v>
      </c>
      <c r="I18" s="8" t="s">
        <v>226</v>
      </c>
      <c r="J18" s="8">
        <v>-56.56538933727203</v>
      </c>
      <c r="K18" s="8" t="s">
        <v>226</v>
      </c>
      <c r="L18" s="8">
        <v>-53.728309953370612</v>
      </c>
      <c r="M18" s="8" t="s">
        <v>226</v>
      </c>
      <c r="N18" s="8">
        <v>-44.278279958500477</v>
      </c>
      <c r="O18" s="8" t="s">
        <v>226</v>
      </c>
      <c r="P18" s="8">
        <v>-49.490195218403429</v>
      </c>
      <c r="Q18" s="8" t="s">
        <v>226</v>
      </c>
      <c r="R18" s="8">
        <v>-51.154715139144272</v>
      </c>
      <c r="S18" s="8" t="s">
        <v>226</v>
      </c>
      <c r="T18" s="8">
        <v>-51.775395530950533</v>
      </c>
      <c r="U18" s="8" t="s">
        <v>226</v>
      </c>
      <c r="V18" s="8">
        <v>-61.792375431329297</v>
      </c>
      <c r="W18" s="8" t="s">
        <v>226</v>
      </c>
      <c r="X18" s="8">
        <v>-47.550726066718198</v>
      </c>
      <c r="Y18" s="8" t="s">
        <v>226</v>
      </c>
      <c r="Z18" s="8">
        <v>-46.778948155719981</v>
      </c>
      <c r="AA18" s="8" t="s">
        <v>226</v>
      </c>
      <c r="AB18" s="8">
        <v>-50.865702130271671</v>
      </c>
      <c r="AC18" s="8" t="s">
        <v>226</v>
      </c>
      <c r="AD18" s="8">
        <v>-50.288039332813661</v>
      </c>
      <c r="AE18" s="8" t="s">
        <v>226</v>
      </c>
      <c r="AF18" s="8">
        <v>-47.939806828710651</v>
      </c>
      <c r="AG18" s="8" t="s">
        <v>226</v>
      </c>
      <c r="AH18" s="8">
        <v>-23.86746864891586</v>
      </c>
      <c r="AI18" s="8"/>
      <c r="AJ18" s="8">
        <v>-21.39717007759457</v>
      </c>
      <c r="AK18" s="8"/>
      <c r="AL18" s="8">
        <v>-18.66734763280531</v>
      </c>
      <c r="AM18" s="8"/>
      <c r="AN18" s="8">
        <v>-10.598866233492011</v>
      </c>
      <c r="AO18" s="8"/>
      <c r="AP18" s="8">
        <v>-21.379503521730371</v>
      </c>
      <c r="AQ18" s="8"/>
      <c r="AR18" s="8">
        <v>-21.024592805353141</v>
      </c>
      <c r="AS18" s="8"/>
      <c r="AT18" s="8">
        <v>38.669258144740162</v>
      </c>
      <c r="AU18" s="8"/>
      <c r="AV18" s="9">
        <v>14.93422749320588</v>
      </c>
      <c r="AW18" s="8"/>
    </row>
    <row r="19" spans="1:49" ht="15.75" x14ac:dyDescent="0.25">
      <c r="A19" s="7" t="s">
        <v>275</v>
      </c>
      <c r="B19" s="8">
        <v>-28.54820546141903</v>
      </c>
      <c r="C19" s="8"/>
      <c r="D19" s="8">
        <v>4.5181888402149104</v>
      </c>
      <c r="E19" s="8"/>
      <c r="F19" s="8">
        <v>-18.131168664330801</v>
      </c>
      <c r="G19" s="8"/>
      <c r="H19" s="8">
        <v>6.167625897974216</v>
      </c>
      <c r="I19" s="8"/>
      <c r="J19" s="8">
        <v>-7.5569896587274643</v>
      </c>
      <c r="K19" s="8"/>
      <c r="L19" s="8">
        <v>14.037092703334061</v>
      </c>
      <c r="M19" s="8"/>
      <c r="N19" s="8">
        <v>-1.7558876091392841</v>
      </c>
      <c r="O19" s="8"/>
      <c r="P19" s="8">
        <v>6.233171868881171</v>
      </c>
      <c r="Q19" s="8"/>
      <c r="R19" s="8">
        <v>18.146364521784019</v>
      </c>
      <c r="S19" s="8"/>
      <c r="T19" s="8">
        <v>16.32513713480428</v>
      </c>
      <c r="U19" s="8"/>
      <c r="V19" s="8">
        <v>7.4914109414374819</v>
      </c>
      <c r="W19" s="8"/>
      <c r="X19" s="8">
        <v>16.551399010659939</v>
      </c>
      <c r="Y19" s="8"/>
      <c r="Z19" s="8">
        <v>10.20343647257747</v>
      </c>
      <c r="AA19" s="8"/>
      <c r="AB19" s="8">
        <v>-12.969380629993029</v>
      </c>
      <c r="AC19" s="8"/>
      <c r="AD19" s="8">
        <v>17.122285852282879</v>
      </c>
      <c r="AE19" s="8"/>
      <c r="AF19" s="8">
        <v>-7.1055320389840197</v>
      </c>
      <c r="AG19" s="8"/>
      <c r="AH19" s="8">
        <v>2.245701014044799</v>
      </c>
      <c r="AI19" s="8"/>
      <c r="AJ19" s="8">
        <v>49.772939715838397</v>
      </c>
      <c r="AK19" s="8"/>
      <c r="AL19" s="8">
        <v>30.584274031398341</v>
      </c>
      <c r="AM19" s="8"/>
      <c r="AN19" s="8">
        <v>-2.070485717089054</v>
      </c>
      <c r="AO19" s="8"/>
      <c r="AP19" s="8">
        <v>1.170013040805951</v>
      </c>
      <c r="AQ19" s="8"/>
      <c r="AR19" s="8">
        <v>26.217211955178431</v>
      </c>
      <c r="AS19" s="8"/>
      <c r="AT19" s="8">
        <v>65.476159431110162</v>
      </c>
      <c r="AU19" s="8" t="s">
        <v>226</v>
      </c>
      <c r="AV19" s="9">
        <v>15.57540246859279</v>
      </c>
      <c r="AW19" s="8"/>
    </row>
    <row r="20" spans="1:49" ht="30" customHeight="1" x14ac:dyDescent="0.25">
      <c r="A20" s="819" t="s">
        <v>276</v>
      </c>
      <c r="B20" s="820">
        <v>-77.929977095315294</v>
      </c>
      <c r="C20" s="820" t="s">
        <v>226</v>
      </c>
      <c r="D20" s="820">
        <v>-76.74173750995395</v>
      </c>
      <c r="E20" s="820" t="s">
        <v>226</v>
      </c>
      <c r="F20" s="820">
        <v>-71.398671853239975</v>
      </c>
      <c r="G20" s="820" t="s">
        <v>226</v>
      </c>
      <c r="H20" s="820">
        <v>-67.940476207682522</v>
      </c>
      <c r="I20" s="820" t="s">
        <v>226</v>
      </c>
      <c r="J20" s="820">
        <v>-67.262109159842481</v>
      </c>
      <c r="K20" s="820" t="s">
        <v>226</v>
      </c>
      <c r="L20" s="820">
        <v>-65.867175281173715</v>
      </c>
      <c r="M20" s="820" t="s">
        <v>226</v>
      </c>
      <c r="N20" s="820">
        <v>-61.103824389753463</v>
      </c>
      <c r="O20" s="820" t="s">
        <v>226</v>
      </c>
      <c r="P20" s="820">
        <v>-63.344758155457242</v>
      </c>
      <c r="Q20" s="820" t="s">
        <v>226</v>
      </c>
      <c r="R20" s="820">
        <v>-61.71630014108289</v>
      </c>
      <c r="S20" s="820" t="s">
        <v>226</v>
      </c>
      <c r="T20" s="820">
        <v>-55.8713122987226</v>
      </c>
      <c r="U20" s="820" t="s">
        <v>226</v>
      </c>
      <c r="V20" s="820">
        <v>-59.866125692817278</v>
      </c>
      <c r="W20" s="820" t="s">
        <v>226</v>
      </c>
      <c r="X20" s="820">
        <v>-57.635567255668249</v>
      </c>
      <c r="Y20" s="820" t="s">
        <v>226</v>
      </c>
      <c r="Z20" s="820">
        <v>-56.498901571291377</v>
      </c>
      <c r="AA20" s="820" t="s">
        <v>226</v>
      </c>
      <c r="AB20" s="820">
        <v>-59.617734278591612</v>
      </c>
      <c r="AC20" s="820" t="s">
        <v>226</v>
      </c>
      <c r="AD20" s="820">
        <v>-56.512378769213647</v>
      </c>
      <c r="AE20" s="820" t="s">
        <v>226</v>
      </c>
      <c r="AF20" s="820">
        <v>-56.015362008572552</v>
      </c>
      <c r="AG20" s="820" t="s">
        <v>226</v>
      </c>
      <c r="AH20" s="820">
        <v>-41.683904225215777</v>
      </c>
      <c r="AI20" s="820" t="s">
        <v>226</v>
      </c>
      <c r="AJ20" s="820">
        <v>-45.735657486620738</v>
      </c>
      <c r="AK20" s="820" t="s">
        <v>226</v>
      </c>
      <c r="AL20" s="820">
        <v>-35.89661314443611</v>
      </c>
      <c r="AM20" s="820" t="s">
        <v>226</v>
      </c>
      <c r="AN20" s="820">
        <v>-36.605898624858149</v>
      </c>
      <c r="AO20" s="820" t="s">
        <v>226</v>
      </c>
      <c r="AP20" s="820">
        <v>-45.124336429808253</v>
      </c>
      <c r="AQ20" s="820" t="s">
        <v>226</v>
      </c>
      <c r="AR20" s="820">
        <v>-34.579693235348572</v>
      </c>
      <c r="AS20" s="820" t="s">
        <v>226</v>
      </c>
      <c r="AT20" s="820">
        <v>1.133131776025365</v>
      </c>
      <c r="AU20" s="820"/>
      <c r="AV20" s="821">
        <v>-3.3237920074286609</v>
      </c>
      <c r="AW20" s="820"/>
    </row>
    <row r="21" spans="1:49" ht="30" customHeight="1" x14ac:dyDescent="0.25">
      <c r="A21" s="4" t="s">
        <v>277</v>
      </c>
      <c r="B21" s="5">
        <v>-83.717249032409796</v>
      </c>
      <c r="C21" s="5" t="s">
        <v>226</v>
      </c>
      <c r="D21" s="5">
        <v>-81.505394714616443</v>
      </c>
      <c r="E21" s="5" t="s">
        <v>226</v>
      </c>
      <c r="F21" s="5">
        <v>-78.675563460229611</v>
      </c>
      <c r="G21" s="5" t="s">
        <v>226</v>
      </c>
      <c r="H21" s="5">
        <v>-73.734678370564026</v>
      </c>
      <c r="I21" s="5" t="s">
        <v>226</v>
      </c>
      <c r="J21" s="5">
        <v>-72.454826437992324</v>
      </c>
      <c r="K21" s="5" t="s">
        <v>226</v>
      </c>
      <c r="L21" s="5">
        <v>-71.035827801387441</v>
      </c>
      <c r="M21" s="5" t="s">
        <v>226</v>
      </c>
      <c r="N21" s="5">
        <v>-66.03722368465985</v>
      </c>
      <c r="O21" s="5" t="s">
        <v>226</v>
      </c>
      <c r="P21" s="5">
        <v>-63.033145105298892</v>
      </c>
      <c r="Q21" s="5" t="s">
        <v>226</v>
      </c>
      <c r="R21" s="5">
        <v>-64.709832985584754</v>
      </c>
      <c r="S21" s="5" t="s">
        <v>226</v>
      </c>
      <c r="T21" s="5">
        <v>-61.284158261970198</v>
      </c>
      <c r="U21" s="5" t="s">
        <v>226</v>
      </c>
      <c r="V21" s="5">
        <v>-62.954498652098621</v>
      </c>
      <c r="W21" s="5" t="s">
        <v>226</v>
      </c>
      <c r="X21" s="5">
        <v>-60.402607090456307</v>
      </c>
      <c r="Y21" s="5" t="s">
        <v>226</v>
      </c>
      <c r="Z21" s="5">
        <v>-64.528917723411666</v>
      </c>
      <c r="AA21" s="5" t="s">
        <v>226</v>
      </c>
      <c r="AB21" s="5">
        <v>-61.410466391379117</v>
      </c>
      <c r="AC21" s="5" t="s">
        <v>226</v>
      </c>
      <c r="AD21" s="5">
        <v>-58.330064084712347</v>
      </c>
      <c r="AE21" s="5" t="s">
        <v>226</v>
      </c>
      <c r="AF21" s="5">
        <v>-54.155096251741199</v>
      </c>
      <c r="AG21" s="5" t="s">
        <v>226</v>
      </c>
      <c r="AH21" s="5">
        <v>-54.879390475361788</v>
      </c>
      <c r="AI21" s="5" t="s">
        <v>226</v>
      </c>
      <c r="AJ21" s="5">
        <v>-47.634285673817189</v>
      </c>
      <c r="AK21" s="5" t="s">
        <v>226</v>
      </c>
      <c r="AL21" s="5">
        <v>-44.14202610145589</v>
      </c>
      <c r="AM21" s="5" t="s">
        <v>226</v>
      </c>
      <c r="AN21" s="5">
        <v>-49.588411848900691</v>
      </c>
      <c r="AO21" s="5" t="s">
        <v>226</v>
      </c>
      <c r="AP21" s="5">
        <v>-50.031204159949517</v>
      </c>
      <c r="AQ21" s="5" t="s">
        <v>226</v>
      </c>
      <c r="AR21" s="5">
        <v>-41.157168085247179</v>
      </c>
      <c r="AS21" s="5" t="s">
        <v>226</v>
      </c>
      <c r="AT21" s="5">
        <v>-13.31783386472771</v>
      </c>
      <c r="AU21" s="5"/>
      <c r="AV21" s="6">
        <v>-13.2429226174871</v>
      </c>
      <c r="AW21" s="5"/>
    </row>
    <row r="22" spans="1:49" ht="15.75" x14ac:dyDescent="0.25">
      <c r="A22" s="57" t="s">
        <v>148</v>
      </c>
      <c r="B22" s="8">
        <v>-85.977949582628526</v>
      </c>
      <c r="C22" s="8" t="s">
        <v>226</v>
      </c>
      <c r="D22" s="8">
        <v>-83.093008259872008</v>
      </c>
      <c r="E22" s="8" t="s">
        <v>226</v>
      </c>
      <c r="F22" s="8">
        <v>-81.481127270578796</v>
      </c>
      <c r="G22" s="8" t="s">
        <v>226</v>
      </c>
      <c r="H22" s="8">
        <v>-77.104081917767715</v>
      </c>
      <c r="I22" s="8" t="s">
        <v>226</v>
      </c>
      <c r="J22" s="8">
        <v>-76.565475206052611</v>
      </c>
      <c r="K22" s="8" t="s">
        <v>226</v>
      </c>
      <c r="L22" s="8">
        <v>-74.385329748646598</v>
      </c>
      <c r="M22" s="8" t="s">
        <v>226</v>
      </c>
      <c r="N22" s="8">
        <v>-71.612186251617231</v>
      </c>
      <c r="O22" s="8" t="s">
        <v>226</v>
      </c>
      <c r="P22" s="8">
        <v>-68.306087007059332</v>
      </c>
      <c r="Q22" s="8" t="s">
        <v>226</v>
      </c>
      <c r="R22" s="8">
        <v>-69.244237347809801</v>
      </c>
      <c r="S22" s="8" t="s">
        <v>226</v>
      </c>
      <c r="T22" s="8">
        <v>-65.753383126317345</v>
      </c>
      <c r="U22" s="8" t="s">
        <v>226</v>
      </c>
      <c r="V22" s="8">
        <v>-67.965361485757654</v>
      </c>
      <c r="W22" s="8" t="s">
        <v>226</v>
      </c>
      <c r="X22" s="8">
        <v>-66.362214053490689</v>
      </c>
      <c r="Y22" s="8" t="s">
        <v>226</v>
      </c>
      <c r="Z22" s="8">
        <v>-68.800587858869093</v>
      </c>
      <c r="AA22" s="8" t="s">
        <v>226</v>
      </c>
      <c r="AB22" s="8">
        <v>-66.792132427898849</v>
      </c>
      <c r="AC22" s="8" t="s">
        <v>226</v>
      </c>
      <c r="AD22" s="8">
        <v>-62.206185480756737</v>
      </c>
      <c r="AE22" s="8" t="s">
        <v>226</v>
      </c>
      <c r="AF22" s="8">
        <v>-59.134912597148492</v>
      </c>
      <c r="AG22" s="8" t="s">
        <v>226</v>
      </c>
      <c r="AH22" s="8">
        <v>-58.690580498070403</v>
      </c>
      <c r="AI22" s="8" t="s">
        <v>226</v>
      </c>
      <c r="AJ22" s="8">
        <v>-53.850358444056447</v>
      </c>
      <c r="AK22" s="8" t="s">
        <v>226</v>
      </c>
      <c r="AL22" s="8">
        <v>-50.73431766772152</v>
      </c>
      <c r="AM22" s="8" t="s">
        <v>226</v>
      </c>
      <c r="AN22" s="8">
        <v>-55.067252106187951</v>
      </c>
      <c r="AO22" s="8" t="s">
        <v>226</v>
      </c>
      <c r="AP22" s="8">
        <v>-55.296234395816747</v>
      </c>
      <c r="AQ22" s="8" t="s">
        <v>226</v>
      </c>
      <c r="AR22" s="8">
        <v>-44.597369579524333</v>
      </c>
      <c r="AS22" s="8" t="s">
        <v>226</v>
      </c>
      <c r="AT22" s="8">
        <v>-6.6898573839822344</v>
      </c>
      <c r="AU22" s="8"/>
      <c r="AV22" s="9">
        <v>-5.7748536398321786</v>
      </c>
      <c r="AW22" s="8"/>
    </row>
    <row r="23" spans="1:49" ht="15.75" x14ac:dyDescent="0.25">
      <c r="A23" s="58" t="s">
        <v>278</v>
      </c>
      <c r="B23" s="8">
        <v>-89.194892804790641</v>
      </c>
      <c r="C23" s="8" t="s">
        <v>226</v>
      </c>
      <c r="D23" s="8">
        <v>-87.581089922411763</v>
      </c>
      <c r="E23" s="8" t="s">
        <v>226</v>
      </c>
      <c r="F23" s="8">
        <v>-85.666750184659861</v>
      </c>
      <c r="G23" s="8" t="s">
        <v>226</v>
      </c>
      <c r="H23" s="8">
        <v>-81.127291539440208</v>
      </c>
      <c r="I23" s="8" t="s">
        <v>226</v>
      </c>
      <c r="J23" s="8">
        <v>-81.328065511576185</v>
      </c>
      <c r="K23" s="8" t="s">
        <v>226</v>
      </c>
      <c r="L23" s="8">
        <v>-80.481079005081781</v>
      </c>
      <c r="M23" s="8" t="s">
        <v>226</v>
      </c>
      <c r="N23" s="8">
        <v>-76.650161174682722</v>
      </c>
      <c r="O23" s="8" t="s">
        <v>226</v>
      </c>
      <c r="P23" s="8">
        <v>-74.557906082034876</v>
      </c>
      <c r="Q23" s="8" t="s">
        <v>226</v>
      </c>
      <c r="R23" s="8">
        <v>-75.688380382808035</v>
      </c>
      <c r="S23" s="8" t="s">
        <v>226</v>
      </c>
      <c r="T23" s="8">
        <v>-72.407716356897581</v>
      </c>
      <c r="U23" s="8" t="s">
        <v>226</v>
      </c>
      <c r="V23" s="8">
        <v>-74.320175091785018</v>
      </c>
      <c r="W23" s="8" t="s">
        <v>226</v>
      </c>
      <c r="X23" s="8">
        <v>-72.316958899918518</v>
      </c>
      <c r="Y23" s="8" t="s">
        <v>226</v>
      </c>
      <c r="Z23" s="8">
        <v>-73.10373513805645</v>
      </c>
      <c r="AA23" s="8" t="s">
        <v>226</v>
      </c>
      <c r="AB23" s="8">
        <v>-72.345766760396998</v>
      </c>
      <c r="AC23" s="8" t="s">
        <v>226</v>
      </c>
      <c r="AD23" s="8">
        <v>-69.015741714222827</v>
      </c>
      <c r="AE23" s="8" t="s">
        <v>226</v>
      </c>
      <c r="AF23" s="8">
        <v>-64.5190500252818</v>
      </c>
      <c r="AG23" s="8" t="s">
        <v>226</v>
      </c>
      <c r="AH23" s="8">
        <v>-64.925544792377849</v>
      </c>
      <c r="AI23" s="8" t="s">
        <v>226</v>
      </c>
      <c r="AJ23" s="8">
        <v>-60.479962035763293</v>
      </c>
      <c r="AK23" s="8" t="s">
        <v>226</v>
      </c>
      <c r="AL23" s="8">
        <v>-53.342841170737373</v>
      </c>
      <c r="AM23" s="8" t="s">
        <v>226</v>
      </c>
      <c r="AN23" s="8">
        <v>-61.396854439339421</v>
      </c>
      <c r="AO23" s="8" t="s">
        <v>226</v>
      </c>
      <c r="AP23" s="8">
        <v>-60.7301239217499</v>
      </c>
      <c r="AQ23" s="8" t="s">
        <v>226</v>
      </c>
      <c r="AR23" s="8">
        <v>-51.536962377504722</v>
      </c>
      <c r="AS23" s="8" t="s">
        <v>226</v>
      </c>
      <c r="AT23" s="8">
        <v>-13.728628328845041</v>
      </c>
      <c r="AU23" s="8"/>
      <c r="AV23" s="9">
        <v>-5.1509595884503989</v>
      </c>
      <c r="AW23" s="8"/>
    </row>
    <row r="24" spans="1:49" ht="15.75" x14ac:dyDescent="0.25">
      <c r="A24" s="58" t="s">
        <v>279</v>
      </c>
      <c r="B24" s="8">
        <v>-74.165671871914469</v>
      </c>
      <c r="C24" s="8" t="s">
        <v>226</v>
      </c>
      <c r="D24" s="8">
        <v>-63.898097338737259</v>
      </c>
      <c r="E24" s="8" t="s">
        <v>226</v>
      </c>
      <c r="F24" s="8">
        <v>-64.918723054898848</v>
      </c>
      <c r="G24" s="8" t="s">
        <v>226</v>
      </c>
      <c r="H24" s="8">
        <v>-65.358140213507625</v>
      </c>
      <c r="I24" s="8" t="s">
        <v>226</v>
      </c>
      <c r="J24" s="8">
        <v>-61.181568968283393</v>
      </c>
      <c r="K24" s="8" t="s">
        <v>226</v>
      </c>
      <c r="L24" s="8">
        <v>-51.926895260454089</v>
      </c>
      <c r="M24" s="8" t="s">
        <v>226</v>
      </c>
      <c r="N24" s="8">
        <v>-57.312281370039472</v>
      </c>
      <c r="O24" s="8" t="s">
        <v>226</v>
      </c>
      <c r="P24" s="8">
        <v>-50.055146304434729</v>
      </c>
      <c r="Q24" s="8" t="s">
        <v>226</v>
      </c>
      <c r="R24" s="8">
        <v>-47.342071187150161</v>
      </c>
      <c r="S24" s="8" t="s">
        <v>226</v>
      </c>
      <c r="T24" s="8">
        <v>-45.492534443264113</v>
      </c>
      <c r="U24" s="8" t="s">
        <v>226</v>
      </c>
      <c r="V24" s="8">
        <v>-46.862152469555149</v>
      </c>
      <c r="W24" s="8" t="s">
        <v>226</v>
      </c>
      <c r="X24" s="8">
        <v>-49.308501214380577</v>
      </c>
      <c r="Y24" s="8" t="s">
        <v>226</v>
      </c>
      <c r="Z24" s="8">
        <v>-58.746940635655861</v>
      </c>
      <c r="AA24" s="8" t="s">
        <v>226</v>
      </c>
      <c r="AB24" s="8">
        <v>-50.654984009690061</v>
      </c>
      <c r="AC24" s="8" t="s">
        <v>226</v>
      </c>
      <c r="AD24" s="8">
        <v>-42.90468626845135</v>
      </c>
      <c r="AE24" s="8" t="s">
        <v>226</v>
      </c>
      <c r="AF24" s="8">
        <v>-45.769833855238709</v>
      </c>
      <c r="AG24" s="8" t="s">
        <v>226</v>
      </c>
      <c r="AH24" s="8">
        <v>-42.463264019250303</v>
      </c>
      <c r="AI24" s="8" t="s">
        <v>226</v>
      </c>
      <c r="AJ24" s="8">
        <v>-36.582186736384578</v>
      </c>
      <c r="AK24" s="8" t="s">
        <v>226</v>
      </c>
      <c r="AL24" s="8">
        <v>-46.120613787863832</v>
      </c>
      <c r="AM24" s="8" t="s">
        <v>226</v>
      </c>
      <c r="AN24" s="8">
        <v>-39.708691600230893</v>
      </c>
      <c r="AO24" s="8" t="s">
        <v>226</v>
      </c>
      <c r="AP24" s="8">
        <v>-42.928283112177013</v>
      </c>
      <c r="AQ24" s="8" t="s">
        <v>226</v>
      </c>
      <c r="AR24" s="8">
        <v>-27.051194488112451</v>
      </c>
      <c r="AS24" s="8" t="s">
        <v>226</v>
      </c>
      <c r="AT24" s="8">
        <v>11.726952378843979</v>
      </c>
      <c r="AU24" s="8"/>
      <c r="AV24" s="9">
        <v>-4.9415753083645653</v>
      </c>
      <c r="AW24" s="8"/>
    </row>
    <row r="25" spans="1:49" ht="15.75" x14ac:dyDescent="0.25">
      <c r="A25" s="57" t="s">
        <v>151</v>
      </c>
      <c r="B25" s="8">
        <v>-81.524974761650654</v>
      </c>
      <c r="C25" s="8" t="s">
        <v>226</v>
      </c>
      <c r="D25" s="8">
        <v>-80.748209938462139</v>
      </c>
      <c r="E25" s="8" t="s">
        <v>226</v>
      </c>
      <c r="F25" s="8">
        <v>-75.714202289415638</v>
      </c>
      <c r="G25" s="8" t="s">
        <v>226</v>
      </c>
      <c r="H25" s="8">
        <v>-68.413331291107298</v>
      </c>
      <c r="I25" s="8" t="s">
        <v>226</v>
      </c>
      <c r="J25" s="8">
        <v>-66.470544608203852</v>
      </c>
      <c r="K25" s="8" t="s">
        <v>226</v>
      </c>
      <c r="L25" s="8">
        <v>-66.719611940733543</v>
      </c>
      <c r="M25" s="8" t="s">
        <v>226</v>
      </c>
      <c r="N25" s="8">
        <v>-56.240654965954903</v>
      </c>
      <c r="O25" s="8" t="s">
        <v>226</v>
      </c>
      <c r="P25" s="8">
        <v>-54.683217885206247</v>
      </c>
      <c r="Q25" s="8" t="s">
        <v>226</v>
      </c>
      <c r="R25" s="8">
        <v>-58.051798241586972</v>
      </c>
      <c r="S25" s="8" t="s">
        <v>226</v>
      </c>
      <c r="T25" s="8">
        <v>-54.567138739660876</v>
      </c>
      <c r="U25" s="8" t="s">
        <v>226</v>
      </c>
      <c r="V25" s="8">
        <v>-55.116199631716142</v>
      </c>
      <c r="W25" s="8" t="s">
        <v>226</v>
      </c>
      <c r="X25" s="8">
        <v>-50.873099945929432</v>
      </c>
      <c r="Y25" s="8" t="s">
        <v>226</v>
      </c>
      <c r="Z25" s="8">
        <v>-59.111201480066413</v>
      </c>
      <c r="AA25" s="8" t="s">
        <v>226</v>
      </c>
      <c r="AB25" s="8">
        <v>-52.703641211341001</v>
      </c>
      <c r="AC25" s="8" t="s">
        <v>226</v>
      </c>
      <c r="AD25" s="8">
        <v>-53.642758211311637</v>
      </c>
      <c r="AE25" s="8" t="s">
        <v>226</v>
      </c>
      <c r="AF25" s="8">
        <v>-46.459156167481112</v>
      </c>
      <c r="AG25" s="8" t="s">
        <v>226</v>
      </c>
      <c r="AH25" s="8">
        <v>-49.700311715655893</v>
      </c>
      <c r="AI25" s="8" t="s">
        <v>226</v>
      </c>
      <c r="AJ25" s="8">
        <v>-39.735417946177137</v>
      </c>
      <c r="AK25" s="8" t="s">
        <v>226</v>
      </c>
      <c r="AL25" s="8">
        <v>-32.900181131923063</v>
      </c>
      <c r="AM25" s="8" t="s">
        <v>226</v>
      </c>
      <c r="AN25" s="8">
        <v>-42.156379657560969</v>
      </c>
      <c r="AO25" s="8" t="s">
        <v>226</v>
      </c>
      <c r="AP25" s="8">
        <v>-41.801722066241183</v>
      </c>
      <c r="AQ25" s="8" t="s">
        <v>226</v>
      </c>
      <c r="AR25" s="8">
        <v>-37.191050482397529</v>
      </c>
      <c r="AS25" s="8" t="s">
        <v>226</v>
      </c>
      <c r="AT25" s="8">
        <v>-23.41046073425515</v>
      </c>
      <c r="AU25" s="8" t="s">
        <v>226</v>
      </c>
      <c r="AV25" s="9">
        <v>-22.01924177452161</v>
      </c>
      <c r="AW25" s="8" t="s">
        <v>226</v>
      </c>
    </row>
    <row r="26" spans="1:49" ht="25.5" customHeight="1" x14ac:dyDescent="0.25">
      <c r="A26" s="57" t="s">
        <v>152</v>
      </c>
      <c r="B26" s="8">
        <v>-84.187204401835075</v>
      </c>
      <c r="C26" s="8" t="s">
        <v>226</v>
      </c>
      <c r="D26" s="8">
        <v>-82.29350220334284</v>
      </c>
      <c r="E26" s="8" t="s">
        <v>226</v>
      </c>
      <c r="F26" s="8">
        <v>-77.300100195108286</v>
      </c>
      <c r="G26" s="8" t="s">
        <v>226</v>
      </c>
      <c r="H26" s="8">
        <v>-72.56430299317212</v>
      </c>
      <c r="I26" s="8" t="s">
        <v>226</v>
      </c>
      <c r="J26" s="8">
        <v>-72.187099076097098</v>
      </c>
      <c r="K26" s="8" t="s">
        <v>226</v>
      </c>
      <c r="L26" s="8">
        <v>-71.317447727978106</v>
      </c>
      <c r="M26" s="8" t="s">
        <v>226</v>
      </c>
      <c r="N26" s="8">
        <v>-66.103200731677816</v>
      </c>
      <c r="O26" s="8" t="s">
        <v>226</v>
      </c>
      <c r="P26" s="8">
        <v>-62.784683519418373</v>
      </c>
      <c r="Q26" s="8" t="s">
        <v>226</v>
      </c>
      <c r="R26" s="8">
        <v>-64.420677542111676</v>
      </c>
      <c r="S26" s="8" t="s">
        <v>226</v>
      </c>
      <c r="T26" s="8">
        <v>-62.492160544385953</v>
      </c>
      <c r="U26" s="8" t="s">
        <v>226</v>
      </c>
      <c r="V26" s="8">
        <v>-63.810879025195341</v>
      </c>
      <c r="W26" s="8" t="s">
        <v>226</v>
      </c>
      <c r="X26" s="8">
        <v>-60.341946233807093</v>
      </c>
      <c r="Y26" s="8" t="s">
        <v>226</v>
      </c>
      <c r="Z26" s="8">
        <v>-65.249656912859777</v>
      </c>
      <c r="AA26" s="8" t="s">
        <v>226</v>
      </c>
      <c r="AB26" s="8">
        <v>-63.02472362986358</v>
      </c>
      <c r="AC26" s="8" t="s">
        <v>226</v>
      </c>
      <c r="AD26" s="8">
        <v>-58.755795973017058</v>
      </c>
      <c r="AE26" s="8" t="s">
        <v>226</v>
      </c>
      <c r="AF26" s="8">
        <v>-55.550179702218848</v>
      </c>
      <c r="AG26" s="8" t="s">
        <v>226</v>
      </c>
      <c r="AH26" s="8">
        <v>-54.59208901262835</v>
      </c>
      <c r="AI26" s="8" t="s">
        <v>226</v>
      </c>
      <c r="AJ26" s="8">
        <v>-46.278442084320837</v>
      </c>
      <c r="AK26" s="8" t="s">
        <v>226</v>
      </c>
      <c r="AL26" s="8">
        <v>-43.828693971535778</v>
      </c>
      <c r="AM26" s="8" t="s">
        <v>226</v>
      </c>
      <c r="AN26" s="8">
        <v>-50.124101589650436</v>
      </c>
      <c r="AO26" s="8" t="s">
        <v>226</v>
      </c>
      <c r="AP26" s="8">
        <v>-51.676679367319913</v>
      </c>
      <c r="AQ26" s="8" t="s">
        <v>226</v>
      </c>
      <c r="AR26" s="8">
        <v>-45.930026693695559</v>
      </c>
      <c r="AS26" s="8" t="s">
        <v>226</v>
      </c>
      <c r="AT26" s="8">
        <v>-16.295423039009641</v>
      </c>
      <c r="AU26" s="8"/>
      <c r="AV26" s="9">
        <v>-12.456742767471731</v>
      </c>
      <c r="AW26" s="8"/>
    </row>
    <row r="27" spans="1:49" ht="15.75" x14ac:dyDescent="0.25">
      <c r="A27" s="58" t="s">
        <v>148</v>
      </c>
      <c r="B27" s="8">
        <v>-86.412457774828312</v>
      </c>
      <c r="C27" s="8" t="s">
        <v>226</v>
      </c>
      <c r="D27" s="8">
        <v>-84.081828561555383</v>
      </c>
      <c r="E27" s="8" t="s">
        <v>226</v>
      </c>
      <c r="F27" s="8">
        <v>-80.44502470092867</v>
      </c>
      <c r="G27" s="8" t="s">
        <v>226</v>
      </c>
      <c r="H27" s="8">
        <v>-76.367778217953088</v>
      </c>
      <c r="I27" s="8" t="s">
        <v>226</v>
      </c>
      <c r="J27" s="8">
        <v>-76.666306479272933</v>
      </c>
      <c r="K27" s="8" t="s">
        <v>226</v>
      </c>
      <c r="L27" s="8">
        <v>-75.65949464543813</v>
      </c>
      <c r="M27" s="8" t="s">
        <v>226</v>
      </c>
      <c r="N27" s="8">
        <v>-72.86777271169511</v>
      </c>
      <c r="O27" s="8" t="s">
        <v>226</v>
      </c>
      <c r="P27" s="8">
        <v>-69.186552712332457</v>
      </c>
      <c r="Q27" s="8" t="s">
        <v>226</v>
      </c>
      <c r="R27" s="8">
        <v>-69.956157808880775</v>
      </c>
      <c r="S27" s="8" t="s">
        <v>226</v>
      </c>
      <c r="T27" s="8">
        <v>-68.349887009621028</v>
      </c>
      <c r="U27" s="8" t="s">
        <v>226</v>
      </c>
      <c r="V27" s="8">
        <v>-70.675470399261201</v>
      </c>
      <c r="W27" s="8" t="s">
        <v>226</v>
      </c>
      <c r="X27" s="8">
        <v>-68.520662688294692</v>
      </c>
      <c r="Y27" s="8" t="s">
        <v>226</v>
      </c>
      <c r="Z27" s="8">
        <v>-71.185636985352602</v>
      </c>
      <c r="AA27" s="8" t="s">
        <v>226</v>
      </c>
      <c r="AB27" s="8">
        <v>-70.48388297587536</v>
      </c>
      <c r="AC27" s="8" t="s">
        <v>226</v>
      </c>
      <c r="AD27" s="8">
        <v>-64.674506000958559</v>
      </c>
      <c r="AE27" s="8" t="s">
        <v>226</v>
      </c>
      <c r="AF27" s="8">
        <v>-63.052510244061779</v>
      </c>
      <c r="AG27" s="8" t="s">
        <v>226</v>
      </c>
      <c r="AH27" s="8">
        <v>-60.782034381664253</v>
      </c>
      <c r="AI27" s="8" t="s">
        <v>226</v>
      </c>
      <c r="AJ27" s="8">
        <v>-53.372646074169083</v>
      </c>
      <c r="AK27" s="8" t="s">
        <v>226</v>
      </c>
      <c r="AL27" s="8">
        <v>-51.749697667967887</v>
      </c>
      <c r="AM27" s="8" t="s">
        <v>226</v>
      </c>
      <c r="AN27" s="8">
        <v>-58.106233101332272</v>
      </c>
      <c r="AO27" s="8" t="s">
        <v>226</v>
      </c>
      <c r="AP27" s="8">
        <v>-58.595936380541303</v>
      </c>
      <c r="AQ27" s="8" t="s">
        <v>226</v>
      </c>
      <c r="AR27" s="8">
        <v>-50.245792333989691</v>
      </c>
      <c r="AS27" s="8" t="s">
        <v>226</v>
      </c>
      <c r="AT27" s="8">
        <v>-11.73812129231788</v>
      </c>
      <c r="AU27" s="8"/>
      <c r="AV27" s="9">
        <v>-6.2672104046050059</v>
      </c>
      <c r="AW27" s="8"/>
    </row>
    <row r="28" spans="1:49" ht="15.75" x14ac:dyDescent="0.25">
      <c r="A28" s="59" t="s">
        <v>278</v>
      </c>
      <c r="B28" s="8">
        <v>-90.255203928201453</v>
      </c>
      <c r="C28" s="8" t="s">
        <v>226</v>
      </c>
      <c r="D28" s="8">
        <v>-88.424360085849898</v>
      </c>
      <c r="E28" s="8" t="s">
        <v>226</v>
      </c>
      <c r="F28" s="8">
        <v>-84.842798718980859</v>
      </c>
      <c r="G28" s="8" t="s">
        <v>226</v>
      </c>
      <c r="H28" s="8">
        <v>-81.575000389581149</v>
      </c>
      <c r="I28" s="8" t="s">
        <v>226</v>
      </c>
      <c r="J28" s="8">
        <v>-82.416088007386918</v>
      </c>
      <c r="K28" s="8" t="s">
        <v>226</v>
      </c>
      <c r="L28" s="8">
        <v>-82.420958027574059</v>
      </c>
      <c r="M28" s="8" t="s">
        <v>226</v>
      </c>
      <c r="N28" s="8">
        <v>-78.048341294368811</v>
      </c>
      <c r="O28" s="8" t="s">
        <v>226</v>
      </c>
      <c r="P28" s="8">
        <v>-76.588901098564378</v>
      </c>
      <c r="Q28" s="8" t="s">
        <v>226</v>
      </c>
      <c r="R28" s="8">
        <v>-77.302897220430538</v>
      </c>
      <c r="S28" s="8" t="s">
        <v>226</v>
      </c>
      <c r="T28" s="8">
        <v>-75.566522719159522</v>
      </c>
      <c r="U28" s="8" t="s">
        <v>226</v>
      </c>
      <c r="V28" s="8">
        <v>-77.431516143160664</v>
      </c>
      <c r="W28" s="8" t="s">
        <v>226</v>
      </c>
      <c r="X28" s="8">
        <v>-74.703149199417226</v>
      </c>
      <c r="Y28" s="8" t="s">
        <v>226</v>
      </c>
      <c r="Z28" s="8">
        <v>-75.687599010443662</v>
      </c>
      <c r="AA28" s="8" t="s">
        <v>226</v>
      </c>
      <c r="AB28" s="8">
        <v>-75.910973578047759</v>
      </c>
      <c r="AC28" s="8" t="s">
        <v>226</v>
      </c>
      <c r="AD28" s="8">
        <v>-71.541761162606264</v>
      </c>
      <c r="AE28" s="8" t="s">
        <v>226</v>
      </c>
      <c r="AF28" s="8">
        <v>-68.798268265340283</v>
      </c>
      <c r="AG28" s="8" t="s">
        <v>226</v>
      </c>
      <c r="AH28" s="8">
        <v>-66.756185171495673</v>
      </c>
      <c r="AI28" s="8" t="s">
        <v>226</v>
      </c>
      <c r="AJ28" s="8">
        <v>-59.512177782660217</v>
      </c>
      <c r="AK28" s="8" t="s">
        <v>226</v>
      </c>
      <c r="AL28" s="8">
        <v>-54.584694167534842</v>
      </c>
      <c r="AM28" s="8" t="s">
        <v>226</v>
      </c>
      <c r="AN28" s="8">
        <v>-64.549268769399347</v>
      </c>
      <c r="AO28" s="8" t="s">
        <v>226</v>
      </c>
      <c r="AP28" s="8">
        <v>-64.493402373793913</v>
      </c>
      <c r="AQ28" s="8" t="s">
        <v>226</v>
      </c>
      <c r="AR28" s="8">
        <v>-57.291476905544037</v>
      </c>
      <c r="AS28" s="8" t="s">
        <v>226</v>
      </c>
      <c r="AT28" s="8">
        <v>-21.310537239879071</v>
      </c>
      <c r="AU28" s="8"/>
      <c r="AV28" s="9">
        <v>-4.412410667013722</v>
      </c>
      <c r="AW28" s="8"/>
    </row>
    <row r="29" spans="1:49" ht="15.75" x14ac:dyDescent="0.25">
      <c r="A29" s="59" t="s">
        <v>279</v>
      </c>
      <c r="B29" s="8">
        <v>-71.253983195919233</v>
      </c>
      <c r="C29" s="8" t="s">
        <v>226</v>
      </c>
      <c r="D29" s="8">
        <v>-69.048189680702137</v>
      </c>
      <c r="E29" s="8" t="s">
        <v>226</v>
      </c>
      <c r="F29" s="8">
        <v>-67.775323400210624</v>
      </c>
      <c r="G29" s="8" t="s">
        <v>226</v>
      </c>
      <c r="H29" s="8">
        <v>-61.325206828301887</v>
      </c>
      <c r="I29" s="8" t="s">
        <v>226</v>
      </c>
      <c r="J29" s="8">
        <v>-58.919499512163952</v>
      </c>
      <c r="K29" s="8" t="s">
        <v>226</v>
      </c>
      <c r="L29" s="8">
        <v>-52.217615662657657</v>
      </c>
      <c r="M29" s="8" t="s">
        <v>226</v>
      </c>
      <c r="N29" s="8">
        <v>-60.894653873460527</v>
      </c>
      <c r="O29" s="8" t="s">
        <v>226</v>
      </c>
      <c r="P29" s="8">
        <v>-49.881087283725208</v>
      </c>
      <c r="Q29" s="8" t="s">
        <v>226</v>
      </c>
      <c r="R29" s="8">
        <v>-47.752116604117248</v>
      </c>
      <c r="S29" s="8" t="s">
        <v>226</v>
      </c>
      <c r="T29" s="8">
        <v>-47.835751257414451</v>
      </c>
      <c r="U29" s="8" t="s">
        <v>226</v>
      </c>
      <c r="V29" s="8">
        <v>-50.502275294956398</v>
      </c>
      <c r="W29" s="8" t="s">
        <v>226</v>
      </c>
      <c r="X29" s="8">
        <v>-53.402102015806548</v>
      </c>
      <c r="Y29" s="8" t="s">
        <v>226</v>
      </c>
      <c r="Z29" s="8">
        <v>-62.151687884908434</v>
      </c>
      <c r="AA29" s="8" t="s">
        <v>226</v>
      </c>
      <c r="AB29" s="8">
        <v>-56.962618297484703</v>
      </c>
      <c r="AC29" s="8" t="s">
        <v>226</v>
      </c>
      <c r="AD29" s="8">
        <v>-48.985553105067851</v>
      </c>
      <c r="AE29" s="8" t="s">
        <v>226</v>
      </c>
      <c r="AF29" s="8">
        <v>-50.522164638846853</v>
      </c>
      <c r="AG29" s="8" t="s">
        <v>226</v>
      </c>
      <c r="AH29" s="8">
        <v>-49.077936485247953</v>
      </c>
      <c r="AI29" s="8" t="s">
        <v>226</v>
      </c>
      <c r="AJ29" s="8">
        <v>-42.141638460345199</v>
      </c>
      <c r="AK29" s="8" t="s">
        <v>226</v>
      </c>
      <c r="AL29" s="8">
        <v>-48.24304115108157</v>
      </c>
      <c r="AM29" s="8" t="s">
        <v>226</v>
      </c>
      <c r="AN29" s="8">
        <v>-45.960999549413749</v>
      </c>
      <c r="AO29" s="8" t="s">
        <v>226</v>
      </c>
      <c r="AP29" s="8">
        <v>-48.105640380583743</v>
      </c>
      <c r="AQ29" s="8" t="s">
        <v>226</v>
      </c>
      <c r="AR29" s="8">
        <v>-36.236593236257789</v>
      </c>
      <c r="AS29" s="8" t="s">
        <v>226</v>
      </c>
      <c r="AT29" s="8">
        <v>8.954514845034133</v>
      </c>
      <c r="AU29" s="8"/>
      <c r="AV29" s="9">
        <v>-8.1420421277965449</v>
      </c>
      <c r="AW29" s="8"/>
    </row>
    <row r="30" spans="1:49" ht="15.75" x14ac:dyDescent="0.25">
      <c r="A30" s="58" t="s">
        <v>151</v>
      </c>
      <c r="B30" s="8">
        <v>-82.576366569961692</v>
      </c>
      <c r="C30" s="8" t="s">
        <v>226</v>
      </c>
      <c r="D30" s="8">
        <v>-81.547189438382389</v>
      </c>
      <c r="E30" s="8" t="s">
        <v>226</v>
      </c>
      <c r="F30" s="8">
        <v>-74.968096766467355</v>
      </c>
      <c r="G30" s="8" t="s">
        <v>226</v>
      </c>
      <c r="H30" s="8">
        <v>-68.635707648948824</v>
      </c>
      <c r="I30" s="8" t="s">
        <v>226</v>
      </c>
      <c r="J30" s="8">
        <v>-67.718599486031366</v>
      </c>
      <c r="K30" s="8" t="s">
        <v>226</v>
      </c>
      <c r="L30" s="8">
        <v>-66.916377885449023</v>
      </c>
      <c r="M30" s="8" t="s">
        <v>226</v>
      </c>
      <c r="N30" s="8">
        <v>-56.530170777156449</v>
      </c>
      <c r="O30" s="8" t="s">
        <v>226</v>
      </c>
      <c r="P30" s="8">
        <v>-54.562668114411792</v>
      </c>
      <c r="Q30" s="8" t="s">
        <v>226</v>
      </c>
      <c r="R30" s="8">
        <v>-58.486023170535638</v>
      </c>
      <c r="S30" s="8" t="s">
        <v>226</v>
      </c>
      <c r="T30" s="8">
        <v>-55.000971900581618</v>
      </c>
      <c r="U30" s="8" t="s">
        <v>226</v>
      </c>
      <c r="V30" s="8">
        <v>-55.053134651196054</v>
      </c>
      <c r="W30" s="8" t="s">
        <v>226</v>
      </c>
      <c r="X30" s="8">
        <v>-49.47243043483148</v>
      </c>
      <c r="Y30" s="8" t="s">
        <v>226</v>
      </c>
      <c r="Z30" s="8">
        <v>-58.004528592042703</v>
      </c>
      <c r="AA30" s="8" t="s">
        <v>226</v>
      </c>
      <c r="AB30" s="8">
        <v>-52.220904840369343</v>
      </c>
      <c r="AC30" s="8" t="s">
        <v>226</v>
      </c>
      <c r="AD30" s="8">
        <v>-52.322176058539313</v>
      </c>
      <c r="AE30" s="8" t="s">
        <v>226</v>
      </c>
      <c r="AF30" s="8">
        <v>-45.332051321896337</v>
      </c>
      <c r="AG30" s="8" t="s">
        <v>226</v>
      </c>
      <c r="AH30" s="8">
        <v>-47.885264862720263</v>
      </c>
      <c r="AI30" s="8" t="s">
        <v>226</v>
      </c>
      <c r="AJ30" s="8">
        <v>-40.269975011414857</v>
      </c>
      <c r="AK30" s="8" t="s">
        <v>226</v>
      </c>
      <c r="AL30" s="8">
        <v>-33.205111702110088</v>
      </c>
      <c r="AM30" s="8" t="s">
        <v>226</v>
      </c>
      <c r="AN30" s="8">
        <v>-40.621476982225317</v>
      </c>
      <c r="AO30" s="8" t="s">
        <v>226</v>
      </c>
      <c r="AP30" s="8">
        <v>-43.100786370337971</v>
      </c>
      <c r="AQ30" s="8" t="s">
        <v>226</v>
      </c>
      <c r="AR30" s="8">
        <v>-41.667964817124137</v>
      </c>
      <c r="AS30" s="8" t="s">
        <v>226</v>
      </c>
      <c r="AT30" s="8">
        <v>-22.19020677245814</v>
      </c>
      <c r="AU30" s="8" t="s">
        <v>226</v>
      </c>
      <c r="AV30" s="9">
        <v>-17.606682135948152</v>
      </c>
      <c r="AW30" s="8"/>
    </row>
    <row r="31" spans="1:49" ht="27" customHeight="1" x14ac:dyDescent="0.25">
      <c r="A31" s="57" t="s">
        <v>280</v>
      </c>
      <c r="B31" s="8">
        <v>-83.666156682457384</v>
      </c>
      <c r="C31" s="8" t="s">
        <v>226</v>
      </c>
      <c r="D31" s="8">
        <v>-80.922734484528178</v>
      </c>
      <c r="E31" s="8" t="s">
        <v>226</v>
      </c>
      <c r="F31" s="8">
        <v>-81.938760059988255</v>
      </c>
      <c r="G31" s="8" t="s">
        <v>226</v>
      </c>
      <c r="H31" s="8">
        <v>-76.240072698736029</v>
      </c>
      <c r="I31" s="8" t="s">
        <v>226</v>
      </c>
      <c r="J31" s="8">
        <v>-73.711162888184063</v>
      </c>
      <c r="K31" s="8" t="s">
        <v>226</v>
      </c>
      <c r="L31" s="8">
        <v>-71.390340248547844</v>
      </c>
      <c r="M31" s="8" t="s">
        <v>226</v>
      </c>
      <c r="N31" s="8">
        <v>-66.249038793869403</v>
      </c>
      <c r="O31" s="8" t="s">
        <v>226</v>
      </c>
      <c r="P31" s="8">
        <v>-64.495772192736752</v>
      </c>
      <c r="Q31" s="8" t="s">
        <v>226</v>
      </c>
      <c r="R31" s="8">
        <v>-65.098654752350654</v>
      </c>
      <c r="S31" s="8" t="s">
        <v>226</v>
      </c>
      <c r="T31" s="8">
        <v>-57.908753588361272</v>
      </c>
      <c r="U31" s="8" t="s">
        <v>226</v>
      </c>
      <c r="V31" s="8">
        <v>-61.247351275107867</v>
      </c>
      <c r="W31" s="8" t="s">
        <v>226</v>
      </c>
      <c r="X31" s="8">
        <v>-60.401745414297167</v>
      </c>
      <c r="Y31" s="8" t="s">
        <v>226</v>
      </c>
      <c r="Z31" s="8">
        <v>-63.560421804046733</v>
      </c>
      <c r="AA31" s="8" t="s">
        <v>226</v>
      </c>
      <c r="AB31" s="8">
        <v>-57.187527320034583</v>
      </c>
      <c r="AC31" s="8" t="s">
        <v>226</v>
      </c>
      <c r="AD31" s="8">
        <v>-57.790286436295183</v>
      </c>
      <c r="AE31" s="8" t="s">
        <v>226</v>
      </c>
      <c r="AF31" s="8">
        <v>-50.855613504570073</v>
      </c>
      <c r="AG31" s="8" t="s">
        <v>226</v>
      </c>
      <c r="AH31" s="8">
        <v>-54.470239953844001</v>
      </c>
      <c r="AI31" s="8" t="s">
        <v>226</v>
      </c>
      <c r="AJ31" s="8">
        <v>-50.178864760002639</v>
      </c>
      <c r="AK31" s="8" t="s">
        <v>226</v>
      </c>
      <c r="AL31" s="8">
        <v>-44.474556984484813</v>
      </c>
      <c r="AM31" s="8" t="s">
        <v>226</v>
      </c>
      <c r="AN31" s="8">
        <v>-47.642199729314697</v>
      </c>
      <c r="AO31" s="8" t="s">
        <v>226</v>
      </c>
      <c r="AP31" s="8">
        <v>-45.393265652642853</v>
      </c>
      <c r="AQ31" s="8" t="s">
        <v>226</v>
      </c>
      <c r="AR31" s="8">
        <v>-24.30570076973115</v>
      </c>
      <c r="AS31" s="8" t="s">
        <v>226</v>
      </c>
      <c r="AT31" s="8">
        <v>-1.774137295178613</v>
      </c>
      <c r="AU31" s="8"/>
      <c r="AV31" s="9">
        <v>-14.15319919444101</v>
      </c>
      <c r="AW31" s="8"/>
    </row>
    <row r="32" spans="1:49" ht="15.75" x14ac:dyDescent="0.25">
      <c r="A32" s="58" t="s">
        <v>148</v>
      </c>
      <c r="B32" s="8">
        <v>-85.357133631271964</v>
      </c>
      <c r="C32" s="8" t="s">
        <v>226</v>
      </c>
      <c r="D32" s="8">
        <v>-81.992036056074241</v>
      </c>
      <c r="E32" s="8" t="s">
        <v>226</v>
      </c>
      <c r="F32" s="8">
        <v>-82.919433454399638</v>
      </c>
      <c r="G32" s="8" t="s">
        <v>226</v>
      </c>
      <c r="H32" s="8">
        <v>-78.131408133994611</v>
      </c>
      <c r="I32" s="8" t="s">
        <v>226</v>
      </c>
      <c r="J32" s="8">
        <v>-76.6103924064669</v>
      </c>
      <c r="K32" s="8" t="s">
        <v>226</v>
      </c>
      <c r="L32" s="8">
        <v>-72.540785491248343</v>
      </c>
      <c r="M32" s="8" t="s">
        <v>226</v>
      </c>
      <c r="N32" s="8">
        <v>-68.843906225570777</v>
      </c>
      <c r="O32" s="8" t="s">
        <v>226</v>
      </c>
      <c r="P32" s="8">
        <v>-66.45305499374328</v>
      </c>
      <c r="Q32" s="8" t="s">
        <v>226</v>
      </c>
      <c r="R32" s="8">
        <v>-67.289034295520139</v>
      </c>
      <c r="S32" s="8" t="s">
        <v>226</v>
      </c>
      <c r="T32" s="8">
        <v>-59.755618462479703</v>
      </c>
      <c r="U32" s="8" t="s">
        <v>226</v>
      </c>
      <c r="V32" s="8">
        <v>-62.66699599557235</v>
      </c>
      <c r="W32" s="8" t="s">
        <v>226</v>
      </c>
      <c r="X32" s="8">
        <v>-61.554955401698599</v>
      </c>
      <c r="Y32" s="8" t="s">
        <v>226</v>
      </c>
      <c r="Z32" s="8">
        <v>-63.488600206622237</v>
      </c>
      <c r="AA32" s="8" t="s">
        <v>226</v>
      </c>
      <c r="AB32" s="8">
        <v>-57.662970120439077</v>
      </c>
      <c r="AC32" s="8" t="s">
        <v>226</v>
      </c>
      <c r="AD32" s="8">
        <v>-57.623392378022857</v>
      </c>
      <c r="AE32" s="8" t="s">
        <v>226</v>
      </c>
      <c r="AF32" s="8">
        <v>-50.82560606445611</v>
      </c>
      <c r="AG32" s="8" t="s">
        <v>226</v>
      </c>
      <c r="AH32" s="8">
        <v>-53.408192436304063</v>
      </c>
      <c r="AI32" s="8" t="s">
        <v>226</v>
      </c>
      <c r="AJ32" s="8">
        <v>-53.420317515422312</v>
      </c>
      <c r="AK32" s="8" t="s">
        <v>226</v>
      </c>
      <c r="AL32" s="8">
        <v>-47.71085538614571</v>
      </c>
      <c r="AM32" s="8" t="s">
        <v>226</v>
      </c>
      <c r="AN32" s="8">
        <v>-47.277018288708703</v>
      </c>
      <c r="AO32" s="8" t="s">
        <v>226</v>
      </c>
      <c r="AP32" s="8">
        <v>-47.781110097670677</v>
      </c>
      <c r="AQ32" s="8" t="s">
        <v>226</v>
      </c>
      <c r="AR32" s="8">
        <v>-29.399679467085949</v>
      </c>
      <c r="AS32" s="8" t="s">
        <v>226</v>
      </c>
      <c r="AT32" s="8">
        <v>6.9686419402770214</v>
      </c>
      <c r="AU32" s="8"/>
      <c r="AV32" s="9">
        <v>-0.48023411142953393</v>
      </c>
      <c r="AW32" s="8"/>
    </row>
    <row r="33" spans="1:49" ht="15.75" x14ac:dyDescent="0.25">
      <c r="A33" s="59" t="s">
        <v>278</v>
      </c>
      <c r="B33" s="8">
        <v>-87.556575624997137</v>
      </c>
      <c r="C33" s="8" t="s">
        <v>226</v>
      </c>
      <c r="D33" s="8">
        <v>-86.717266438633132</v>
      </c>
      <c r="E33" s="8" t="s">
        <v>226</v>
      </c>
      <c r="F33" s="8">
        <v>-86.925963415854852</v>
      </c>
      <c r="G33" s="8" t="s">
        <v>226</v>
      </c>
      <c r="H33" s="8">
        <v>-80.856518069733411</v>
      </c>
      <c r="I33" s="8" t="s">
        <v>226</v>
      </c>
      <c r="J33" s="8">
        <v>-80.225087144282199</v>
      </c>
      <c r="K33" s="8" t="s">
        <v>226</v>
      </c>
      <c r="L33" s="8">
        <v>-77.748077185074337</v>
      </c>
      <c r="M33" s="8" t="s">
        <v>226</v>
      </c>
      <c r="N33" s="8">
        <v>-74.46835739620397</v>
      </c>
      <c r="O33" s="8" t="s">
        <v>226</v>
      </c>
      <c r="P33" s="8">
        <v>-71.52738390496701</v>
      </c>
      <c r="Q33" s="8" t="s">
        <v>226</v>
      </c>
      <c r="R33" s="8">
        <v>-72.976203731708793</v>
      </c>
      <c r="S33" s="8" t="s">
        <v>226</v>
      </c>
      <c r="T33" s="8">
        <v>-66.095104631298284</v>
      </c>
      <c r="U33" s="8" t="s">
        <v>226</v>
      </c>
      <c r="V33" s="8">
        <v>-69.072946508352089</v>
      </c>
      <c r="W33" s="8" t="s">
        <v>226</v>
      </c>
      <c r="X33" s="8">
        <v>-68.085058556933234</v>
      </c>
      <c r="Y33" s="8" t="s">
        <v>226</v>
      </c>
      <c r="Z33" s="8">
        <v>-68.515653431527767</v>
      </c>
      <c r="AA33" s="8" t="s">
        <v>226</v>
      </c>
      <c r="AB33" s="8">
        <v>-65.246030962713476</v>
      </c>
      <c r="AC33" s="8" t="s">
        <v>226</v>
      </c>
      <c r="AD33" s="8">
        <v>-65.597962516464207</v>
      </c>
      <c r="AE33" s="8" t="s">
        <v>226</v>
      </c>
      <c r="AF33" s="8">
        <v>-56.237261485492752</v>
      </c>
      <c r="AG33" s="8" t="s">
        <v>226</v>
      </c>
      <c r="AH33" s="8">
        <v>-62.059310466384332</v>
      </c>
      <c r="AI33" s="8" t="s">
        <v>226</v>
      </c>
      <c r="AJ33" s="8">
        <v>-61.574886169659052</v>
      </c>
      <c r="AK33" s="8" t="s">
        <v>226</v>
      </c>
      <c r="AL33" s="8">
        <v>-51.381738966610087</v>
      </c>
      <c r="AM33" s="8" t="s">
        <v>226</v>
      </c>
      <c r="AN33" s="8">
        <v>-55.303524814745131</v>
      </c>
      <c r="AO33" s="8" t="s">
        <v>226</v>
      </c>
      <c r="AP33" s="8">
        <v>-54.263623924735313</v>
      </c>
      <c r="AQ33" s="8" t="s">
        <v>226</v>
      </c>
      <c r="AR33" s="8">
        <v>-39.737184146317773</v>
      </c>
      <c r="AS33" s="8" t="s">
        <v>226</v>
      </c>
      <c r="AT33" s="8">
        <v>0.59436411958400104</v>
      </c>
      <c r="AU33" s="8"/>
      <c r="AV33" s="9">
        <v>-4.4244886435082398</v>
      </c>
      <c r="AW33" s="8"/>
    </row>
    <row r="34" spans="1:49" ht="15.75" x14ac:dyDescent="0.25">
      <c r="A34" s="59" t="s">
        <v>279</v>
      </c>
      <c r="B34" s="8">
        <v>-77.620505594582312</v>
      </c>
      <c r="C34" s="8" t="s">
        <v>226</v>
      </c>
      <c r="D34" s="8">
        <v>-42.295719709714859</v>
      </c>
      <c r="E34" s="8"/>
      <c r="F34" s="8">
        <v>-55.885686329193462</v>
      </c>
      <c r="G34" s="8" t="s">
        <v>226</v>
      </c>
      <c r="H34" s="8">
        <v>-69.760909574018456</v>
      </c>
      <c r="I34" s="8" t="s">
        <v>226</v>
      </c>
      <c r="J34" s="8">
        <v>-64.145691531521237</v>
      </c>
      <c r="K34" s="8" t="s">
        <v>226</v>
      </c>
      <c r="L34" s="8">
        <v>-49.377645524407512</v>
      </c>
      <c r="M34" s="8" t="s">
        <v>226</v>
      </c>
      <c r="N34" s="8">
        <v>-45.940573642757393</v>
      </c>
      <c r="O34" s="8" t="s">
        <v>226</v>
      </c>
      <c r="P34" s="8">
        <v>-47.651238213107767</v>
      </c>
      <c r="Q34" s="8" t="s">
        <v>226</v>
      </c>
      <c r="R34" s="8">
        <v>-43.102452805925957</v>
      </c>
      <c r="S34" s="8" t="s">
        <v>226</v>
      </c>
      <c r="T34" s="8">
        <v>-36.276379227137909</v>
      </c>
      <c r="U34" s="8" t="s">
        <v>226</v>
      </c>
      <c r="V34" s="8">
        <v>-36.117215564151103</v>
      </c>
      <c r="W34" s="8" t="s">
        <v>226</v>
      </c>
      <c r="X34" s="8">
        <v>-34.522402665826</v>
      </c>
      <c r="Y34" s="8"/>
      <c r="Z34" s="8">
        <v>-46.438059804450319</v>
      </c>
      <c r="AA34" s="8" t="s">
        <v>226</v>
      </c>
      <c r="AB34" s="8">
        <v>-25.588698583614828</v>
      </c>
      <c r="AC34" s="8"/>
      <c r="AD34" s="8">
        <v>-20.13411064843703</v>
      </c>
      <c r="AE34" s="8"/>
      <c r="AF34" s="8">
        <v>-36.013900584284222</v>
      </c>
      <c r="AG34" s="8"/>
      <c r="AH34" s="8">
        <v>-17.172192603049119</v>
      </c>
      <c r="AI34" s="8"/>
      <c r="AJ34" s="8">
        <v>-18.02599781580906</v>
      </c>
      <c r="AK34" s="8"/>
      <c r="AL34" s="8">
        <v>-38.366864010653771</v>
      </c>
      <c r="AM34" s="8"/>
      <c r="AN34" s="8">
        <v>-16.43702904958262</v>
      </c>
      <c r="AO34" s="8"/>
      <c r="AP34" s="8">
        <v>-25.78742019158349</v>
      </c>
      <c r="AQ34" s="8"/>
      <c r="AR34" s="8">
        <v>9.2242740570745987</v>
      </c>
      <c r="AS34" s="8"/>
      <c r="AT34" s="8">
        <v>25.22574699924596</v>
      </c>
      <c r="AU34" s="8"/>
      <c r="AV34" s="9">
        <v>8.7084686470159767</v>
      </c>
      <c r="AW34" s="8"/>
    </row>
    <row r="35" spans="1:49" ht="15.75" x14ac:dyDescent="0.25">
      <c r="A35" s="57" t="s">
        <v>151</v>
      </c>
      <c r="B35" s="8">
        <v>-74.518538520457227</v>
      </c>
      <c r="C35" s="8" t="s">
        <v>226</v>
      </c>
      <c r="D35" s="8">
        <v>-77.029700366703295</v>
      </c>
      <c r="E35" s="8" t="s">
        <v>226</v>
      </c>
      <c r="F35" s="8">
        <v>-79.368225171064154</v>
      </c>
      <c r="G35" s="8" t="s">
        <v>226</v>
      </c>
      <c r="H35" s="8">
        <v>-67.545564716397081</v>
      </c>
      <c r="I35" s="8" t="s">
        <v>226</v>
      </c>
      <c r="J35" s="8">
        <v>-59.210593474817138</v>
      </c>
      <c r="K35" s="8" t="s">
        <v>226</v>
      </c>
      <c r="L35" s="8">
        <v>-67.285168141999847</v>
      </c>
      <c r="M35" s="8" t="s">
        <v>226</v>
      </c>
      <c r="N35" s="8">
        <v>-55.48951645692609</v>
      </c>
      <c r="O35" s="8" t="s">
        <v>226</v>
      </c>
      <c r="P35" s="8">
        <v>-56.562945646290594</v>
      </c>
      <c r="Q35" s="8" t="s">
        <v>226</v>
      </c>
      <c r="R35" s="8">
        <v>-57.31569057414935</v>
      </c>
      <c r="S35" s="8" t="s">
        <v>226</v>
      </c>
      <c r="T35" s="8">
        <v>-53.831939079664082</v>
      </c>
      <c r="U35" s="8" t="s">
        <v>226</v>
      </c>
      <c r="V35" s="8">
        <v>-56.393474232432297</v>
      </c>
      <c r="W35" s="8" t="s">
        <v>226</v>
      </c>
      <c r="X35" s="8">
        <v>-56.891342939902607</v>
      </c>
      <c r="Y35" s="8" t="s">
        <v>226</v>
      </c>
      <c r="Z35" s="8">
        <v>-65.482055149512135</v>
      </c>
      <c r="AA35" s="8" t="s">
        <v>226</v>
      </c>
      <c r="AB35" s="8">
        <v>-56.369535132965943</v>
      </c>
      <c r="AC35" s="8" t="s">
        <v>226</v>
      </c>
      <c r="AD35" s="8">
        <v>-59.863329425229907</v>
      </c>
      <c r="AE35" s="8" t="s">
        <v>226</v>
      </c>
      <c r="AF35" s="8">
        <v>-52.651092893319529</v>
      </c>
      <c r="AG35" s="8" t="s">
        <v>226</v>
      </c>
      <c r="AH35" s="8">
        <v>-57.61726078000504</v>
      </c>
      <c r="AI35" s="8" t="s">
        <v>226</v>
      </c>
      <c r="AJ35" s="8">
        <v>-36.891019205906659</v>
      </c>
      <c r="AK35" s="8"/>
      <c r="AL35" s="8">
        <v>-34.660181128062561</v>
      </c>
      <c r="AM35" s="8"/>
      <c r="AN35" s="8">
        <v>-49.488432804644319</v>
      </c>
      <c r="AO35" s="8" t="s">
        <v>226</v>
      </c>
      <c r="AP35" s="8">
        <v>-37.442566065989539</v>
      </c>
      <c r="AQ35" s="8"/>
      <c r="AR35" s="8">
        <v>-1.0490881695041421</v>
      </c>
      <c r="AS35" s="8"/>
      <c r="AT35" s="8">
        <v>-31.559760836098071</v>
      </c>
      <c r="AU35" s="8"/>
      <c r="AV35" s="9">
        <v>-40.694598501285171</v>
      </c>
      <c r="AW35" s="8"/>
    </row>
    <row r="36" spans="1:49" ht="30" customHeight="1" x14ac:dyDescent="0.25">
      <c r="A36" s="4" t="s">
        <v>281</v>
      </c>
      <c r="B36" s="5">
        <v>-53.080870969439331</v>
      </c>
      <c r="C36" s="5" t="s">
        <v>226</v>
      </c>
      <c r="D36" s="5">
        <v>-48.095465951123423</v>
      </c>
      <c r="E36" s="5" t="s">
        <v>226</v>
      </c>
      <c r="F36" s="5">
        <v>-43.615484059625231</v>
      </c>
      <c r="G36" s="5" t="s">
        <v>226</v>
      </c>
      <c r="H36" s="5">
        <v>-30.11186600179105</v>
      </c>
      <c r="I36" s="5" t="s">
        <v>226</v>
      </c>
      <c r="J36" s="5">
        <v>-30.053857855373781</v>
      </c>
      <c r="K36" s="5" t="s">
        <v>226</v>
      </c>
      <c r="L36" s="5">
        <v>-25.74695045789694</v>
      </c>
      <c r="M36" s="5" t="s">
        <v>226</v>
      </c>
      <c r="N36" s="5">
        <v>-19.66294456613932</v>
      </c>
      <c r="O36" s="5" t="s">
        <v>226</v>
      </c>
      <c r="P36" s="5">
        <v>-17.399962651236809</v>
      </c>
      <c r="Q36" s="5" t="s">
        <v>226</v>
      </c>
      <c r="R36" s="5">
        <v>-24.872724402740001</v>
      </c>
      <c r="S36" s="5" t="s">
        <v>226</v>
      </c>
      <c r="T36" s="5">
        <v>-16.099353696309869</v>
      </c>
      <c r="U36" s="5" t="s">
        <v>226</v>
      </c>
      <c r="V36" s="5">
        <v>-21.662064103175599</v>
      </c>
      <c r="W36" s="5" t="s">
        <v>226</v>
      </c>
      <c r="X36" s="5">
        <v>-25.803479537783481</v>
      </c>
      <c r="Y36" s="5" t="s">
        <v>226</v>
      </c>
      <c r="Z36" s="5">
        <v>-32.084948805461558</v>
      </c>
      <c r="AA36" s="5" t="s">
        <v>226</v>
      </c>
      <c r="AB36" s="5">
        <v>-42.481250026164354</v>
      </c>
      <c r="AC36" s="5" t="s">
        <v>226</v>
      </c>
      <c r="AD36" s="5">
        <v>-36.156410759000963</v>
      </c>
      <c r="AE36" s="5" t="s">
        <v>226</v>
      </c>
      <c r="AF36" s="5">
        <v>-21.953088504222539</v>
      </c>
      <c r="AG36" s="5" t="s">
        <v>226</v>
      </c>
      <c r="AH36" s="5">
        <v>-18.070193020156289</v>
      </c>
      <c r="AI36" s="5" t="s">
        <v>226</v>
      </c>
      <c r="AJ36" s="5">
        <v>-9.6568899575385831</v>
      </c>
      <c r="AK36" s="5"/>
      <c r="AL36" s="5">
        <v>1.491931085507803</v>
      </c>
      <c r="AM36" s="5"/>
      <c r="AN36" s="5">
        <v>6.8646521464129862</v>
      </c>
      <c r="AO36" s="5"/>
      <c r="AP36" s="5">
        <v>-6.2168592314328812</v>
      </c>
      <c r="AQ36" s="5"/>
      <c r="AR36" s="5">
        <v>8.9601963569474918</v>
      </c>
      <c r="AS36" s="5"/>
      <c r="AT36" s="5">
        <v>7.0450627203433758</v>
      </c>
      <c r="AU36" s="5"/>
      <c r="AV36" s="6">
        <v>14.66879696821981</v>
      </c>
      <c r="AW36" s="5"/>
    </row>
    <row r="37" spans="1:49" ht="15.75" x14ac:dyDescent="0.25">
      <c r="A37" s="7" t="s">
        <v>282</v>
      </c>
      <c r="B37" s="8">
        <v>-82.241687116067737</v>
      </c>
      <c r="C37" s="8" t="s">
        <v>226</v>
      </c>
      <c r="D37" s="8">
        <v>-81.699868683378199</v>
      </c>
      <c r="E37" s="8" t="s">
        <v>226</v>
      </c>
      <c r="F37" s="8">
        <v>-79.982367026609069</v>
      </c>
      <c r="G37" s="8" t="s">
        <v>226</v>
      </c>
      <c r="H37" s="8">
        <v>-69.848020522695322</v>
      </c>
      <c r="I37" s="8" t="s">
        <v>226</v>
      </c>
      <c r="J37" s="8">
        <v>-73.199614922400855</v>
      </c>
      <c r="K37" s="8" t="s">
        <v>226</v>
      </c>
      <c r="L37" s="8">
        <v>-73.108210876746639</v>
      </c>
      <c r="M37" s="8" t="s">
        <v>226</v>
      </c>
      <c r="N37" s="8">
        <v>-71.110379598484982</v>
      </c>
      <c r="O37" s="8" t="s">
        <v>226</v>
      </c>
      <c r="P37" s="8">
        <v>-67.611066060146101</v>
      </c>
      <c r="Q37" s="8" t="s">
        <v>226</v>
      </c>
      <c r="R37" s="8">
        <v>-68.174526952658638</v>
      </c>
      <c r="S37" s="8" t="s">
        <v>226</v>
      </c>
      <c r="T37" s="8">
        <v>-62.258402592073892</v>
      </c>
      <c r="U37" s="8" t="s">
        <v>226</v>
      </c>
      <c r="V37" s="8">
        <v>-61.66205809663218</v>
      </c>
      <c r="W37" s="8" t="s">
        <v>226</v>
      </c>
      <c r="X37" s="8">
        <v>-64.411050956311897</v>
      </c>
      <c r="Y37" s="8" t="s">
        <v>226</v>
      </c>
      <c r="Z37" s="8">
        <v>-66.356434884385919</v>
      </c>
      <c r="AA37" s="8" t="s">
        <v>226</v>
      </c>
      <c r="AB37" s="8">
        <v>-65.140625198473273</v>
      </c>
      <c r="AC37" s="8" t="s">
        <v>226</v>
      </c>
      <c r="AD37" s="8">
        <v>-65.474480633043797</v>
      </c>
      <c r="AE37" s="8" t="s">
        <v>226</v>
      </c>
      <c r="AF37" s="8">
        <v>-63.048754120990772</v>
      </c>
      <c r="AG37" s="8" t="s">
        <v>226</v>
      </c>
      <c r="AH37" s="8">
        <v>-63.453386215330823</v>
      </c>
      <c r="AI37" s="8" t="s">
        <v>226</v>
      </c>
      <c r="AJ37" s="8">
        <v>-60.794428130533248</v>
      </c>
      <c r="AK37" s="8" t="s">
        <v>226</v>
      </c>
      <c r="AL37" s="8">
        <v>-60.721729066936433</v>
      </c>
      <c r="AM37" s="8" t="s">
        <v>226</v>
      </c>
      <c r="AN37" s="8">
        <v>-53.631326511942383</v>
      </c>
      <c r="AO37" s="8" t="s">
        <v>226</v>
      </c>
      <c r="AP37" s="8">
        <v>-59.618465207207286</v>
      </c>
      <c r="AQ37" s="8" t="s">
        <v>226</v>
      </c>
      <c r="AR37" s="8">
        <v>-54.071603698694929</v>
      </c>
      <c r="AS37" s="8" t="s">
        <v>226</v>
      </c>
      <c r="AT37" s="8">
        <v>-38.255722222627057</v>
      </c>
      <c r="AU37" s="8"/>
      <c r="AV37" s="9">
        <v>-11.18374150625303</v>
      </c>
      <c r="AW37" s="8"/>
    </row>
    <row r="38" spans="1:49" ht="15.75" x14ac:dyDescent="0.25">
      <c r="A38" s="7" t="s">
        <v>283</v>
      </c>
      <c r="B38" s="8">
        <v>-49.752142215607563</v>
      </c>
      <c r="C38" s="8" t="s">
        <v>226</v>
      </c>
      <c r="D38" s="8">
        <v>-44.265174393200184</v>
      </c>
      <c r="E38" s="8" t="s">
        <v>226</v>
      </c>
      <c r="F38" s="8">
        <v>-39.020121249926113</v>
      </c>
      <c r="G38" s="8" t="s">
        <v>226</v>
      </c>
      <c r="H38" s="8">
        <v>-26.188982429840181</v>
      </c>
      <c r="I38" s="8" t="s">
        <v>226</v>
      </c>
      <c r="J38" s="8">
        <v>-25.422915357719891</v>
      </c>
      <c r="K38" s="8" t="s">
        <v>226</v>
      </c>
      <c r="L38" s="8">
        <v>-19.865845720494701</v>
      </c>
      <c r="M38" s="8" t="s">
        <v>226</v>
      </c>
      <c r="N38" s="8">
        <v>-13.13606951713245</v>
      </c>
      <c r="O38" s="8" t="s">
        <v>226</v>
      </c>
      <c r="P38" s="8">
        <v>-11.773510986639989</v>
      </c>
      <c r="Q38" s="8" t="s">
        <v>226</v>
      </c>
      <c r="R38" s="8">
        <v>-20.355992763122469</v>
      </c>
      <c r="S38" s="8" t="s">
        <v>226</v>
      </c>
      <c r="T38" s="8">
        <v>-12.16883359204687</v>
      </c>
      <c r="U38" s="8" t="s">
        <v>226</v>
      </c>
      <c r="V38" s="8">
        <v>-18.057663908564091</v>
      </c>
      <c r="W38" s="8" t="s">
        <v>226</v>
      </c>
      <c r="X38" s="8">
        <v>-22.310376248009089</v>
      </c>
      <c r="Y38" s="8" t="s">
        <v>226</v>
      </c>
      <c r="Z38" s="8">
        <v>-29.103427191394001</v>
      </c>
      <c r="AA38" s="8" t="s">
        <v>226</v>
      </c>
      <c r="AB38" s="8">
        <v>-41.207014181200151</v>
      </c>
      <c r="AC38" s="8" t="s">
        <v>226</v>
      </c>
      <c r="AD38" s="8">
        <v>-33.700856542441848</v>
      </c>
      <c r="AE38" s="8" t="s">
        <v>226</v>
      </c>
      <c r="AF38" s="8">
        <v>-18.252216292583618</v>
      </c>
      <c r="AG38" s="8" t="s">
        <v>226</v>
      </c>
      <c r="AH38" s="8">
        <v>-13.53477285734853</v>
      </c>
      <c r="AI38" s="8" t="s">
        <v>226</v>
      </c>
      <c r="AJ38" s="8">
        <v>-4.298974309592241</v>
      </c>
      <c r="AK38" s="8"/>
      <c r="AL38" s="8">
        <v>9.1778615531205254</v>
      </c>
      <c r="AM38" s="8"/>
      <c r="AN38" s="8">
        <v>13.44506294407091</v>
      </c>
      <c r="AO38" s="8"/>
      <c r="AP38" s="8">
        <v>-1.3743646496165001</v>
      </c>
      <c r="AQ38" s="8"/>
      <c r="AR38" s="8">
        <v>15.802847361705989</v>
      </c>
      <c r="AS38" s="8" t="s">
        <v>226</v>
      </c>
      <c r="AT38" s="8">
        <v>10.51096499854591</v>
      </c>
      <c r="AU38" s="8"/>
      <c r="AV38" s="9">
        <v>15.763691132909781</v>
      </c>
      <c r="AW38" s="8"/>
    </row>
    <row r="39" spans="1:49" ht="30" customHeight="1" x14ac:dyDescent="0.25">
      <c r="A39" s="4" t="s">
        <v>284</v>
      </c>
      <c r="B39" s="5">
        <v>-80.9925082454712</v>
      </c>
      <c r="C39" s="5" t="s">
        <v>226</v>
      </c>
      <c r="D39" s="5">
        <v>-77.240115899858097</v>
      </c>
      <c r="E39" s="5" t="s">
        <v>226</v>
      </c>
      <c r="F39" s="5">
        <v>-72.750598888544815</v>
      </c>
      <c r="G39" s="5" t="s">
        <v>226</v>
      </c>
      <c r="H39" s="5">
        <v>-68.774842601340652</v>
      </c>
      <c r="I39" s="5" t="s">
        <v>226</v>
      </c>
      <c r="J39" s="5">
        <v>-67.320286330148463</v>
      </c>
      <c r="K39" s="5" t="s">
        <v>226</v>
      </c>
      <c r="L39" s="5">
        <v>-64.008798266522462</v>
      </c>
      <c r="M39" s="5" t="s">
        <v>226</v>
      </c>
      <c r="N39" s="5">
        <v>-58.911235928985448</v>
      </c>
      <c r="O39" s="5" t="s">
        <v>226</v>
      </c>
      <c r="P39" s="5">
        <v>-55.611598419589257</v>
      </c>
      <c r="Q39" s="5" t="s">
        <v>226</v>
      </c>
      <c r="R39" s="5">
        <v>-55.939137922434689</v>
      </c>
      <c r="S39" s="5" t="s">
        <v>226</v>
      </c>
      <c r="T39" s="5">
        <v>-49.479991035533331</v>
      </c>
      <c r="U39" s="5" t="s">
        <v>226</v>
      </c>
      <c r="V39" s="5">
        <v>-50.061277470968179</v>
      </c>
      <c r="W39" s="5" t="s">
        <v>226</v>
      </c>
      <c r="X39" s="5">
        <v>-41.959428370452308</v>
      </c>
      <c r="Y39" s="5" t="s">
        <v>226</v>
      </c>
      <c r="Z39" s="5">
        <v>-39.971743447998783</v>
      </c>
      <c r="AA39" s="5" t="s">
        <v>226</v>
      </c>
      <c r="AB39" s="5">
        <v>-41.650157677631697</v>
      </c>
      <c r="AC39" s="5" t="s">
        <v>226</v>
      </c>
      <c r="AD39" s="5">
        <v>-30.95294690163432</v>
      </c>
      <c r="AE39" s="5" t="s">
        <v>226</v>
      </c>
      <c r="AF39" s="5">
        <v>-25.834072511109909</v>
      </c>
      <c r="AG39" s="5" t="s">
        <v>226</v>
      </c>
      <c r="AH39" s="5">
        <v>-24.09476804066313</v>
      </c>
      <c r="AI39" s="5" t="s">
        <v>226</v>
      </c>
      <c r="AJ39" s="5">
        <v>-22.236540483592929</v>
      </c>
      <c r="AK39" s="5" t="s">
        <v>226</v>
      </c>
      <c r="AL39" s="5">
        <v>-14.807719795040869</v>
      </c>
      <c r="AM39" s="5" t="s">
        <v>226</v>
      </c>
      <c r="AN39" s="5">
        <v>-25.227722091130829</v>
      </c>
      <c r="AO39" s="5" t="s">
        <v>226</v>
      </c>
      <c r="AP39" s="5">
        <v>-25.202175709138771</v>
      </c>
      <c r="AQ39" s="5" t="s">
        <v>226</v>
      </c>
      <c r="AR39" s="5">
        <v>-22.89605866087129</v>
      </c>
      <c r="AS39" s="5" t="s">
        <v>226</v>
      </c>
      <c r="AT39" s="5">
        <v>-9.0089004058339306</v>
      </c>
      <c r="AU39" s="5"/>
      <c r="AV39" s="6">
        <v>-10.08913218588842</v>
      </c>
      <c r="AW39" s="5"/>
    </row>
    <row r="40" spans="1:49" ht="15.75" x14ac:dyDescent="0.25">
      <c r="A40" s="7" t="s">
        <v>285</v>
      </c>
      <c r="B40" s="8">
        <v>-79.974122254840452</v>
      </c>
      <c r="C40" s="8" t="s">
        <v>226</v>
      </c>
      <c r="D40" s="8">
        <v>-76.813437613946306</v>
      </c>
      <c r="E40" s="8" t="s">
        <v>226</v>
      </c>
      <c r="F40" s="8">
        <v>-71.947253104417257</v>
      </c>
      <c r="G40" s="8" t="s">
        <v>226</v>
      </c>
      <c r="H40" s="8">
        <v>-66.986220969529555</v>
      </c>
      <c r="I40" s="8" t="s">
        <v>226</v>
      </c>
      <c r="J40" s="8">
        <v>-65.727277115587341</v>
      </c>
      <c r="K40" s="8" t="s">
        <v>226</v>
      </c>
      <c r="L40" s="8">
        <v>-63.128306233251173</v>
      </c>
      <c r="M40" s="8" t="s">
        <v>226</v>
      </c>
      <c r="N40" s="8">
        <v>-58.257784987080008</v>
      </c>
      <c r="O40" s="8" t="s">
        <v>226</v>
      </c>
      <c r="P40" s="8">
        <v>-55.399817727389397</v>
      </c>
      <c r="Q40" s="8" t="s">
        <v>226</v>
      </c>
      <c r="R40" s="8">
        <v>-56.937072299598768</v>
      </c>
      <c r="S40" s="8" t="s">
        <v>226</v>
      </c>
      <c r="T40" s="8">
        <v>-50.910083658310107</v>
      </c>
      <c r="U40" s="8" t="s">
        <v>226</v>
      </c>
      <c r="V40" s="8">
        <v>-53.65824187448942</v>
      </c>
      <c r="W40" s="8" t="s">
        <v>226</v>
      </c>
      <c r="X40" s="8">
        <v>-45.916334598568078</v>
      </c>
      <c r="Y40" s="8" t="s">
        <v>226</v>
      </c>
      <c r="Z40" s="8">
        <v>-45.489028588289351</v>
      </c>
      <c r="AA40" s="8" t="s">
        <v>226</v>
      </c>
      <c r="AB40" s="8">
        <v>-48.200547174325713</v>
      </c>
      <c r="AC40" s="8" t="s">
        <v>226</v>
      </c>
      <c r="AD40" s="8">
        <v>-38.95293002002078</v>
      </c>
      <c r="AE40" s="8" t="s">
        <v>226</v>
      </c>
      <c r="AF40" s="8">
        <v>-35.557899287679938</v>
      </c>
      <c r="AG40" s="8" t="s">
        <v>226</v>
      </c>
      <c r="AH40" s="8">
        <v>-32.425549866493448</v>
      </c>
      <c r="AI40" s="8" t="s">
        <v>226</v>
      </c>
      <c r="AJ40" s="8">
        <v>-30.378319022522209</v>
      </c>
      <c r="AK40" s="8" t="s">
        <v>226</v>
      </c>
      <c r="AL40" s="8">
        <v>-24.643062068502228</v>
      </c>
      <c r="AM40" s="8" t="s">
        <v>226</v>
      </c>
      <c r="AN40" s="8">
        <v>-31.911444563782709</v>
      </c>
      <c r="AO40" s="8" t="s">
        <v>226</v>
      </c>
      <c r="AP40" s="8">
        <v>-31.67233398879775</v>
      </c>
      <c r="AQ40" s="8" t="s">
        <v>226</v>
      </c>
      <c r="AR40" s="8">
        <v>-29.567349767856829</v>
      </c>
      <c r="AS40" s="8" t="s">
        <v>226</v>
      </c>
      <c r="AT40" s="8">
        <v>-14.11383180376348</v>
      </c>
      <c r="AU40" s="8" t="s">
        <v>226</v>
      </c>
      <c r="AV40" s="9">
        <v>-9.2335505877271462</v>
      </c>
      <c r="AW40" s="8"/>
    </row>
    <row r="41" spans="1:49" ht="15.75" x14ac:dyDescent="0.25">
      <c r="A41" s="7" t="s">
        <v>286</v>
      </c>
      <c r="B41" s="8">
        <v>-78.858621211526597</v>
      </c>
      <c r="C41" s="8" t="s">
        <v>226</v>
      </c>
      <c r="D41" s="8">
        <v>-73.18915930050423</v>
      </c>
      <c r="E41" s="8" t="s">
        <v>226</v>
      </c>
      <c r="F41" s="8">
        <v>-68.690642944698226</v>
      </c>
      <c r="G41" s="8" t="s">
        <v>226</v>
      </c>
      <c r="H41" s="8">
        <v>-66.866073306220272</v>
      </c>
      <c r="I41" s="8" t="s">
        <v>226</v>
      </c>
      <c r="J41" s="8">
        <v>-62.762548271608587</v>
      </c>
      <c r="K41" s="8" t="s">
        <v>226</v>
      </c>
      <c r="L41" s="8">
        <v>-56.801536998912617</v>
      </c>
      <c r="M41" s="8" t="s">
        <v>226</v>
      </c>
      <c r="N41" s="8">
        <v>-52.070888391869218</v>
      </c>
      <c r="O41" s="8" t="s">
        <v>226</v>
      </c>
      <c r="P41" s="8">
        <v>-42.524195830928988</v>
      </c>
      <c r="Q41" s="8" t="s">
        <v>226</v>
      </c>
      <c r="R41" s="8">
        <v>-41.554673422532673</v>
      </c>
      <c r="S41" s="8" t="s">
        <v>226</v>
      </c>
      <c r="T41" s="8">
        <v>-33.113787626843163</v>
      </c>
      <c r="U41" s="8" t="s">
        <v>226</v>
      </c>
      <c r="V41" s="8">
        <v>-29.604386175222899</v>
      </c>
      <c r="W41" s="8" t="s">
        <v>226</v>
      </c>
      <c r="X41" s="8">
        <v>-9.9609536085113355</v>
      </c>
      <c r="Y41" s="8"/>
      <c r="Z41" s="8">
        <v>5.9365867234042016</v>
      </c>
      <c r="AA41" s="8"/>
      <c r="AB41" s="8">
        <v>5.7208993505274197</v>
      </c>
      <c r="AC41" s="8"/>
      <c r="AD41" s="8">
        <v>15.78628154573294</v>
      </c>
      <c r="AE41" s="8"/>
      <c r="AF41" s="8">
        <v>53.729984577350663</v>
      </c>
      <c r="AG41" s="8" t="s">
        <v>226</v>
      </c>
      <c r="AH41" s="8">
        <v>71.272911801058441</v>
      </c>
      <c r="AI41" s="8" t="s">
        <v>226</v>
      </c>
      <c r="AJ41" s="8">
        <v>29.17123688387861</v>
      </c>
      <c r="AK41" s="8"/>
      <c r="AL41" s="8">
        <v>69.901449922143001</v>
      </c>
      <c r="AM41" s="8" t="s">
        <v>226</v>
      </c>
      <c r="AN41" s="8">
        <v>23.74702809462055</v>
      </c>
      <c r="AO41" s="8"/>
      <c r="AP41" s="8">
        <v>16.261754648144031</v>
      </c>
      <c r="AQ41" s="8"/>
      <c r="AR41" s="8">
        <v>26.380494244440001</v>
      </c>
      <c r="AS41" s="8"/>
      <c r="AT41" s="8">
        <v>3.4649614667598971</v>
      </c>
      <c r="AU41" s="8"/>
      <c r="AV41" s="9">
        <v>-3.947536078844216</v>
      </c>
      <c r="AW41" s="8"/>
    </row>
    <row r="42" spans="1:49" ht="15.75" x14ac:dyDescent="0.25">
      <c r="A42" s="7" t="s">
        <v>287</v>
      </c>
      <c r="B42" s="8">
        <v>-88.749163811555192</v>
      </c>
      <c r="C42" s="8" t="s">
        <v>226</v>
      </c>
      <c r="D42" s="8">
        <v>-85.65750654010624</v>
      </c>
      <c r="E42" s="8" t="s">
        <v>226</v>
      </c>
      <c r="F42" s="8">
        <v>-82.291523711027963</v>
      </c>
      <c r="G42" s="8" t="s">
        <v>226</v>
      </c>
      <c r="H42" s="8">
        <v>-78.752525339405338</v>
      </c>
      <c r="I42" s="8" t="s">
        <v>226</v>
      </c>
      <c r="J42" s="8">
        <v>-78.704547354893691</v>
      </c>
      <c r="K42" s="8" t="s">
        <v>226</v>
      </c>
      <c r="L42" s="8">
        <v>-74.968770903671214</v>
      </c>
      <c r="M42" s="8" t="s">
        <v>226</v>
      </c>
      <c r="N42" s="8">
        <v>-69.820735618841866</v>
      </c>
      <c r="O42" s="8" t="s">
        <v>226</v>
      </c>
      <c r="P42" s="8">
        <v>-66.666731607862516</v>
      </c>
      <c r="Q42" s="8" t="s">
        <v>226</v>
      </c>
      <c r="R42" s="8">
        <v>-64.805324765689349</v>
      </c>
      <c r="S42" s="8" t="s">
        <v>226</v>
      </c>
      <c r="T42" s="8">
        <v>-59.277432177616568</v>
      </c>
      <c r="U42" s="8" t="s">
        <v>226</v>
      </c>
      <c r="V42" s="8">
        <v>-53.868472548766157</v>
      </c>
      <c r="W42" s="8" t="s">
        <v>226</v>
      </c>
      <c r="X42" s="8">
        <v>-46.725162827234193</v>
      </c>
      <c r="Y42" s="8" t="s">
        <v>226</v>
      </c>
      <c r="Z42" s="8">
        <v>-43.584796028331418</v>
      </c>
      <c r="AA42" s="8" t="s">
        <v>226</v>
      </c>
      <c r="AB42" s="8">
        <v>-40.334945106022801</v>
      </c>
      <c r="AC42" s="8" t="s">
        <v>226</v>
      </c>
      <c r="AD42" s="8">
        <v>-26.336314281278259</v>
      </c>
      <c r="AE42" s="8" t="s">
        <v>226</v>
      </c>
      <c r="AF42" s="8">
        <v>-17.143399973918289</v>
      </c>
      <c r="AG42" s="8"/>
      <c r="AH42" s="8">
        <v>-28.165283246904629</v>
      </c>
      <c r="AI42" s="8" t="s">
        <v>226</v>
      </c>
      <c r="AJ42" s="8">
        <v>-18.164729838427441</v>
      </c>
      <c r="AK42" s="8"/>
      <c r="AL42" s="8">
        <v>-13.633104470574731</v>
      </c>
      <c r="AM42" s="8"/>
      <c r="AN42" s="8">
        <v>-25.787368924828481</v>
      </c>
      <c r="AO42" s="8" t="s">
        <v>226</v>
      </c>
      <c r="AP42" s="8">
        <v>-24.48080215072962</v>
      </c>
      <c r="AQ42" s="8" t="s">
        <v>226</v>
      </c>
      <c r="AR42" s="8">
        <v>-22.44135456650713</v>
      </c>
      <c r="AS42" s="8" t="s">
        <v>226</v>
      </c>
      <c r="AT42" s="8">
        <v>-0.2380724983673255</v>
      </c>
      <c r="AU42" s="8"/>
      <c r="AV42" s="9">
        <v>-20.854108672967001</v>
      </c>
      <c r="AW42" s="8"/>
    </row>
    <row r="43" spans="1:49" ht="30" customHeight="1" x14ac:dyDescent="0.25">
      <c r="A43" s="4" t="s">
        <v>288</v>
      </c>
      <c r="B43" s="5">
        <v>-69.796729635853339</v>
      </c>
      <c r="C43" s="5" t="s">
        <v>226</v>
      </c>
      <c r="D43" s="5">
        <v>-62.865761695761563</v>
      </c>
      <c r="E43" s="5" t="s">
        <v>226</v>
      </c>
      <c r="F43" s="5">
        <v>-49.304791731265958</v>
      </c>
      <c r="G43" s="5" t="s">
        <v>226</v>
      </c>
      <c r="H43" s="5">
        <v>-47.04969229262224</v>
      </c>
      <c r="I43" s="5" t="s">
        <v>226</v>
      </c>
      <c r="J43" s="5">
        <v>-44.567009281578763</v>
      </c>
      <c r="K43" s="5" t="s">
        <v>226</v>
      </c>
      <c r="L43" s="5">
        <v>-46.608620386299442</v>
      </c>
      <c r="M43" s="5" t="s">
        <v>226</v>
      </c>
      <c r="N43" s="5">
        <v>-49.688998548187577</v>
      </c>
      <c r="O43" s="5" t="s">
        <v>226</v>
      </c>
      <c r="P43" s="5">
        <v>-53.093548592445629</v>
      </c>
      <c r="Q43" s="5" t="s">
        <v>226</v>
      </c>
      <c r="R43" s="5">
        <v>-57.575140869833021</v>
      </c>
      <c r="S43" s="5" t="s">
        <v>226</v>
      </c>
      <c r="T43" s="5">
        <v>-54.218735296453517</v>
      </c>
      <c r="U43" s="5" t="s">
        <v>226</v>
      </c>
      <c r="V43" s="5">
        <v>-61.837355111756629</v>
      </c>
      <c r="W43" s="5" t="s">
        <v>226</v>
      </c>
      <c r="X43" s="5">
        <v>-58.114019800350171</v>
      </c>
      <c r="Y43" s="5" t="s">
        <v>226</v>
      </c>
      <c r="Z43" s="5">
        <v>-61.032620806902017</v>
      </c>
      <c r="AA43" s="5" t="s">
        <v>226</v>
      </c>
      <c r="AB43" s="5">
        <v>-57.056570469234593</v>
      </c>
      <c r="AC43" s="5" t="s">
        <v>226</v>
      </c>
      <c r="AD43" s="5">
        <v>-58.540590584991691</v>
      </c>
      <c r="AE43" s="5" t="s">
        <v>226</v>
      </c>
      <c r="AF43" s="5">
        <v>-49.228316522968562</v>
      </c>
      <c r="AG43" s="5" t="s">
        <v>226</v>
      </c>
      <c r="AH43" s="5">
        <v>-48.472967573824242</v>
      </c>
      <c r="AI43" s="5" t="s">
        <v>226</v>
      </c>
      <c r="AJ43" s="5">
        <v>-42.739266385230273</v>
      </c>
      <c r="AK43" s="5" t="s">
        <v>226</v>
      </c>
      <c r="AL43" s="5">
        <v>-36.452345844600877</v>
      </c>
      <c r="AM43" s="5" t="s">
        <v>226</v>
      </c>
      <c r="AN43" s="5">
        <v>-38.586671692340921</v>
      </c>
      <c r="AO43" s="5" t="s">
        <v>226</v>
      </c>
      <c r="AP43" s="5">
        <v>-40.480239981732417</v>
      </c>
      <c r="AQ43" s="5" t="s">
        <v>226</v>
      </c>
      <c r="AR43" s="5">
        <v>-30.7296019646388</v>
      </c>
      <c r="AS43" s="5" t="s">
        <v>226</v>
      </c>
      <c r="AT43" s="5">
        <v>-19.023728113461921</v>
      </c>
      <c r="AU43" s="5"/>
      <c r="AV43" s="6">
        <v>-10.38046589660591</v>
      </c>
      <c r="AW43" s="5"/>
    </row>
    <row r="44" spans="1:49" ht="30" customHeight="1" x14ac:dyDescent="0.25">
      <c r="A44" s="4" t="s">
        <v>237</v>
      </c>
      <c r="B44" s="5">
        <v>-77.335000590119265</v>
      </c>
      <c r="C44" s="5" t="s">
        <v>226</v>
      </c>
      <c r="D44" s="5">
        <v>-72.518501347299008</v>
      </c>
      <c r="E44" s="5" t="s">
        <v>226</v>
      </c>
      <c r="F44" s="5">
        <v>-71.127686915661641</v>
      </c>
      <c r="G44" s="5" t="s">
        <v>226</v>
      </c>
      <c r="H44" s="5">
        <v>-70.230552800549077</v>
      </c>
      <c r="I44" s="5" t="s">
        <v>226</v>
      </c>
      <c r="J44" s="5">
        <v>-69.935523329955458</v>
      </c>
      <c r="K44" s="5" t="s">
        <v>226</v>
      </c>
      <c r="L44" s="5">
        <v>-69.462493069312629</v>
      </c>
      <c r="M44" s="5" t="s">
        <v>226</v>
      </c>
      <c r="N44" s="5">
        <v>-69.740743543494574</v>
      </c>
      <c r="O44" s="5" t="s">
        <v>226</v>
      </c>
      <c r="P44" s="5">
        <v>-71.866117185528623</v>
      </c>
      <c r="Q44" s="5" t="s">
        <v>226</v>
      </c>
      <c r="R44" s="5">
        <v>-73.151366331869355</v>
      </c>
      <c r="S44" s="5" t="s">
        <v>226</v>
      </c>
      <c r="T44" s="5">
        <v>-71.063481101062564</v>
      </c>
      <c r="U44" s="5" t="s">
        <v>226</v>
      </c>
      <c r="V44" s="5">
        <v>-72.51532705167017</v>
      </c>
      <c r="W44" s="5" t="s">
        <v>226</v>
      </c>
      <c r="X44" s="5">
        <v>-69.134733761967823</v>
      </c>
      <c r="Y44" s="5" t="s">
        <v>226</v>
      </c>
      <c r="Z44" s="5">
        <v>-66.48125162614626</v>
      </c>
      <c r="AA44" s="5" t="s">
        <v>226</v>
      </c>
      <c r="AB44" s="5">
        <v>-64.984218321327731</v>
      </c>
      <c r="AC44" s="5" t="s">
        <v>226</v>
      </c>
      <c r="AD44" s="5">
        <v>-59.510393104929342</v>
      </c>
      <c r="AE44" s="5" t="s">
        <v>226</v>
      </c>
      <c r="AF44" s="5">
        <v>-52.385923825788502</v>
      </c>
      <c r="AG44" s="5" t="s">
        <v>226</v>
      </c>
      <c r="AH44" s="5">
        <v>-47.636134453853472</v>
      </c>
      <c r="AI44" s="5" t="s">
        <v>226</v>
      </c>
      <c r="AJ44" s="5">
        <v>-47.433163183697282</v>
      </c>
      <c r="AK44" s="5" t="s">
        <v>226</v>
      </c>
      <c r="AL44" s="5">
        <v>-43.700473098490043</v>
      </c>
      <c r="AM44" s="5" t="s">
        <v>226</v>
      </c>
      <c r="AN44" s="5">
        <v>-40.262576105596672</v>
      </c>
      <c r="AO44" s="5" t="s">
        <v>226</v>
      </c>
      <c r="AP44" s="5">
        <v>-43.910547421911183</v>
      </c>
      <c r="AQ44" s="5" t="s">
        <v>226</v>
      </c>
      <c r="AR44" s="5">
        <v>-36.592757159071923</v>
      </c>
      <c r="AS44" s="5" t="s">
        <v>226</v>
      </c>
      <c r="AT44" s="5">
        <v>-5.300375750637631</v>
      </c>
      <c r="AU44" s="5"/>
      <c r="AV44" s="6">
        <v>-8.9073508569531228</v>
      </c>
      <c r="AW44" s="5"/>
    </row>
    <row r="45" spans="1:49" ht="15.75" x14ac:dyDescent="0.25">
      <c r="A45" s="7" t="s">
        <v>289</v>
      </c>
      <c r="B45" s="8">
        <v>-76.281412662920147</v>
      </c>
      <c r="C45" s="8" t="s">
        <v>226</v>
      </c>
      <c r="D45" s="8">
        <v>-71.39742959476709</v>
      </c>
      <c r="E45" s="8" t="s">
        <v>226</v>
      </c>
      <c r="F45" s="8">
        <v>-71.020036831254046</v>
      </c>
      <c r="G45" s="8" t="s">
        <v>226</v>
      </c>
      <c r="H45" s="8">
        <v>-69.639456937014003</v>
      </c>
      <c r="I45" s="8" t="s">
        <v>226</v>
      </c>
      <c r="J45" s="8">
        <v>-70.170417612651775</v>
      </c>
      <c r="K45" s="8" t="s">
        <v>226</v>
      </c>
      <c r="L45" s="8">
        <v>-68.591411313687559</v>
      </c>
      <c r="M45" s="8" t="s">
        <v>226</v>
      </c>
      <c r="N45" s="8">
        <v>-70.433973482415695</v>
      </c>
      <c r="O45" s="8" t="s">
        <v>226</v>
      </c>
      <c r="P45" s="8">
        <v>-72.879665203577389</v>
      </c>
      <c r="Q45" s="8" t="s">
        <v>226</v>
      </c>
      <c r="R45" s="8">
        <v>-74.763643681483245</v>
      </c>
      <c r="S45" s="8" t="s">
        <v>226</v>
      </c>
      <c r="T45" s="8">
        <v>-72.772160938855109</v>
      </c>
      <c r="U45" s="8" t="s">
        <v>226</v>
      </c>
      <c r="V45" s="8">
        <v>-74.86033923172559</v>
      </c>
      <c r="W45" s="8" t="s">
        <v>226</v>
      </c>
      <c r="X45" s="8">
        <v>-71.321263055361484</v>
      </c>
      <c r="Y45" s="8" t="s">
        <v>226</v>
      </c>
      <c r="Z45" s="8">
        <v>-69.616808641492668</v>
      </c>
      <c r="AA45" s="8" t="s">
        <v>226</v>
      </c>
      <c r="AB45" s="8">
        <v>-68.161619469175434</v>
      </c>
      <c r="AC45" s="8" t="s">
        <v>226</v>
      </c>
      <c r="AD45" s="8">
        <v>-63.64573157554377</v>
      </c>
      <c r="AE45" s="8" t="s">
        <v>226</v>
      </c>
      <c r="AF45" s="8">
        <v>-57.390849659872721</v>
      </c>
      <c r="AG45" s="8" t="s">
        <v>226</v>
      </c>
      <c r="AH45" s="8">
        <v>-50.794690846278023</v>
      </c>
      <c r="AI45" s="8" t="s">
        <v>226</v>
      </c>
      <c r="AJ45" s="8">
        <v>-52.047159559129327</v>
      </c>
      <c r="AK45" s="8" t="s">
        <v>226</v>
      </c>
      <c r="AL45" s="8">
        <v>-48.466063069277041</v>
      </c>
      <c r="AM45" s="8" t="s">
        <v>226</v>
      </c>
      <c r="AN45" s="8">
        <v>-43.890974350250517</v>
      </c>
      <c r="AO45" s="8" t="s">
        <v>226</v>
      </c>
      <c r="AP45" s="8">
        <v>-50.618871310078177</v>
      </c>
      <c r="AQ45" s="8" t="s">
        <v>226</v>
      </c>
      <c r="AR45" s="8">
        <v>-42.203835829140317</v>
      </c>
      <c r="AS45" s="8" t="s">
        <v>226</v>
      </c>
      <c r="AT45" s="8">
        <v>-11.83486028127427</v>
      </c>
      <c r="AU45" s="8"/>
      <c r="AV45" s="9">
        <v>-11.633989573305429</v>
      </c>
      <c r="AW45" s="8"/>
    </row>
    <row r="46" spans="1:49" ht="15.75" x14ac:dyDescent="0.25">
      <c r="A46" s="10" t="s">
        <v>290</v>
      </c>
      <c r="B46" s="11">
        <v>-80.996640090022908</v>
      </c>
      <c r="C46" s="11" t="s">
        <v>226</v>
      </c>
      <c r="D46" s="11">
        <v>-76.688933638158872</v>
      </c>
      <c r="E46" s="11" t="s">
        <v>226</v>
      </c>
      <c r="F46" s="11">
        <v>-73.591202581304714</v>
      </c>
      <c r="G46" s="11" t="s">
        <v>226</v>
      </c>
      <c r="H46" s="11">
        <v>-73.73346397263218</v>
      </c>
      <c r="I46" s="11" t="s">
        <v>226</v>
      </c>
      <c r="J46" s="11">
        <v>-72.058776166946473</v>
      </c>
      <c r="K46" s="11" t="s">
        <v>226</v>
      </c>
      <c r="L46" s="11">
        <v>-72.425484370759932</v>
      </c>
      <c r="M46" s="11" t="s">
        <v>226</v>
      </c>
      <c r="N46" s="11">
        <v>-71.75203391996952</v>
      </c>
      <c r="O46" s="11" t="s">
        <v>226</v>
      </c>
      <c r="P46" s="11">
        <v>-72.471805171060112</v>
      </c>
      <c r="Q46" s="11" t="s">
        <v>226</v>
      </c>
      <c r="R46" s="11">
        <v>-73.348590025426645</v>
      </c>
      <c r="S46" s="11" t="s">
        <v>226</v>
      </c>
      <c r="T46" s="11">
        <v>-70.676798859978192</v>
      </c>
      <c r="U46" s="11" t="s">
        <v>226</v>
      </c>
      <c r="V46" s="11">
        <v>-70.693423347928189</v>
      </c>
      <c r="W46" s="11" t="s">
        <v>226</v>
      </c>
      <c r="X46" s="11">
        <v>-67.49648947102105</v>
      </c>
      <c r="Y46" s="11" t="s">
        <v>226</v>
      </c>
      <c r="Z46" s="11">
        <v>-61.882848129656452</v>
      </c>
      <c r="AA46" s="11" t="s">
        <v>226</v>
      </c>
      <c r="AB46" s="11">
        <v>-60.463957137195507</v>
      </c>
      <c r="AC46" s="11" t="s">
        <v>226</v>
      </c>
      <c r="AD46" s="11">
        <v>-52.536837012911178</v>
      </c>
      <c r="AE46" s="11" t="s">
        <v>226</v>
      </c>
      <c r="AF46" s="11">
        <v>-43.680733636403943</v>
      </c>
      <c r="AG46" s="11" t="s">
        <v>226</v>
      </c>
      <c r="AH46" s="11">
        <v>-43.380206346180493</v>
      </c>
      <c r="AI46" s="11" t="s">
        <v>226</v>
      </c>
      <c r="AJ46" s="11">
        <v>-37.868059936134962</v>
      </c>
      <c r="AK46" s="11" t="s">
        <v>226</v>
      </c>
      <c r="AL46" s="11">
        <v>-34.247032499101223</v>
      </c>
      <c r="AM46" s="11" t="s">
        <v>226</v>
      </c>
      <c r="AN46" s="11">
        <v>-34.875458279816407</v>
      </c>
      <c r="AO46" s="11" t="s">
        <v>226</v>
      </c>
      <c r="AP46" s="11">
        <v>-29.54840706720384</v>
      </c>
      <c r="AQ46" s="11" t="s">
        <v>226</v>
      </c>
      <c r="AR46" s="11">
        <v>-25.175196956100169</v>
      </c>
      <c r="AS46" s="11" t="s">
        <v>226</v>
      </c>
      <c r="AT46" s="11">
        <v>3.0747839375954382</v>
      </c>
      <c r="AU46" s="11"/>
      <c r="AV46" s="12">
        <v>-4.4656226692580292</v>
      </c>
      <c r="AW46" s="11"/>
    </row>
    <row r="47" spans="1:49" ht="30" customHeight="1" x14ac:dyDescent="0.25">
      <c r="A47" s="816" t="s">
        <v>291</v>
      </c>
      <c r="B47" s="817">
        <v>-69.358161367848169</v>
      </c>
      <c r="C47" s="817" t="s">
        <v>226</v>
      </c>
      <c r="D47" s="817">
        <v>-65.132057655614517</v>
      </c>
      <c r="E47" s="817" t="s">
        <v>226</v>
      </c>
      <c r="F47" s="817">
        <v>-61.245756548653972</v>
      </c>
      <c r="G47" s="817" t="s">
        <v>226</v>
      </c>
      <c r="H47" s="817">
        <v>-56.573387140607963</v>
      </c>
      <c r="I47" s="817" t="s">
        <v>226</v>
      </c>
      <c r="J47" s="817">
        <v>-55.434477117701263</v>
      </c>
      <c r="K47" s="817" t="s">
        <v>226</v>
      </c>
      <c r="L47" s="817">
        <v>-53.586965871268653</v>
      </c>
      <c r="M47" s="817" t="s">
        <v>226</v>
      </c>
      <c r="N47" s="817">
        <v>-50.709332005712973</v>
      </c>
      <c r="O47" s="817" t="s">
        <v>226</v>
      </c>
      <c r="P47" s="817">
        <v>-50.277976545962531</v>
      </c>
      <c r="Q47" s="817" t="s">
        <v>226</v>
      </c>
      <c r="R47" s="817">
        <v>-52.684185375029173</v>
      </c>
      <c r="S47" s="817" t="s">
        <v>226</v>
      </c>
      <c r="T47" s="817">
        <v>-48.318032863473817</v>
      </c>
      <c r="U47" s="817" t="s">
        <v>226</v>
      </c>
      <c r="V47" s="817">
        <v>-51.254451047662087</v>
      </c>
      <c r="W47" s="817" t="s">
        <v>226</v>
      </c>
      <c r="X47" s="817">
        <v>-47.457826973460797</v>
      </c>
      <c r="Y47" s="817" t="s">
        <v>226</v>
      </c>
      <c r="Z47" s="817">
        <v>-47.963610051668539</v>
      </c>
      <c r="AA47" s="817" t="s">
        <v>226</v>
      </c>
      <c r="AB47" s="817">
        <v>-48.005983325762791</v>
      </c>
      <c r="AC47" s="817" t="s">
        <v>226</v>
      </c>
      <c r="AD47" s="817">
        <v>-41.275875325753319</v>
      </c>
      <c r="AE47" s="817" t="s">
        <v>226</v>
      </c>
      <c r="AF47" s="817">
        <v>-36.075283712148597</v>
      </c>
      <c r="AG47" s="817" t="s">
        <v>226</v>
      </c>
      <c r="AH47" s="817">
        <v>-31.95745033853219</v>
      </c>
      <c r="AI47" s="817" t="s">
        <v>226</v>
      </c>
      <c r="AJ47" s="817">
        <v>-29.41883404219854</v>
      </c>
      <c r="AK47" s="817" t="s">
        <v>226</v>
      </c>
      <c r="AL47" s="817">
        <v>-23.66160565024688</v>
      </c>
      <c r="AM47" s="817" t="s">
        <v>226</v>
      </c>
      <c r="AN47" s="817">
        <v>-26.468520237865619</v>
      </c>
      <c r="AO47" s="817" t="s">
        <v>226</v>
      </c>
      <c r="AP47" s="817">
        <v>-29.281359269295539</v>
      </c>
      <c r="AQ47" s="817" t="s">
        <v>226</v>
      </c>
      <c r="AR47" s="817">
        <v>-21.110802843972269</v>
      </c>
      <c r="AS47" s="817" t="s">
        <v>226</v>
      </c>
      <c r="AT47" s="817">
        <v>1.5355720431390329</v>
      </c>
      <c r="AU47" s="817"/>
      <c r="AV47" s="818">
        <v>-0.99542631319405883</v>
      </c>
      <c r="AW47" s="817"/>
    </row>
    <row r="48" spans="1:49" ht="30" customHeight="1" x14ac:dyDescent="0.25">
      <c r="A48" s="4" t="s">
        <v>1475</v>
      </c>
      <c r="B48" s="5" t="s">
        <v>169</v>
      </c>
      <c r="C48" s="5" t="s">
        <v>169</v>
      </c>
      <c r="D48" s="5" t="s">
        <v>169</v>
      </c>
      <c r="E48" s="5" t="s">
        <v>169</v>
      </c>
      <c r="F48" s="5" t="s">
        <v>169</v>
      </c>
      <c r="G48" s="5" t="s">
        <v>169</v>
      </c>
      <c r="H48" s="5" t="s">
        <v>169</v>
      </c>
      <c r="I48" s="5" t="s">
        <v>169</v>
      </c>
      <c r="J48" s="5" t="s">
        <v>169</v>
      </c>
      <c r="K48" s="5" t="s">
        <v>169</v>
      </c>
      <c r="L48" s="5" t="s">
        <v>169</v>
      </c>
      <c r="M48" s="5" t="s">
        <v>169</v>
      </c>
      <c r="N48" s="5" t="s">
        <v>169</v>
      </c>
      <c r="O48" s="5" t="s">
        <v>169</v>
      </c>
      <c r="P48" s="5" t="s">
        <v>169</v>
      </c>
      <c r="Q48" s="5" t="s">
        <v>169</v>
      </c>
      <c r="R48" s="5" t="s">
        <v>169</v>
      </c>
      <c r="S48" s="5" t="s">
        <v>169</v>
      </c>
      <c r="T48" s="5" t="s">
        <v>169</v>
      </c>
      <c r="U48" s="5" t="s">
        <v>169</v>
      </c>
      <c r="V48" s="5" t="s">
        <v>169</v>
      </c>
      <c r="W48" s="5" t="s">
        <v>169</v>
      </c>
      <c r="X48" s="5" t="s">
        <v>169</v>
      </c>
      <c r="Y48" s="5" t="s">
        <v>169</v>
      </c>
      <c r="Z48" s="5" t="s">
        <v>169</v>
      </c>
      <c r="AA48" s="5" t="s">
        <v>169</v>
      </c>
      <c r="AB48" s="5" t="s">
        <v>169</v>
      </c>
      <c r="AC48" s="5" t="s">
        <v>169</v>
      </c>
      <c r="AD48" s="5" t="s">
        <v>169</v>
      </c>
      <c r="AE48" s="5" t="s">
        <v>169</v>
      </c>
      <c r="AF48" s="5" t="s">
        <v>169</v>
      </c>
      <c r="AG48" s="5" t="s">
        <v>169</v>
      </c>
      <c r="AH48" s="5" t="s">
        <v>169</v>
      </c>
      <c r="AI48" s="5" t="s">
        <v>169</v>
      </c>
      <c r="AJ48" s="5" t="s">
        <v>169</v>
      </c>
      <c r="AK48" s="5" t="s">
        <v>169</v>
      </c>
      <c r="AL48" s="5">
        <v>23.78119013755715</v>
      </c>
      <c r="AM48" s="5" t="s">
        <v>226</v>
      </c>
      <c r="AN48" s="5">
        <v>23.02085095906914</v>
      </c>
      <c r="AO48" s="5" t="s">
        <v>226</v>
      </c>
      <c r="AP48" s="5">
        <v>8.6999332767545354</v>
      </c>
      <c r="AQ48" s="5" t="s">
        <v>226</v>
      </c>
      <c r="AR48" s="5">
        <v>10.276860293734339</v>
      </c>
      <c r="AS48" s="5" t="s">
        <v>226</v>
      </c>
      <c r="AT48" s="5">
        <v>15.40321910153672</v>
      </c>
      <c r="AU48" s="5" t="s">
        <v>226</v>
      </c>
      <c r="AV48" s="6">
        <v>14.58170685816842</v>
      </c>
      <c r="AW48" s="5" t="s">
        <v>226</v>
      </c>
    </row>
    <row r="49" spans="1:49" ht="15.75" x14ac:dyDescent="0.25">
      <c r="A49" s="7" t="s">
        <v>170</v>
      </c>
      <c r="B49" s="8" t="s">
        <v>169</v>
      </c>
      <c r="C49" s="8" t="s">
        <v>169</v>
      </c>
      <c r="D49" s="8" t="s">
        <v>169</v>
      </c>
      <c r="E49" s="8" t="s">
        <v>169</v>
      </c>
      <c r="F49" s="8" t="s">
        <v>169</v>
      </c>
      <c r="G49" s="8" t="s">
        <v>169</v>
      </c>
      <c r="H49" s="8" t="s">
        <v>169</v>
      </c>
      <c r="I49" s="8" t="s">
        <v>169</v>
      </c>
      <c r="J49" s="8" t="s">
        <v>169</v>
      </c>
      <c r="K49" s="8" t="s">
        <v>169</v>
      </c>
      <c r="L49" s="8" t="s">
        <v>169</v>
      </c>
      <c r="M49" s="8" t="s">
        <v>169</v>
      </c>
      <c r="N49" s="8" t="s">
        <v>169</v>
      </c>
      <c r="O49" s="8" t="s">
        <v>169</v>
      </c>
      <c r="P49" s="8" t="s">
        <v>169</v>
      </c>
      <c r="Q49" s="8" t="s">
        <v>169</v>
      </c>
      <c r="R49" s="8" t="s">
        <v>169</v>
      </c>
      <c r="S49" s="8" t="s">
        <v>169</v>
      </c>
      <c r="T49" s="8" t="s">
        <v>169</v>
      </c>
      <c r="U49" s="8" t="s">
        <v>169</v>
      </c>
      <c r="V49" s="8" t="s">
        <v>169</v>
      </c>
      <c r="W49" s="8" t="s">
        <v>169</v>
      </c>
      <c r="X49" s="8" t="s">
        <v>169</v>
      </c>
      <c r="Y49" s="8" t="s">
        <v>169</v>
      </c>
      <c r="Z49" s="8" t="s">
        <v>169</v>
      </c>
      <c r="AA49" s="8" t="s">
        <v>169</v>
      </c>
      <c r="AB49" s="8" t="s">
        <v>169</v>
      </c>
      <c r="AC49" s="8" t="s">
        <v>169</v>
      </c>
      <c r="AD49" s="8" t="s">
        <v>169</v>
      </c>
      <c r="AE49" s="8" t="s">
        <v>169</v>
      </c>
      <c r="AF49" s="8" t="s">
        <v>169</v>
      </c>
      <c r="AG49" s="8" t="s">
        <v>169</v>
      </c>
      <c r="AH49" s="8" t="s">
        <v>169</v>
      </c>
      <c r="AI49" s="8" t="s">
        <v>169</v>
      </c>
      <c r="AJ49" s="8" t="s">
        <v>169</v>
      </c>
      <c r="AK49" s="8" t="s">
        <v>169</v>
      </c>
      <c r="AL49" s="8">
        <v>3.0822694325445492</v>
      </c>
      <c r="AM49" s="8"/>
      <c r="AN49" s="8">
        <v>6.1394536486369056</v>
      </c>
      <c r="AO49" s="8"/>
      <c r="AP49" s="8">
        <v>-4.5628955929395643</v>
      </c>
      <c r="AQ49" s="8"/>
      <c r="AR49" s="8">
        <v>-1.748707614722411</v>
      </c>
      <c r="AS49" s="8"/>
      <c r="AT49" s="8">
        <v>16.302090907600221</v>
      </c>
      <c r="AU49" s="8" t="s">
        <v>226</v>
      </c>
      <c r="AV49" s="9">
        <v>21.60035097264263</v>
      </c>
      <c r="AW49" s="8" t="s">
        <v>226</v>
      </c>
    </row>
    <row r="50" spans="1:49" ht="15.75" x14ac:dyDescent="0.25">
      <c r="A50" s="7" t="s">
        <v>171</v>
      </c>
      <c r="B50" s="8" t="s">
        <v>169</v>
      </c>
      <c r="C50" s="8" t="s">
        <v>169</v>
      </c>
      <c r="D50" s="8" t="s">
        <v>169</v>
      </c>
      <c r="E50" s="8" t="s">
        <v>169</v>
      </c>
      <c r="F50" s="8" t="s">
        <v>169</v>
      </c>
      <c r="G50" s="8" t="s">
        <v>169</v>
      </c>
      <c r="H50" s="8" t="s">
        <v>169</v>
      </c>
      <c r="I50" s="8" t="s">
        <v>169</v>
      </c>
      <c r="J50" s="8" t="s">
        <v>169</v>
      </c>
      <c r="K50" s="8" t="s">
        <v>169</v>
      </c>
      <c r="L50" s="8" t="s">
        <v>169</v>
      </c>
      <c r="M50" s="8" t="s">
        <v>169</v>
      </c>
      <c r="N50" s="8" t="s">
        <v>169</v>
      </c>
      <c r="O50" s="8" t="s">
        <v>169</v>
      </c>
      <c r="P50" s="8" t="s">
        <v>169</v>
      </c>
      <c r="Q50" s="8" t="s">
        <v>169</v>
      </c>
      <c r="R50" s="8" t="s">
        <v>169</v>
      </c>
      <c r="S50" s="8" t="s">
        <v>169</v>
      </c>
      <c r="T50" s="8" t="s">
        <v>169</v>
      </c>
      <c r="U50" s="8" t="s">
        <v>169</v>
      </c>
      <c r="V50" s="8" t="s">
        <v>169</v>
      </c>
      <c r="W50" s="8" t="s">
        <v>169</v>
      </c>
      <c r="X50" s="8" t="s">
        <v>169</v>
      </c>
      <c r="Y50" s="8" t="s">
        <v>169</v>
      </c>
      <c r="Z50" s="8" t="s">
        <v>169</v>
      </c>
      <c r="AA50" s="8" t="s">
        <v>169</v>
      </c>
      <c r="AB50" s="8" t="s">
        <v>169</v>
      </c>
      <c r="AC50" s="8" t="s">
        <v>169</v>
      </c>
      <c r="AD50" s="8" t="s">
        <v>169</v>
      </c>
      <c r="AE50" s="8" t="s">
        <v>169</v>
      </c>
      <c r="AF50" s="8" t="s">
        <v>169</v>
      </c>
      <c r="AG50" s="8" t="s">
        <v>169</v>
      </c>
      <c r="AH50" s="8" t="s">
        <v>169</v>
      </c>
      <c r="AI50" s="8" t="s">
        <v>169</v>
      </c>
      <c r="AJ50" s="8" t="s">
        <v>169</v>
      </c>
      <c r="AK50" s="8" t="s">
        <v>169</v>
      </c>
      <c r="AL50" s="8">
        <v>42.315346839554287</v>
      </c>
      <c r="AM50" s="8" t="s">
        <v>226</v>
      </c>
      <c r="AN50" s="8">
        <v>26.38849886455732</v>
      </c>
      <c r="AO50" s="8" t="s">
        <v>226</v>
      </c>
      <c r="AP50" s="8">
        <v>5.390322774620504</v>
      </c>
      <c r="AQ50" s="8"/>
      <c r="AR50" s="8">
        <v>17.722703376079799</v>
      </c>
      <c r="AS50" s="8" t="s">
        <v>226</v>
      </c>
      <c r="AT50" s="8">
        <v>26.932379016119331</v>
      </c>
      <c r="AU50" s="8" t="s">
        <v>226</v>
      </c>
      <c r="AV50" s="9">
        <v>9.3601569829028897</v>
      </c>
      <c r="AW50" s="8"/>
    </row>
    <row r="51" spans="1:49" ht="15.75" x14ac:dyDescent="0.25">
      <c r="A51" s="7" t="s">
        <v>172</v>
      </c>
      <c r="B51" s="8" t="s">
        <v>169</v>
      </c>
      <c r="C51" s="8" t="s">
        <v>169</v>
      </c>
      <c r="D51" s="8" t="s">
        <v>169</v>
      </c>
      <c r="E51" s="8" t="s">
        <v>169</v>
      </c>
      <c r="F51" s="8" t="s">
        <v>169</v>
      </c>
      <c r="G51" s="8" t="s">
        <v>169</v>
      </c>
      <c r="H51" s="8" t="s">
        <v>169</v>
      </c>
      <c r="I51" s="8" t="s">
        <v>169</v>
      </c>
      <c r="J51" s="8" t="s">
        <v>169</v>
      </c>
      <c r="K51" s="8" t="s">
        <v>169</v>
      </c>
      <c r="L51" s="8" t="s">
        <v>169</v>
      </c>
      <c r="M51" s="8" t="s">
        <v>169</v>
      </c>
      <c r="N51" s="8" t="s">
        <v>169</v>
      </c>
      <c r="O51" s="8" t="s">
        <v>169</v>
      </c>
      <c r="P51" s="8" t="s">
        <v>169</v>
      </c>
      <c r="Q51" s="8" t="s">
        <v>169</v>
      </c>
      <c r="R51" s="8" t="s">
        <v>169</v>
      </c>
      <c r="S51" s="8" t="s">
        <v>169</v>
      </c>
      <c r="T51" s="8" t="s">
        <v>169</v>
      </c>
      <c r="U51" s="8" t="s">
        <v>169</v>
      </c>
      <c r="V51" s="8" t="s">
        <v>169</v>
      </c>
      <c r="W51" s="8" t="s">
        <v>169</v>
      </c>
      <c r="X51" s="8" t="s">
        <v>169</v>
      </c>
      <c r="Y51" s="8" t="s">
        <v>169</v>
      </c>
      <c r="Z51" s="8" t="s">
        <v>169</v>
      </c>
      <c r="AA51" s="8" t="s">
        <v>169</v>
      </c>
      <c r="AB51" s="8" t="s">
        <v>169</v>
      </c>
      <c r="AC51" s="8" t="s">
        <v>169</v>
      </c>
      <c r="AD51" s="8" t="s">
        <v>169</v>
      </c>
      <c r="AE51" s="8" t="s">
        <v>169</v>
      </c>
      <c r="AF51" s="8" t="s">
        <v>169</v>
      </c>
      <c r="AG51" s="8" t="s">
        <v>169</v>
      </c>
      <c r="AH51" s="8" t="s">
        <v>169</v>
      </c>
      <c r="AI51" s="8" t="s">
        <v>169</v>
      </c>
      <c r="AJ51" s="8" t="s">
        <v>169</v>
      </c>
      <c r="AK51" s="8" t="s">
        <v>169</v>
      </c>
      <c r="AL51" s="8">
        <v>349.747263777998</v>
      </c>
      <c r="AM51" s="8" t="s">
        <v>226</v>
      </c>
      <c r="AN51" s="8">
        <v>432.06870450213728</v>
      </c>
      <c r="AO51" s="8" t="s">
        <v>226</v>
      </c>
      <c r="AP51" s="8">
        <v>597.90473968201854</v>
      </c>
      <c r="AQ51" s="8" t="s">
        <v>226</v>
      </c>
      <c r="AR51" s="8">
        <v>431.91355926856181</v>
      </c>
      <c r="AS51" s="8" t="s">
        <v>226</v>
      </c>
      <c r="AT51" s="8">
        <v>-21.177175743403101</v>
      </c>
      <c r="AU51" s="8"/>
      <c r="AV51" s="9">
        <v>-7.4119160570908624</v>
      </c>
      <c r="AW51" s="8"/>
    </row>
    <row r="52" spans="1:49" ht="15.75" x14ac:dyDescent="0.25">
      <c r="A52" s="7" t="s">
        <v>173</v>
      </c>
      <c r="B52" s="8" t="s">
        <v>169</v>
      </c>
      <c r="C52" s="8" t="s">
        <v>169</v>
      </c>
      <c r="D52" s="8" t="s">
        <v>169</v>
      </c>
      <c r="E52" s="8" t="s">
        <v>169</v>
      </c>
      <c r="F52" s="8" t="s">
        <v>169</v>
      </c>
      <c r="G52" s="8" t="s">
        <v>169</v>
      </c>
      <c r="H52" s="8" t="s">
        <v>169</v>
      </c>
      <c r="I52" s="8" t="s">
        <v>169</v>
      </c>
      <c r="J52" s="8" t="s">
        <v>169</v>
      </c>
      <c r="K52" s="8" t="s">
        <v>169</v>
      </c>
      <c r="L52" s="8" t="s">
        <v>169</v>
      </c>
      <c r="M52" s="8" t="s">
        <v>169</v>
      </c>
      <c r="N52" s="8" t="s">
        <v>169</v>
      </c>
      <c r="O52" s="8" t="s">
        <v>169</v>
      </c>
      <c r="P52" s="8" t="s">
        <v>169</v>
      </c>
      <c r="Q52" s="8" t="s">
        <v>169</v>
      </c>
      <c r="R52" s="8" t="s">
        <v>169</v>
      </c>
      <c r="S52" s="8" t="s">
        <v>169</v>
      </c>
      <c r="T52" s="8" t="s">
        <v>169</v>
      </c>
      <c r="U52" s="8" t="s">
        <v>169</v>
      </c>
      <c r="V52" s="8" t="s">
        <v>169</v>
      </c>
      <c r="W52" s="8" t="s">
        <v>169</v>
      </c>
      <c r="X52" s="8" t="s">
        <v>169</v>
      </c>
      <c r="Y52" s="8" t="s">
        <v>169</v>
      </c>
      <c r="Z52" s="8" t="s">
        <v>169</v>
      </c>
      <c r="AA52" s="8" t="s">
        <v>169</v>
      </c>
      <c r="AB52" s="8" t="s">
        <v>169</v>
      </c>
      <c r="AC52" s="8" t="s">
        <v>169</v>
      </c>
      <c r="AD52" s="8" t="s">
        <v>169</v>
      </c>
      <c r="AE52" s="8" t="s">
        <v>169</v>
      </c>
      <c r="AF52" s="8" t="s">
        <v>169</v>
      </c>
      <c r="AG52" s="8" t="s">
        <v>169</v>
      </c>
      <c r="AH52" s="8" t="s">
        <v>169</v>
      </c>
      <c r="AI52" s="8" t="s">
        <v>169</v>
      </c>
      <c r="AJ52" s="8" t="s">
        <v>169</v>
      </c>
      <c r="AK52" s="8" t="s">
        <v>169</v>
      </c>
      <c r="AL52" s="8">
        <v>124.6188977405743</v>
      </c>
      <c r="AM52" s="8" t="s">
        <v>226</v>
      </c>
      <c r="AN52" s="8">
        <v>162.09280319599799</v>
      </c>
      <c r="AO52" s="8" t="s">
        <v>226</v>
      </c>
      <c r="AP52" s="8">
        <v>34.486388473744832</v>
      </c>
      <c r="AQ52" s="8"/>
      <c r="AR52" s="8">
        <v>-8.2876025447258801</v>
      </c>
      <c r="AS52" s="8"/>
      <c r="AT52" s="8">
        <v>21.558347826283299</v>
      </c>
      <c r="AU52" s="8"/>
      <c r="AV52" s="9">
        <v>19.772022362409469</v>
      </c>
      <c r="AW52" s="8"/>
    </row>
    <row r="53" spans="1:49" ht="30" customHeight="1" x14ac:dyDescent="0.25">
      <c r="A53" s="4" t="s">
        <v>1476</v>
      </c>
      <c r="B53" s="5" t="s">
        <v>169</v>
      </c>
      <c r="C53" s="5" t="s">
        <v>169</v>
      </c>
      <c r="D53" s="5" t="s">
        <v>169</v>
      </c>
      <c r="E53" s="5" t="s">
        <v>169</v>
      </c>
      <c r="F53" s="5" t="s">
        <v>169</v>
      </c>
      <c r="G53" s="5" t="s">
        <v>169</v>
      </c>
      <c r="H53" s="5" t="s">
        <v>169</v>
      </c>
      <c r="I53" s="5" t="s">
        <v>169</v>
      </c>
      <c r="J53" s="5" t="s">
        <v>169</v>
      </c>
      <c r="K53" s="5" t="s">
        <v>169</v>
      </c>
      <c r="L53" s="5" t="s">
        <v>169</v>
      </c>
      <c r="M53" s="5" t="s">
        <v>169</v>
      </c>
      <c r="N53" s="5" t="s">
        <v>169</v>
      </c>
      <c r="O53" s="5" t="s">
        <v>169</v>
      </c>
      <c r="P53" s="5" t="s">
        <v>169</v>
      </c>
      <c r="Q53" s="5" t="s">
        <v>169</v>
      </c>
      <c r="R53" s="5" t="s">
        <v>169</v>
      </c>
      <c r="S53" s="5" t="s">
        <v>169</v>
      </c>
      <c r="T53" s="5" t="s">
        <v>169</v>
      </c>
      <c r="U53" s="5" t="s">
        <v>169</v>
      </c>
      <c r="V53" s="5" t="s">
        <v>169</v>
      </c>
      <c r="W53" s="5" t="s">
        <v>169</v>
      </c>
      <c r="X53" s="5" t="s">
        <v>169</v>
      </c>
      <c r="Y53" s="5" t="s">
        <v>169</v>
      </c>
      <c r="Z53" s="5" t="s">
        <v>169</v>
      </c>
      <c r="AA53" s="5" t="s">
        <v>169</v>
      </c>
      <c r="AB53" s="5" t="s">
        <v>169</v>
      </c>
      <c r="AC53" s="5" t="s">
        <v>169</v>
      </c>
      <c r="AD53" s="5" t="s">
        <v>169</v>
      </c>
      <c r="AE53" s="5" t="s">
        <v>169</v>
      </c>
      <c r="AF53" s="5" t="s">
        <v>169</v>
      </c>
      <c r="AG53" s="5" t="s">
        <v>169</v>
      </c>
      <c r="AH53" s="5" t="s">
        <v>169</v>
      </c>
      <c r="AI53" s="5" t="s">
        <v>169</v>
      </c>
      <c r="AJ53" s="5" t="s">
        <v>169</v>
      </c>
      <c r="AK53" s="5" t="s">
        <v>169</v>
      </c>
      <c r="AL53" s="5">
        <v>-56.605652941552997</v>
      </c>
      <c r="AM53" s="5" t="s">
        <v>226</v>
      </c>
      <c r="AN53" s="5">
        <v>-43.939400542533328</v>
      </c>
      <c r="AO53" s="5" t="s">
        <v>226</v>
      </c>
      <c r="AP53" s="5">
        <v>-30.93065591663462</v>
      </c>
      <c r="AQ53" s="5" t="s">
        <v>226</v>
      </c>
      <c r="AR53" s="5">
        <v>-21.293886450281789</v>
      </c>
      <c r="AS53" s="5" t="s">
        <v>226</v>
      </c>
      <c r="AT53" s="5">
        <v>-6.0865622076099024</v>
      </c>
      <c r="AU53" s="5"/>
      <c r="AV53" s="6">
        <v>-27.405566136059971</v>
      </c>
      <c r="AW53" s="5" t="s">
        <v>226</v>
      </c>
    </row>
    <row r="54" spans="1:49" ht="15.75" x14ac:dyDescent="0.25">
      <c r="A54" s="7" t="s">
        <v>174</v>
      </c>
      <c r="B54" s="8" t="s">
        <v>169</v>
      </c>
      <c r="C54" s="8" t="s">
        <v>169</v>
      </c>
      <c r="D54" s="8" t="s">
        <v>169</v>
      </c>
      <c r="E54" s="8" t="s">
        <v>169</v>
      </c>
      <c r="F54" s="8" t="s">
        <v>169</v>
      </c>
      <c r="G54" s="8" t="s">
        <v>169</v>
      </c>
      <c r="H54" s="8" t="s">
        <v>169</v>
      </c>
      <c r="I54" s="8" t="s">
        <v>169</v>
      </c>
      <c r="J54" s="8" t="s">
        <v>169</v>
      </c>
      <c r="K54" s="8" t="s">
        <v>169</v>
      </c>
      <c r="L54" s="8" t="s">
        <v>169</v>
      </c>
      <c r="M54" s="8" t="s">
        <v>169</v>
      </c>
      <c r="N54" s="8" t="s">
        <v>169</v>
      </c>
      <c r="O54" s="8" t="s">
        <v>169</v>
      </c>
      <c r="P54" s="8" t="s">
        <v>169</v>
      </c>
      <c r="Q54" s="8" t="s">
        <v>169</v>
      </c>
      <c r="R54" s="8" t="s">
        <v>169</v>
      </c>
      <c r="S54" s="8" t="s">
        <v>169</v>
      </c>
      <c r="T54" s="8" t="s">
        <v>169</v>
      </c>
      <c r="U54" s="8" t="s">
        <v>169</v>
      </c>
      <c r="V54" s="8" t="s">
        <v>169</v>
      </c>
      <c r="W54" s="8" t="s">
        <v>169</v>
      </c>
      <c r="X54" s="8" t="s">
        <v>169</v>
      </c>
      <c r="Y54" s="8" t="s">
        <v>169</v>
      </c>
      <c r="Z54" s="8" t="s">
        <v>169</v>
      </c>
      <c r="AA54" s="8" t="s">
        <v>169</v>
      </c>
      <c r="AB54" s="8" t="s">
        <v>169</v>
      </c>
      <c r="AC54" s="8" t="s">
        <v>169</v>
      </c>
      <c r="AD54" s="8" t="s">
        <v>169</v>
      </c>
      <c r="AE54" s="8" t="s">
        <v>169</v>
      </c>
      <c r="AF54" s="8" t="s">
        <v>169</v>
      </c>
      <c r="AG54" s="8" t="s">
        <v>169</v>
      </c>
      <c r="AH54" s="8" t="s">
        <v>169</v>
      </c>
      <c r="AI54" s="8" t="s">
        <v>169</v>
      </c>
      <c r="AJ54" s="8" t="s">
        <v>169</v>
      </c>
      <c r="AK54" s="8" t="s">
        <v>169</v>
      </c>
      <c r="AL54" s="8">
        <v>-85.90049885901476</v>
      </c>
      <c r="AM54" s="8" t="s">
        <v>226</v>
      </c>
      <c r="AN54" s="8">
        <v>-79.868476613653272</v>
      </c>
      <c r="AO54" s="8" t="s">
        <v>226</v>
      </c>
      <c r="AP54" s="8">
        <v>-67.262569511454132</v>
      </c>
      <c r="AQ54" s="8" t="s">
        <v>226</v>
      </c>
      <c r="AR54" s="8">
        <v>-58.143164944811033</v>
      </c>
      <c r="AS54" s="8" t="s">
        <v>226</v>
      </c>
      <c r="AT54" s="8">
        <v>17.014878547725338</v>
      </c>
      <c r="AU54" s="8"/>
      <c r="AV54" s="9">
        <v>10.83620253386117</v>
      </c>
      <c r="AW54" s="8"/>
    </row>
    <row r="55" spans="1:49" ht="15.75" x14ac:dyDescent="0.25">
      <c r="A55" s="7" t="s">
        <v>175</v>
      </c>
      <c r="B55" s="8" t="s">
        <v>169</v>
      </c>
      <c r="C55" s="8" t="s">
        <v>169</v>
      </c>
      <c r="D55" s="8" t="s">
        <v>169</v>
      </c>
      <c r="E55" s="8" t="s">
        <v>169</v>
      </c>
      <c r="F55" s="8" t="s">
        <v>169</v>
      </c>
      <c r="G55" s="8" t="s">
        <v>169</v>
      </c>
      <c r="H55" s="8" t="s">
        <v>169</v>
      </c>
      <c r="I55" s="8" t="s">
        <v>169</v>
      </c>
      <c r="J55" s="8" t="s">
        <v>169</v>
      </c>
      <c r="K55" s="8" t="s">
        <v>169</v>
      </c>
      <c r="L55" s="8" t="s">
        <v>169</v>
      </c>
      <c r="M55" s="8" t="s">
        <v>169</v>
      </c>
      <c r="N55" s="8" t="s">
        <v>169</v>
      </c>
      <c r="O55" s="8" t="s">
        <v>169</v>
      </c>
      <c r="P55" s="8" t="s">
        <v>169</v>
      </c>
      <c r="Q55" s="8" t="s">
        <v>169</v>
      </c>
      <c r="R55" s="8" t="s">
        <v>169</v>
      </c>
      <c r="S55" s="8" t="s">
        <v>169</v>
      </c>
      <c r="T55" s="8" t="s">
        <v>169</v>
      </c>
      <c r="U55" s="8" t="s">
        <v>169</v>
      </c>
      <c r="V55" s="8" t="s">
        <v>169</v>
      </c>
      <c r="W55" s="8" t="s">
        <v>169</v>
      </c>
      <c r="X55" s="8" t="s">
        <v>169</v>
      </c>
      <c r="Y55" s="8" t="s">
        <v>169</v>
      </c>
      <c r="Z55" s="8" t="s">
        <v>169</v>
      </c>
      <c r="AA55" s="8" t="s">
        <v>169</v>
      </c>
      <c r="AB55" s="8" t="s">
        <v>169</v>
      </c>
      <c r="AC55" s="8" t="s">
        <v>169</v>
      </c>
      <c r="AD55" s="8" t="s">
        <v>169</v>
      </c>
      <c r="AE55" s="8" t="s">
        <v>169</v>
      </c>
      <c r="AF55" s="8" t="s">
        <v>169</v>
      </c>
      <c r="AG55" s="8" t="s">
        <v>169</v>
      </c>
      <c r="AH55" s="8" t="s">
        <v>169</v>
      </c>
      <c r="AI55" s="8" t="s">
        <v>169</v>
      </c>
      <c r="AJ55" s="8" t="s">
        <v>169</v>
      </c>
      <c r="AK55" s="8" t="s">
        <v>169</v>
      </c>
      <c r="AL55" s="8">
        <v>-6.0914869010773698</v>
      </c>
      <c r="AM55" s="8"/>
      <c r="AN55" s="8">
        <v>7.284055058057981</v>
      </c>
      <c r="AO55" s="8"/>
      <c r="AP55" s="8">
        <v>-1.1917981409409251</v>
      </c>
      <c r="AQ55" s="8"/>
      <c r="AR55" s="8">
        <v>1.4798730833929239</v>
      </c>
      <c r="AS55" s="8"/>
      <c r="AT55" s="8">
        <v>-11.55064620982956</v>
      </c>
      <c r="AU55" s="8"/>
      <c r="AV55" s="9">
        <v>-33.855104060017993</v>
      </c>
      <c r="AW55" s="8" t="s">
        <v>226</v>
      </c>
    </row>
    <row r="56" spans="1:49" ht="34.5" customHeight="1" x14ac:dyDescent="0.25">
      <c r="A56" s="816" t="s">
        <v>1486</v>
      </c>
      <c r="B56" s="817" t="s">
        <v>169</v>
      </c>
      <c r="C56" s="817" t="s">
        <v>169</v>
      </c>
      <c r="D56" s="817" t="s">
        <v>169</v>
      </c>
      <c r="E56" s="817" t="s">
        <v>169</v>
      </c>
      <c r="F56" s="817" t="s">
        <v>169</v>
      </c>
      <c r="G56" s="817" t="s">
        <v>169</v>
      </c>
      <c r="H56" s="817" t="s">
        <v>169</v>
      </c>
      <c r="I56" s="817" t="s">
        <v>169</v>
      </c>
      <c r="J56" s="817" t="s">
        <v>169</v>
      </c>
      <c r="K56" s="817" t="s">
        <v>169</v>
      </c>
      <c r="L56" s="817" t="s">
        <v>169</v>
      </c>
      <c r="M56" s="817" t="s">
        <v>169</v>
      </c>
      <c r="N56" s="817" t="s">
        <v>169</v>
      </c>
      <c r="O56" s="817" t="s">
        <v>169</v>
      </c>
      <c r="P56" s="817" t="s">
        <v>169</v>
      </c>
      <c r="Q56" s="817" t="s">
        <v>169</v>
      </c>
      <c r="R56" s="817" t="s">
        <v>169</v>
      </c>
      <c r="S56" s="817" t="s">
        <v>169</v>
      </c>
      <c r="T56" s="817" t="s">
        <v>169</v>
      </c>
      <c r="U56" s="817" t="s">
        <v>169</v>
      </c>
      <c r="V56" s="817" t="s">
        <v>169</v>
      </c>
      <c r="W56" s="817" t="s">
        <v>169</v>
      </c>
      <c r="X56" s="817" t="s">
        <v>169</v>
      </c>
      <c r="Y56" s="817" t="s">
        <v>169</v>
      </c>
      <c r="Z56" s="817" t="s">
        <v>169</v>
      </c>
      <c r="AA56" s="817" t="s">
        <v>169</v>
      </c>
      <c r="AB56" s="817" t="s">
        <v>169</v>
      </c>
      <c r="AC56" s="817" t="s">
        <v>169</v>
      </c>
      <c r="AD56" s="817" t="s">
        <v>169</v>
      </c>
      <c r="AE56" s="817" t="s">
        <v>169</v>
      </c>
      <c r="AF56" s="817" t="s">
        <v>169</v>
      </c>
      <c r="AG56" s="817" t="s">
        <v>169</v>
      </c>
      <c r="AH56" s="817" t="s">
        <v>169</v>
      </c>
      <c r="AI56" s="817" t="s">
        <v>169</v>
      </c>
      <c r="AJ56" s="817" t="s">
        <v>169</v>
      </c>
      <c r="AK56" s="817" t="s">
        <v>169</v>
      </c>
      <c r="AL56" s="817">
        <v>-13.27952493352681</v>
      </c>
      <c r="AM56" s="817" t="s">
        <v>226</v>
      </c>
      <c r="AN56" s="817">
        <v>-12.581269897336879</v>
      </c>
      <c r="AO56" s="817" t="s">
        <v>226</v>
      </c>
      <c r="AP56" s="817">
        <v>-16.687050925297871</v>
      </c>
      <c r="AQ56" s="817" t="s">
        <v>226</v>
      </c>
      <c r="AR56" s="817">
        <v>-9.480584231200595</v>
      </c>
      <c r="AS56" s="817" t="s">
        <v>226</v>
      </c>
      <c r="AT56" s="817">
        <v>6.9284480445871433</v>
      </c>
      <c r="AU56" s="817" t="s">
        <v>226</v>
      </c>
      <c r="AV56" s="818">
        <v>2.125374276703385</v>
      </c>
      <c r="AW56" s="817"/>
    </row>
  </sheetData>
  <hyperlinks>
    <hyperlink ref="A6" location="'Notes_A1 to A4'!A1" display="Link to Notes page." xr:uid="{00000000-0004-0000-1200-000000000000}"/>
    <hyperlink ref="A4" location=" 'Table of contents'!A1" display="Link to Table of contents." xr:uid="{00000000-0004-0000-1200-000001000000}"/>
  </hyperlinks>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D7D1B-D639-4A64-9BBF-6E483BE5F356}">
  <sheetPr>
    <tabColor rgb="FF0070C0"/>
  </sheetPr>
  <dimension ref="A1:C72"/>
  <sheetViews>
    <sheetView showGridLines="0" workbookViewId="0"/>
  </sheetViews>
  <sheetFormatPr defaultColWidth="11.85546875" defaultRowHeight="15" customHeight="1" x14ac:dyDescent="0.25"/>
  <cols>
    <col min="1" max="1" width="17.28515625" customWidth="1"/>
    <col min="2" max="2" width="148.28515625" customWidth="1"/>
    <col min="3" max="3" width="54" customWidth="1"/>
  </cols>
  <sheetData>
    <row r="1" spans="1:3" ht="16.5" x14ac:dyDescent="0.25">
      <c r="A1" s="201" t="s">
        <v>68</v>
      </c>
      <c r="B1" s="202"/>
      <c r="C1" s="203"/>
    </row>
    <row r="2" spans="1:3" ht="30.75" customHeight="1" x14ac:dyDescent="0.25">
      <c r="A2" s="204" t="s">
        <v>295</v>
      </c>
      <c r="B2" s="202"/>
      <c r="C2" s="203"/>
    </row>
    <row r="3" spans="1:3" ht="33.75" customHeight="1" x14ac:dyDescent="0.25">
      <c r="A3" s="205" t="s">
        <v>296</v>
      </c>
      <c r="B3" s="206"/>
      <c r="C3" s="207"/>
    </row>
    <row r="4" spans="1:3" ht="39" customHeight="1" x14ac:dyDescent="0.25">
      <c r="A4" s="208" t="s">
        <v>71</v>
      </c>
      <c r="B4" s="209" t="s">
        <v>72</v>
      </c>
      <c r="C4" s="207" t="s">
        <v>2</v>
      </c>
    </row>
    <row r="5" spans="1:3" ht="60" x14ac:dyDescent="0.25">
      <c r="A5" s="210">
        <v>1</v>
      </c>
      <c r="B5" s="211" t="s">
        <v>297</v>
      </c>
      <c r="C5" s="212"/>
    </row>
    <row r="6" spans="1:3" x14ac:dyDescent="0.25">
      <c r="A6" s="210">
        <v>2</v>
      </c>
      <c r="B6" s="211" t="s">
        <v>298</v>
      </c>
      <c r="C6" s="212"/>
    </row>
    <row r="7" spans="1:3" ht="75" x14ac:dyDescent="0.25">
      <c r="A7" s="210">
        <v>3</v>
      </c>
      <c r="B7" s="20" t="s">
        <v>299</v>
      </c>
      <c r="C7" s="24" t="s">
        <v>300</v>
      </c>
    </row>
    <row r="8" spans="1:3" ht="30" x14ac:dyDescent="0.25">
      <c r="A8" s="210">
        <v>4</v>
      </c>
      <c r="B8" s="211" t="s">
        <v>301</v>
      </c>
      <c r="C8" s="212"/>
    </row>
    <row r="9" spans="1:3" ht="30" x14ac:dyDescent="0.25">
      <c r="A9" s="210">
        <v>5</v>
      </c>
      <c r="B9" s="211" t="s">
        <v>302</v>
      </c>
      <c r="C9" s="212"/>
    </row>
    <row r="10" spans="1:3" x14ac:dyDescent="0.25">
      <c r="A10" s="210">
        <v>6</v>
      </c>
      <c r="B10" s="211" t="s">
        <v>303</v>
      </c>
      <c r="C10" s="212"/>
    </row>
    <row r="11" spans="1:3" ht="30" x14ac:dyDescent="0.25">
      <c r="A11" s="210">
        <v>7</v>
      </c>
      <c r="B11" s="211" t="s">
        <v>304</v>
      </c>
      <c r="C11" s="212"/>
    </row>
    <row r="12" spans="1:3" x14ac:dyDescent="0.25">
      <c r="A12" s="210">
        <v>8</v>
      </c>
      <c r="B12" s="213" t="s">
        <v>305</v>
      </c>
      <c r="C12" s="212"/>
    </row>
    <row r="13" spans="1:3" x14ac:dyDescent="0.25">
      <c r="A13" s="210">
        <v>9</v>
      </c>
      <c r="B13" s="211" t="s">
        <v>306</v>
      </c>
      <c r="C13" s="212"/>
    </row>
    <row r="14" spans="1:3" ht="33.75" customHeight="1" x14ac:dyDescent="0.25">
      <c r="A14" s="210">
        <v>10</v>
      </c>
      <c r="B14" s="214" t="s">
        <v>307</v>
      </c>
      <c r="C14" s="212"/>
    </row>
    <row r="15" spans="1:3" ht="30" x14ac:dyDescent="0.25">
      <c r="A15" s="210">
        <v>11</v>
      </c>
      <c r="B15" s="211" t="s">
        <v>308</v>
      </c>
      <c r="C15" s="212"/>
    </row>
    <row r="16" spans="1:3" ht="45" x14ac:dyDescent="0.25">
      <c r="A16" s="210">
        <v>12</v>
      </c>
      <c r="B16" s="211" t="s">
        <v>309</v>
      </c>
      <c r="C16" s="212"/>
    </row>
    <row r="17" spans="1:3" ht="30" x14ac:dyDescent="0.25">
      <c r="A17" s="210">
        <v>13</v>
      </c>
      <c r="B17" s="211" t="s">
        <v>310</v>
      </c>
      <c r="C17" s="212"/>
    </row>
    <row r="18" spans="1:3" ht="30" x14ac:dyDescent="0.25">
      <c r="A18" s="210">
        <v>14</v>
      </c>
      <c r="B18" s="211" t="s">
        <v>311</v>
      </c>
      <c r="C18" s="212"/>
    </row>
    <row r="19" spans="1:3" ht="30" x14ac:dyDescent="0.25">
      <c r="A19" s="210">
        <v>15</v>
      </c>
      <c r="B19" s="211" t="s">
        <v>312</v>
      </c>
      <c r="C19" s="212"/>
    </row>
    <row r="20" spans="1:3" x14ac:dyDescent="0.25">
      <c r="A20" s="210">
        <v>16</v>
      </c>
      <c r="B20" s="211" t="s">
        <v>313</v>
      </c>
      <c r="C20" s="212"/>
    </row>
    <row r="21" spans="1:3" x14ac:dyDescent="0.25">
      <c r="A21" s="210">
        <v>17</v>
      </c>
      <c r="B21" s="215" t="s">
        <v>314</v>
      </c>
      <c r="C21" s="212"/>
    </row>
    <row r="22" spans="1:3" x14ac:dyDescent="0.25">
      <c r="A22" s="210">
        <v>18</v>
      </c>
      <c r="B22" s="215" t="s">
        <v>315</v>
      </c>
      <c r="C22" s="212"/>
    </row>
    <row r="23" spans="1:3" x14ac:dyDescent="0.25">
      <c r="A23" s="210">
        <v>19</v>
      </c>
      <c r="B23" s="211" t="s">
        <v>316</v>
      </c>
      <c r="C23" s="212"/>
    </row>
    <row r="24" spans="1:3" x14ac:dyDescent="0.25">
      <c r="A24" s="210">
        <v>20</v>
      </c>
      <c r="B24" s="211" t="s">
        <v>317</v>
      </c>
      <c r="C24" s="212"/>
    </row>
    <row r="25" spans="1:3" ht="30" x14ac:dyDescent="0.25">
      <c r="A25" s="210">
        <v>21</v>
      </c>
      <c r="B25" s="216" t="s">
        <v>318</v>
      </c>
      <c r="C25" s="212"/>
    </row>
    <row r="26" spans="1:3" ht="30" x14ac:dyDescent="0.25">
      <c r="A26" s="210">
        <v>22</v>
      </c>
      <c r="B26" s="217" t="s">
        <v>319</v>
      </c>
      <c r="C26" s="212"/>
    </row>
    <row r="27" spans="1:3" ht="75" x14ac:dyDescent="0.25">
      <c r="A27" s="210">
        <v>23</v>
      </c>
      <c r="B27" s="211" t="s">
        <v>320</v>
      </c>
      <c r="C27" s="212"/>
    </row>
    <row r="28" spans="1:3" ht="45" x14ac:dyDescent="0.25">
      <c r="A28" s="210">
        <v>24</v>
      </c>
      <c r="B28" s="211" t="s">
        <v>321</v>
      </c>
      <c r="C28" s="212"/>
    </row>
    <row r="29" spans="1:3" ht="30" x14ac:dyDescent="0.25">
      <c r="A29" s="210">
        <v>25</v>
      </c>
      <c r="B29" s="211" t="s">
        <v>322</v>
      </c>
      <c r="C29" s="212"/>
    </row>
    <row r="30" spans="1:3" ht="84" customHeight="1" x14ac:dyDescent="0.25">
      <c r="A30" s="210">
        <v>26</v>
      </c>
      <c r="B30" s="211" t="s">
        <v>323</v>
      </c>
      <c r="C30" s="212"/>
    </row>
    <row r="31" spans="1:3" ht="210" x14ac:dyDescent="0.25">
      <c r="A31" s="210">
        <v>27</v>
      </c>
      <c r="B31" s="215" t="s">
        <v>324</v>
      </c>
      <c r="C31" s="212"/>
    </row>
    <row r="32" spans="1:3" x14ac:dyDescent="0.25">
      <c r="A32" s="210">
        <v>28</v>
      </c>
      <c r="B32" s="211" t="s">
        <v>325</v>
      </c>
      <c r="C32" s="212"/>
    </row>
    <row r="33" spans="1:3" ht="45" x14ac:dyDescent="0.25">
      <c r="A33" s="210">
        <v>29</v>
      </c>
      <c r="B33" s="211" t="s">
        <v>326</v>
      </c>
      <c r="C33" s="212"/>
    </row>
    <row r="34" spans="1:3" ht="45" x14ac:dyDescent="0.25">
      <c r="A34" s="210">
        <v>30</v>
      </c>
      <c r="B34" s="213" t="s">
        <v>327</v>
      </c>
      <c r="C34" s="212"/>
    </row>
    <row r="35" spans="1:3" x14ac:dyDescent="0.25">
      <c r="A35" s="210">
        <v>31</v>
      </c>
      <c r="B35" s="211" t="s">
        <v>328</v>
      </c>
      <c r="C35" s="212"/>
    </row>
    <row r="36" spans="1:3" ht="30" x14ac:dyDescent="0.25">
      <c r="A36" s="210">
        <v>32</v>
      </c>
      <c r="B36" s="216" t="s">
        <v>329</v>
      </c>
      <c r="C36" s="212"/>
    </row>
    <row r="37" spans="1:3" ht="63" x14ac:dyDescent="0.25">
      <c r="A37" s="210">
        <v>33</v>
      </c>
      <c r="B37" s="218" t="s">
        <v>330</v>
      </c>
      <c r="C37" s="212"/>
    </row>
    <row r="38" spans="1:3" ht="30" x14ac:dyDescent="0.25">
      <c r="A38" s="210">
        <v>34</v>
      </c>
      <c r="B38" s="211" t="s">
        <v>331</v>
      </c>
      <c r="C38" s="212"/>
    </row>
    <row r="39" spans="1:3" ht="35.25" customHeight="1" x14ac:dyDescent="0.25">
      <c r="A39" s="210">
        <v>35</v>
      </c>
      <c r="B39" s="211" t="s">
        <v>332</v>
      </c>
      <c r="C39" s="212"/>
    </row>
    <row r="40" spans="1:3" ht="68.25" customHeight="1" x14ac:dyDescent="0.25">
      <c r="A40" s="210">
        <v>36</v>
      </c>
      <c r="B40" s="211" t="s">
        <v>333</v>
      </c>
      <c r="C40" s="212"/>
    </row>
    <row r="41" spans="1:3" ht="60" x14ac:dyDescent="0.25">
      <c r="A41" s="210">
        <v>37</v>
      </c>
      <c r="B41" s="211" t="s">
        <v>334</v>
      </c>
      <c r="C41" s="219" t="s">
        <v>335</v>
      </c>
    </row>
    <row r="42" spans="1:3" ht="75" x14ac:dyDescent="0.25">
      <c r="A42" s="210">
        <v>38</v>
      </c>
      <c r="B42" s="683" t="s">
        <v>336</v>
      </c>
      <c r="C42" s="212"/>
    </row>
    <row r="43" spans="1:3" ht="30" x14ac:dyDescent="0.25">
      <c r="A43" s="210">
        <v>39</v>
      </c>
      <c r="B43" s="211" t="s">
        <v>337</v>
      </c>
      <c r="C43" s="212"/>
    </row>
    <row r="44" spans="1:3" ht="21" customHeight="1" x14ac:dyDescent="0.25">
      <c r="A44" s="210">
        <v>40</v>
      </c>
      <c r="B44" s="211" t="s">
        <v>338</v>
      </c>
      <c r="C44" s="212"/>
    </row>
    <row r="45" spans="1:3" ht="30" x14ac:dyDescent="0.25">
      <c r="A45" s="210">
        <v>41</v>
      </c>
      <c r="B45" s="211" t="s">
        <v>339</v>
      </c>
      <c r="C45" s="212"/>
    </row>
    <row r="46" spans="1:3" ht="30" x14ac:dyDescent="0.25">
      <c r="A46" s="210">
        <v>42</v>
      </c>
      <c r="B46" s="211" t="s">
        <v>340</v>
      </c>
      <c r="C46" s="212"/>
    </row>
    <row r="47" spans="1:3" ht="45" x14ac:dyDescent="0.25">
      <c r="A47" s="210">
        <v>43</v>
      </c>
      <c r="B47" s="211" t="s">
        <v>341</v>
      </c>
      <c r="C47" s="212"/>
    </row>
    <row r="48" spans="1:3" x14ac:dyDescent="0.25">
      <c r="A48" s="210">
        <v>44</v>
      </c>
      <c r="B48" s="211" t="s">
        <v>342</v>
      </c>
      <c r="C48" s="212"/>
    </row>
    <row r="49" spans="1:3" x14ac:dyDescent="0.25">
      <c r="A49" s="210">
        <v>45</v>
      </c>
      <c r="B49" s="211" t="s">
        <v>343</v>
      </c>
      <c r="C49" s="212"/>
    </row>
    <row r="50" spans="1:3" ht="30" x14ac:dyDescent="0.25">
      <c r="A50" s="210">
        <v>46</v>
      </c>
      <c r="B50" s="211" t="s">
        <v>344</v>
      </c>
      <c r="C50" s="212"/>
    </row>
    <row r="51" spans="1:3" x14ac:dyDescent="0.25">
      <c r="A51" s="210">
        <v>47</v>
      </c>
      <c r="B51" s="211" t="s">
        <v>345</v>
      </c>
      <c r="C51" s="212"/>
    </row>
    <row r="52" spans="1:3" ht="30" x14ac:dyDescent="0.25">
      <c r="A52" s="210">
        <v>48</v>
      </c>
      <c r="B52" s="218" t="s">
        <v>346</v>
      </c>
      <c r="C52" s="212"/>
    </row>
    <row r="53" spans="1:3" ht="60" x14ac:dyDescent="0.25">
      <c r="A53" s="210">
        <v>49</v>
      </c>
      <c r="B53" s="56" t="s">
        <v>347</v>
      </c>
      <c r="C53" s="212"/>
    </row>
    <row r="54" spans="1:3" ht="45.75" x14ac:dyDescent="0.25">
      <c r="A54" s="210">
        <v>50</v>
      </c>
      <c r="B54" s="220" t="s">
        <v>348</v>
      </c>
      <c r="C54" s="212"/>
    </row>
    <row r="55" spans="1:3" ht="17.25" customHeight="1" x14ac:dyDescent="0.25">
      <c r="A55" s="210">
        <v>51</v>
      </c>
      <c r="B55" s="221" t="s">
        <v>349</v>
      </c>
      <c r="C55" s="212"/>
    </row>
    <row r="56" spans="1:3" ht="17.25" customHeight="1" x14ac:dyDescent="0.25">
      <c r="A56" s="210">
        <v>52</v>
      </c>
      <c r="B56" s="211" t="s">
        <v>350</v>
      </c>
      <c r="C56" s="212"/>
    </row>
    <row r="57" spans="1:3" ht="17.25" customHeight="1" x14ac:dyDescent="0.25">
      <c r="A57" s="210">
        <v>53</v>
      </c>
      <c r="B57" s="211" t="s">
        <v>351</v>
      </c>
      <c r="C57" s="212"/>
    </row>
    <row r="58" spans="1:3" ht="17.25" customHeight="1" x14ac:dyDescent="0.25">
      <c r="A58" s="210">
        <v>54</v>
      </c>
      <c r="B58" s="211" t="s">
        <v>352</v>
      </c>
      <c r="C58" s="212"/>
    </row>
    <row r="59" spans="1:3" ht="31.5" customHeight="1" x14ac:dyDescent="0.25">
      <c r="A59" s="210">
        <v>55</v>
      </c>
      <c r="B59" s="211" t="s">
        <v>353</v>
      </c>
      <c r="C59" s="212"/>
    </row>
    <row r="60" spans="1:3" ht="30" x14ac:dyDescent="0.25">
      <c r="A60" s="210">
        <v>56</v>
      </c>
      <c r="B60" s="211" t="s">
        <v>354</v>
      </c>
      <c r="C60" s="212"/>
    </row>
    <row r="61" spans="1:3" ht="37.5" customHeight="1" x14ac:dyDescent="0.25">
      <c r="A61" s="210">
        <v>57</v>
      </c>
      <c r="B61" s="211" t="s">
        <v>355</v>
      </c>
      <c r="C61" s="212"/>
    </row>
    <row r="62" spans="1:3" ht="21" customHeight="1" x14ac:dyDescent="0.25">
      <c r="A62" s="210">
        <v>58</v>
      </c>
      <c r="B62" s="211" t="s">
        <v>356</v>
      </c>
      <c r="C62" s="212"/>
    </row>
    <row r="63" spans="1:3" ht="63.75" customHeight="1" x14ac:dyDescent="0.25">
      <c r="A63" s="210">
        <v>59</v>
      </c>
      <c r="B63" s="211" t="s">
        <v>357</v>
      </c>
      <c r="C63" s="222" t="s">
        <v>358</v>
      </c>
    </row>
    <row r="64" spans="1:3" ht="93.75" customHeight="1" x14ac:dyDescent="0.25">
      <c r="A64" s="210">
        <v>60</v>
      </c>
      <c r="B64" s="20" t="s">
        <v>359</v>
      </c>
      <c r="C64" s="222" t="s">
        <v>358</v>
      </c>
    </row>
    <row r="65" spans="1:3" ht="57" customHeight="1" x14ac:dyDescent="0.25">
      <c r="A65" s="210">
        <v>61</v>
      </c>
      <c r="B65" s="20" t="s">
        <v>1031</v>
      </c>
      <c r="C65" s="200"/>
    </row>
    <row r="66" spans="1:3" ht="102" customHeight="1" x14ac:dyDescent="0.25">
      <c r="A66" s="210">
        <v>62</v>
      </c>
      <c r="B66" s="20" t="s">
        <v>1018</v>
      </c>
      <c r="C66" s="874" t="s">
        <v>358</v>
      </c>
    </row>
    <row r="67" spans="1:3" ht="27" customHeight="1" x14ac:dyDescent="0.25">
      <c r="A67" s="210">
        <v>63</v>
      </c>
      <c r="B67" s="211" t="s">
        <v>1020</v>
      </c>
      <c r="C67" s="212"/>
    </row>
    <row r="68" spans="1:3" ht="62.25" customHeight="1" x14ac:dyDescent="0.25">
      <c r="A68" s="210">
        <v>64</v>
      </c>
      <c r="B68" s="218" t="s">
        <v>360</v>
      </c>
      <c r="C68" s="223"/>
    </row>
    <row r="69" spans="1:3" ht="20.25" customHeight="1" x14ac:dyDescent="0.25">
      <c r="A69" s="210">
        <v>65</v>
      </c>
      <c r="B69" s="684" t="s">
        <v>361</v>
      </c>
      <c r="C69" s="223"/>
    </row>
    <row r="70" spans="1:3" ht="55.5" customHeight="1" x14ac:dyDescent="0.25">
      <c r="A70" s="210">
        <v>66</v>
      </c>
      <c r="B70" s="802" t="s">
        <v>1467</v>
      </c>
      <c r="C70" s="803" t="s">
        <v>362</v>
      </c>
    </row>
    <row r="71" spans="1:3" x14ac:dyDescent="0.25">
      <c r="A71" s="210">
        <v>67</v>
      </c>
      <c r="B71" s="685" t="s">
        <v>363</v>
      </c>
    </row>
    <row r="72" spans="1:3" ht="30" customHeight="1" x14ac:dyDescent="0.25">
      <c r="A72" s="210">
        <v>68</v>
      </c>
      <c r="B72" s="216" t="s">
        <v>364</v>
      </c>
      <c r="C72" s="28" t="s">
        <v>358</v>
      </c>
    </row>
  </sheetData>
  <hyperlinks>
    <hyperlink ref="C41" r:id="rId1" xr:uid="{565940B7-1CA7-4221-B12D-46703B864B30}"/>
    <hyperlink ref="C7" r:id="rId2" display="Homicide in England and Wales: year ending March 2023" xr:uid="{8BF966F8-0658-4E26-B030-041E0AA9C1B9}"/>
    <hyperlink ref="C63" r:id="rId3" display="User Guide to crime statistics for England and Wales: Measuring crime during the Coronavirus (COVID-19) pandemic" xr:uid="{B9BCB9C7-AD48-47FF-9B0D-F1ACFE24ED89}"/>
    <hyperlink ref="C64" r:id="rId4" display="User Guide to crime statistics for England and Wales: Measuring crime during the Coronavirus (COVID-19) pandemic" xr:uid="{0B4CD9EC-EF19-4D4B-84FA-19D3601733CE}"/>
    <hyperlink ref="C70" r:id="rId5" xr:uid="{9A682333-853E-4831-86EC-7F90E1575076}"/>
    <hyperlink ref="C72" r:id="rId6" xr:uid="{C36CD15D-3B18-4FA8-AA11-87A676EEBE86}"/>
    <hyperlink ref="C66" r:id="rId7" display="User Guide to crime statistics for England and Wales: Measuring crime during the Coronavirus (COVID-19) pandemic" xr:uid="{F7E3963F-E2C3-405A-99F2-AAE8657F3562}"/>
  </hyperlinks>
  <pageMargins left="0.7" right="0.7" top="0.75" bottom="0.75" header="0.3" footer="0.3"/>
  <pageSetup paperSize="9" orientation="portrait" r:id="rId8"/>
  <tableParts count="1">
    <tablePart r:id="rId9"/>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8CAE9-7050-4C42-AB2A-BA6435E64BF3}">
  <dimension ref="A1:AB232"/>
  <sheetViews>
    <sheetView showGridLines="0" workbookViewId="0"/>
  </sheetViews>
  <sheetFormatPr defaultColWidth="11.85546875" defaultRowHeight="15" customHeight="1" x14ac:dyDescent="0.25"/>
  <cols>
    <col min="1" max="1" width="15.5703125" customWidth="1"/>
    <col min="2" max="2" width="94.85546875" customWidth="1"/>
    <col min="3" max="27" width="15.85546875" customWidth="1"/>
    <col min="28" max="28" width="19.28515625" customWidth="1"/>
  </cols>
  <sheetData>
    <row r="1" spans="1:28" ht="27" customHeight="1" x14ac:dyDescent="0.25">
      <c r="A1" s="838" t="s">
        <v>1488</v>
      </c>
      <c r="B1" s="224"/>
      <c r="C1" s="224"/>
      <c r="D1" s="224"/>
      <c r="E1" s="224"/>
      <c r="F1" s="224"/>
      <c r="G1" s="224"/>
      <c r="H1" s="224"/>
      <c r="I1" s="224"/>
      <c r="J1" s="224"/>
      <c r="K1" s="224"/>
      <c r="L1" s="224"/>
      <c r="M1" s="224"/>
      <c r="N1" s="224"/>
      <c r="O1" s="224"/>
      <c r="P1" s="224"/>
      <c r="Q1" s="224"/>
      <c r="R1" s="224"/>
      <c r="S1" s="224"/>
      <c r="T1" s="224"/>
      <c r="U1" s="224"/>
      <c r="V1" s="224"/>
      <c r="W1" s="224"/>
      <c r="X1" s="224"/>
      <c r="Y1" s="224"/>
      <c r="Z1" s="224"/>
      <c r="AA1" s="224"/>
      <c r="AB1" s="224"/>
    </row>
    <row r="2" spans="1:28" ht="22.5" customHeight="1" x14ac:dyDescent="0.25">
      <c r="A2" s="225" t="s">
        <v>365</v>
      </c>
      <c r="B2" s="225"/>
      <c r="C2" s="225"/>
      <c r="D2" s="225"/>
      <c r="E2" s="225"/>
      <c r="F2" s="225"/>
      <c r="G2" s="225"/>
      <c r="H2" s="225"/>
      <c r="I2" s="225"/>
      <c r="J2" s="225"/>
      <c r="K2" s="225"/>
      <c r="L2" s="225"/>
      <c r="M2" s="225"/>
      <c r="N2" s="225"/>
      <c r="O2" s="225"/>
      <c r="P2" s="225"/>
      <c r="Q2" s="225"/>
      <c r="R2" s="225"/>
      <c r="S2" s="225"/>
      <c r="T2" s="225"/>
      <c r="U2" s="225"/>
      <c r="V2" s="225"/>
      <c r="W2" s="225"/>
      <c r="X2" s="225"/>
      <c r="Y2" s="225"/>
      <c r="Z2" s="225"/>
      <c r="AA2" s="225"/>
      <c r="AB2" s="225"/>
    </row>
    <row r="3" spans="1:28" ht="19.5" customHeight="1" x14ac:dyDescent="0.25">
      <c r="A3" s="669" t="s">
        <v>366</v>
      </c>
      <c r="B3" s="665"/>
      <c r="C3" s="665"/>
      <c r="D3" s="665"/>
      <c r="E3" s="665"/>
      <c r="F3" s="666"/>
      <c r="G3" s="666"/>
      <c r="H3" s="666"/>
      <c r="I3" s="666"/>
      <c r="J3" s="667"/>
      <c r="K3" s="667"/>
      <c r="L3" s="665"/>
      <c r="M3" s="665"/>
      <c r="N3" s="668"/>
      <c r="O3" s="686"/>
      <c r="P3" s="687"/>
      <c r="Q3" s="687"/>
      <c r="R3" s="688" t="s">
        <v>367</v>
      </c>
      <c r="S3" s="688"/>
      <c r="T3" s="689"/>
      <c r="U3" s="224"/>
      <c r="V3" s="1"/>
      <c r="W3" s="1"/>
      <c r="X3" s="1"/>
      <c r="Y3" s="687"/>
      <c r="Z3" s="687"/>
      <c r="AA3" s="687"/>
      <c r="AB3" s="224"/>
    </row>
    <row r="4" spans="1:28" ht="19.5" customHeight="1" x14ac:dyDescent="0.25">
      <c r="A4" s="226" t="s">
        <v>368</v>
      </c>
      <c r="B4" s="665"/>
      <c r="C4" s="665"/>
      <c r="D4" s="665"/>
      <c r="E4" s="665"/>
      <c r="F4" s="666"/>
      <c r="G4" s="666"/>
      <c r="H4" s="666"/>
      <c r="I4" s="666"/>
      <c r="J4" s="667"/>
      <c r="K4" s="667"/>
      <c r="L4" s="665"/>
      <c r="M4" s="665"/>
      <c r="N4" s="668"/>
      <c r="O4" s="686"/>
      <c r="P4" s="687"/>
      <c r="Q4" s="687"/>
      <c r="R4" s="688"/>
      <c r="S4" s="688"/>
      <c r="T4" s="689"/>
      <c r="U4" s="224"/>
      <c r="V4" s="1"/>
      <c r="W4" s="1"/>
      <c r="X4" s="1"/>
      <c r="Y4" s="687"/>
      <c r="Z4" s="687"/>
      <c r="AA4" s="687"/>
      <c r="AB4" s="224"/>
    </row>
    <row r="5" spans="1:28" ht="19.5" customHeight="1" x14ac:dyDescent="0.25">
      <c r="A5" s="664" t="s">
        <v>369</v>
      </c>
      <c r="B5" s="665"/>
      <c r="C5" s="665"/>
      <c r="D5" s="665"/>
      <c r="E5" s="665"/>
      <c r="F5" s="666"/>
      <c r="G5" s="666"/>
      <c r="H5" s="666"/>
      <c r="I5" s="666"/>
      <c r="J5" s="667"/>
      <c r="K5" s="667"/>
      <c r="L5" s="665"/>
      <c r="M5" s="665"/>
      <c r="N5" s="668"/>
      <c r="O5" s="686"/>
      <c r="P5" s="687"/>
      <c r="Q5" s="687"/>
      <c r="R5" s="688"/>
      <c r="S5" s="688"/>
      <c r="T5" s="689"/>
      <c r="U5" s="1"/>
      <c r="V5" s="1"/>
      <c r="W5" s="1"/>
      <c r="X5" s="1"/>
      <c r="Y5" s="687"/>
      <c r="Z5" s="687"/>
      <c r="AA5" s="687"/>
      <c r="AB5" s="224"/>
    </row>
    <row r="6" spans="1:28" ht="19.5" customHeight="1" x14ac:dyDescent="0.25">
      <c r="A6" s="226" t="s">
        <v>370</v>
      </c>
      <c r="B6" s="665"/>
      <c r="C6" s="665"/>
      <c r="D6" s="665"/>
      <c r="E6" s="665"/>
      <c r="F6" s="666"/>
      <c r="G6" s="666"/>
      <c r="H6" s="666"/>
      <c r="I6" s="666"/>
      <c r="J6" s="667"/>
      <c r="K6" s="667"/>
      <c r="L6" s="665"/>
      <c r="M6" s="665"/>
      <c r="N6" s="668"/>
      <c r="O6" s="686"/>
      <c r="P6" s="687"/>
      <c r="Q6" s="687"/>
      <c r="R6" s="688"/>
      <c r="S6" s="688"/>
      <c r="T6" s="689"/>
      <c r="U6" s="1"/>
      <c r="V6" s="1"/>
      <c r="W6" s="1"/>
      <c r="X6" s="1"/>
      <c r="Y6" s="687"/>
      <c r="Z6" s="687"/>
      <c r="AA6" s="687"/>
      <c r="AB6" s="224"/>
    </row>
    <row r="7" spans="1:28" ht="21.75" customHeight="1" x14ac:dyDescent="0.25">
      <c r="A7" s="1" t="s">
        <v>371</v>
      </c>
      <c r="B7" s="665"/>
      <c r="C7" s="665"/>
      <c r="D7" s="665"/>
      <c r="E7" s="665"/>
      <c r="F7" s="666"/>
      <c r="G7" s="666"/>
      <c r="H7" s="666"/>
      <c r="I7" s="666"/>
      <c r="J7" s="667"/>
      <c r="K7" s="667"/>
      <c r="L7" s="665"/>
      <c r="M7" s="665"/>
      <c r="N7" s="668"/>
      <c r="O7" s="686"/>
      <c r="P7" s="687"/>
      <c r="Q7" s="687"/>
      <c r="R7" s="688"/>
      <c r="S7" s="688"/>
      <c r="T7" s="689"/>
      <c r="U7" s="224"/>
      <c r="V7" s="1"/>
      <c r="W7" s="1"/>
      <c r="X7" s="1"/>
      <c r="Y7" s="687"/>
      <c r="Z7" s="687"/>
      <c r="AA7" s="687"/>
      <c r="AB7" s="224"/>
    </row>
    <row r="8" spans="1:28" ht="21.75" customHeight="1" x14ac:dyDescent="0.25">
      <c r="A8" s="664" t="s">
        <v>372</v>
      </c>
      <c r="B8" s="668"/>
      <c r="C8" s="668"/>
      <c r="D8" s="668"/>
      <c r="E8" s="668"/>
      <c r="F8" s="670"/>
      <c r="G8" s="670"/>
      <c r="H8" s="670"/>
      <c r="I8" s="670"/>
      <c r="J8" s="668"/>
      <c r="K8" s="668"/>
      <c r="L8" s="668"/>
      <c r="M8" s="687"/>
      <c r="N8" s="686"/>
      <c r="O8" s="686"/>
      <c r="P8" s="686"/>
      <c r="Q8" s="686"/>
      <c r="R8" s="690"/>
      <c r="S8" s="690"/>
      <c r="T8" s="689"/>
      <c r="U8" s="689"/>
      <c r="V8" s="689"/>
      <c r="W8" s="689"/>
      <c r="X8" s="689"/>
      <c r="Y8" s="689"/>
      <c r="Z8" s="689"/>
      <c r="AA8" s="689"/>
      <c r="AB8" s="185"/>
    </row>
    <row r="9" spans="1:28" ht="80.25" customHeight="1" x14ac:dyDescent="0.25">
      <c r="A9" s="227" t="s">
        <v>373</v>
      </c>
      <c r="B9" s="228" t="s">
        <v>374</v>
      </c>
      <c r="C9" s="691" t="s">
        <v>375</v>
      </c>
      <c r="D9" s="691" t="s">
        <v>376</v>
      </c>
      <c r="E9" s="691" t="s">
        <v>377</v>
      </c>
      <c r="F9" s="691" t="s">
        <v>378</v>
      </c>
      <c r="G9" s="691" t="s">
        <v>379</v>
      </c>
      <c r="H9" s="691" t="s">
        <v>380</v>
      </c>
      <c r="I9" s="691" t="s">
        <v>381</v>
      </c>
      <c r="J9" s="691" t="s">
        <v>382</v>
      </c>
      <c r="K9" s="691" t="s">
        <v>383</v>
      </c>
      <c r="L9" s="691" t="s">
        <v>384</v>
      </c>
      <c r="M9" s="691" t="s">
        <v>385</v>
      </c>
      <c r="N9" s="691" t="s">
        <v>386</v>
      </c>
      <c r="O9" s="691" t="s">
        <v>387</v>
      </c>
      <c r="P9" s="691" t="s">
        <v>388</v>
      </c>
      <c r="Q9" s="691" t="s">
        <v>389</v>
      </c>
      <c r="R9" s="691" t="s">
        <v>390</v>
      </c>
      <c r="S9" s="691" t="s">
        <v>391</v>
      </c>
      <c r="T9" s="691" t="s">
        <v>392</v>
      </c>
      <c r="U9" s="691" t="s">
        <v>393</v>
      </c>
      <c r="V9" s="691" t="s">
        <v>394</v>
      </c>
      <c r="W9" s="691" t="s">
        <v>395</v>
      </c>
      <c r="X9" s="691" t="s">
        <v>396</v>
      </c>
      <c r="Y9" s="882" t="s">
        <v>771</v>
      </c>
      <c r="Z9" s="692" t="s">
        <v>132</v>
      </c>
      <c r="AA9" s="692" t="s">
        <v>133</v>
      </c>
      <c r="AB9" s="691" t="s">
        <v>397</v>
      </c>
    </row>
    <row r="10" spans="1:28" ht="18.75" customHeight="1" x14ac:dyDescent="0.25">
      <c r="A10" s="693"/>
      <c r="B10" s="224" t="s">
        <v>398</v>
      </c>
      <c r="C10" s="229">
        <v>5403456</v>
      </c>
      <c r="D10" s="229">
        <v>5422954</v>
      </c>
      <c r="E10" s="229">
        <v>5022946</v>
      </c>
      <c r="F10" s="229">
        <v>4910238</v>
      </c>
      <c r="G10" s="229">
        <v>4788218</v>
      </c>
      <c r="H10" s="229">
        <v>4338484</v>
      </c>
      <c r="I10" s="229">
        <v>4091230</v>
      </c>
      <c r="J10" s="229">
        <v>3760387</v>
      </c>
      <c r="K10" s="229">
        <v>3598145</v>
      </c>
      <c r="L10" s="229">
        <v>3454955</v>
      </c>
      <c r="M10" s="229">
        <v>3150551</v>
      </c>
      <c r="N10" s="229">
        <v>3107866</v>
      </c>
      <c r="O10" s="229">
        <v>3170794</v>
      </c>
      <c r="P10" s="229">
        <v>3454044</v>
      </c>
      <c r="Q10" s="229">
        <v>3787086</v>
      </c>
      <c r="R10" s="229">
        <v>4231352</v>
      </c>
      <c r="S10" s="229">
        <v>4510684</v>
      </c>
      <c r="T10" s="229">
        <v>4506250</v>
      </c>
      <c r="U10" s="229">
        <v>3754526</v>
      </c>
      <c r="V10" s="229">
        <v>4387208</v>
      </c>
      <c r="W10" s="229">
        <v>4631847</v>
      </c>
      <c r="X10" s="229">
        <v>4559812</v>
      </c>
      <c r="Y10" s="229">
        <v>4468041</v>
      </c>
      <c r="Z10" s="229">
        <v>4544124</v>
      </c>
      <c r="AA10" s="229">
        <v>4433091</v>
      </c>
      <c r="AB10" s="230">
        <v>-2.443441244120979</v>
      </c>
    </row>
    <row r="11" spans="1:28" ht="22.5" customHeight="1" x14ac:dyDescent="0.25">
      <c r="A11" s="693">
        <v>1</v>
      </c>
      <c r="B11" s="784" t="s">
        <v>399</v>
      </c>
      <c r="C11" s="687">
        <v>930</v>
      </c>
      <c r="D11" s="687">
        <v>717</v>
      </c>
      <c r="E11" s="687">
        <v>730</v>
      </c>
      <c r="F11" s="687">
        <v>668</v>
      </c>
      <c r="G11" s="687">
        <v>648</v>
      </c>
      <c r="H11" s="687">
        <v>661</v>
      </c>
      <c r="I11" s="687">
        <v>570</v>
      </c>
      <c r="J11" s="687">
        <v>529</v>
      </c>
      <c r="K11" s="687">
        <v>559</v>
      </c>
      <c r="L11" s="687">
        <v>493</v>
      </c>
      <c r="M11" s="687">
        <v>484</v>
      </c>
      <c r="N11" s="686">
        <v>452</v>
      </c>
      <c r="O11" s="686">
        <v>434</v>
      </c>
      <c r="P11" s="686">
        <v>480</v>
      </c>
      <c r="Q11" s="686">
        <v>502</v>
      </c>
      <c r="R11" s="686">
        <v>586</v>
      </c>
      <c r="S11" s="686">
        <v>575</v>
      </c>
      <c r="T11" s="690">
        <v>576</v>
      </c>
      <c r="U11" s="690">
        <v>499</v>
      </c>
      <c r="V11" s="690">
        <v>568</v>
      </c>
      <c r="W11" s="690">
        <v>487</v>
      </c>
      <c r="X11" s="690">
        <v>499</v>
      </c>
      <c r="Y11" s="690">
        <v>449</v>
      </c>
      <c r="Z11" s="686">
        <v>473</v>
      </c>
      <c r="AA11" s="686">
        <v>444</v>
      </c>
      <c r="AB11" s="230">
        <v>-6.1310782241014801</v>
      </c>
    </row>
    <row r="12" spans="1:28" ht="16.350000000000001" customHeight="1" x14ac:dyDescent="0.25">
      <c r="A12" s="693">
        <v>4.0999999999999996</v>
      </c>
      <c r="B12" s="784" t="s">
        <v>400</v>
      </c>
      <c r="C12" s="687">
        <v>114</v>
      </c>
      <c r="D12" s="687">
        <v>186</v>
      </c>
      <c r="E12" s="687">
        <v>136</v>
      </c>
      <c r="F12" s="687">
        <v>96</v>
      </c>
      <c r="G12" s="687">
        <v>109</v>
      </c>
      <c r="H12" s="687">
        <v>114</v>
      </c>
      <c r="I12" s="687">
        <v>91</v>
      </c>
      <c r="J12" s="687">
        <v>88</v>
      </c>
      <c r="K12" s="687">
        <v>75</v>
      </c>
      <c r="L12" s="687">
        <v>56</v>
      </c>
      <c r="M12" s="687">
        <v>68</v>
      </c>
      <c r="N12" s="686">
        <v>73</v>
      </c>
      <c r="O12" s="686">
        <v>98</v>
      </c>
      <c r="P12" s="686">
        <v>85</v>
      </c>
      <c r="Q12" s="686">
        <v>196</v>
      </c>
      <c r="R12" s="686">
        <v>121</v>
      </c>
      <c r="S12" s="686">
        <v>86</v>
      </c>
      <c r="T12" s="690">
        <v>123</v>
      </c>
      <c r="U12" s="690">
        <v>66</v>
      </c>
      <c r="V12" s="690">
        <v>110</v>
      </c>
      <c r="W12" s="690">
        <v>84</v>
      </c>
      <c r="X12" s="690">
        <v>58</v>
      </c>
      <c r="Y12" s="690">
        <v>74</v>
      </c>
      <c r="Z12" s="686">
        <v>69</v>
      </c>
      <c r="AA12" s="686">
        <v>68</v>
      </c>
      <c r="AB12" s="230">
        <v>-1.4492753623188406</v>
      </c>
    </row>
    <row r="13" spans="1:28" ht="18" customHeight="1" x14ac:dyDescent="0.25">
      <c r="A13" s="694" t="s">
        <v>401</v>
      </c>
      <c r="B13" s="784" t="s">
        <v>402</v>
      </c>
      <c r="C13" s="695" t="s">
        <v>169</v>
      </c>
      <c r="D13" s="695" t="s">
        <v>169</v>
      </c>
      <c r="E13" s="695" t="s">
        <v>169</v>
      </c>
      <c r="F13" s="695" t="s">
        <v>169</v>
      </c>
      <c r="G13" s="695" t="s">
        <v>169</v>
      </c>
      <c r="H13" s="695" t="s">
        <v>169</v>
      </c>
      <c r="I13" s="696">
        <v>2</v>
      </c>
      <c r="J13" s="696">
        <v>1</v>
      </c>
      <c r="K13" s="696">
        <v>1</v>
      </c>
      <c r="L13" s="696">
        <v>2</v>
      </c>
      <c r="M13" s="696">
        <v>5</v>
      </c>
      <c r="N13" s="696">
        <v>8</v>
      </c>
      <c r="O13" s="686">
        <v>6</v>
      </c>
      <c r="P13" s="686">
        <v>11</v>
      </c>
      <c r="Q13" s="686">
        <v>10</v>
      </c>
      <c r="R13" s="686">
        <v>7</v>
      </c>
      <c r="S13" s="686">
        <v>10</v>
      </c>
      <c r="T13" s="690">
        <v>8</v>
      </c>
      <c r="U13" s="690">
        <v>5</v>
      </c>
      <c r="V13" s="690">
        <v>7</v>
      </c>
      <c r="W13" s="690">
        <v>9</v>
      </c>
      <c r="X13" s="690">
        <v>12</v>
      </c>
      <c r="Y13" s="690">
        <v>5</v>
      </c>
      <c r="Z13" s="686">
        <v>10</v>
      </c>
      <c r="AA13" s="686">
        <v>6</v>
      </c>
      <c r="AB13" s="230" t="s">
        <v>403</v>
      </c>
    </row>
    <row r="14" spans="1:28" ht="15.75" customHeight="1" x14ac:dyDescent="0.25">
      <c r="A14" s="693">
        <v>4.2</v>
      </c>
      <c r="B14" s="784" t="s">
        <v>404</v>
      </c>
      <c r="C14" s="687">
        <v>3</v>
      </c>
      <c r="D14" s="687">
        <v>1</v>
      </c>
      <c r="E14" s="687">
        <v>2</v>
      </c>
      <c r="F14" s="687">
        <v>0</v>
      </c>
      <c r="G14" s="687">
        <v>1</v>
      </c>
      <c r="H14" s="687">
        <v>0</v>
      </c>
      <c r="I14" s="687">
        <v>1</v>
      </c>
      <c r="J14" s="687">
        <v>2</v>
      </c>
      <c r="K14" s="687">
        <v>4</v>
      </c>
      <c r="L14" s="687">
        <v>2</v>
      </c>
      <c r="M14" s="687">
        <v>1</v>
      </c>
      <c r="N14" s="690">
        <v>0</v>
      </c>
      <c r="O14" s="686">
        <v>1</v>
      </c>
      <c r="P14" s="686">
        <v>1</v>
      </c>
      <c r="Q14" s="686">
        <v>1</v>
      </c>
      <c r="R14" s="686">
        <v>0</v>
      </c>
      <c r="S14" s="686">
        <v>2</v>
      </c>
      <c r="T14" s="690">
        <v>3</v>
      </c>
      <c r="U14" s="690">
        <v>3</v>
      </c>
      <c r="V14" s="690">
        <v>7</v>
      </c>
      <c r="W14" s="690">
        <v>0</v>
      </c>
      <c r="X14" s="690">
        <v>0</v>
      </c>
      <c r="Y14" s="690">
        <v>0</v>
      </c>
      <c r="Z14" s="686">
        <v>0</v>
      </c>
      <c r="AA14" s="686">
        <v>0</v>
      </c>
      <c r="AB14" s="230" t="s">
        <v>403</v>
      </c>
    </row>
    <row r="15" spans="1:28" ht="16.5" customHeight="1" x14ac:dyDescent="0.25">
      <c r="A15" s="693"/>
      <c r="B15" s="774" t="s">
        <v>1489</v>
      </c>
      <c r="C15" s="248">
        <v>1047</v>
      </c>
      <c r="D15" s="248">
        <v>904</v>
      </c>
      <c r="E15" s="248">
        <v>868</v>
      </c>
      <c r="F15" s="248">
        <v>764</v>
      </c>
      <c r="G15" s="248">
        <v>758</v>
      </c>
      <c r="H15" s="248">
        <v>775</v>
      </c>
      <c r="I15" s="248">
        <v>664</v>
      </c>
      <c r="J15" s="248">
        <v>620</v>
      </c>
      <c r="K15" s="248">
        <v>639</v>
      </c>
      <c r="L15" s="248">
        <v>553</v>
      </c>
      <c r="M15" s="248">
        <v>558</v>
      </c>
      <c r="N15" s="248">
        <v>533</v>
      </c>
      <c r="O15" s="248">
        <v>539</v>
      </c>
      <c r="P15" s="248">
        <v>577</v>
      </c>
      <c r="Q15" s="248">
        <v>709</v>
      </c>
      <c r="R15" s="249">
        <v>714</v>
      </c>
      <c r="S15" s="249">
        <v>673</v>
      </c>
      <c r="T15" s="249">
        <v>710</v>
      </c>
      <c r="U15" s="249">
        <v>573</v>
      </c>
      <c r="V15" s="249">
        <v>692</v>
      </c>
      <c r="W15" s="249">
        <v>580</v>
      </c>
      <c r="X15" s="249">
        <v>569</v>
      </c>
      <c r="Y15" s="249">
        <v>528</v>
      </c>
      <c r="Z15" s="248">
        <v>552</v>
      </c>
      <c r="AA15" s="248">
        <v>518</v>
      </c>
      <c r="AB15" s="230">
        <v>-6.1594202898550732</v>
      </c>
    </row>
    <row r="16" spans="1:28" ht="23.25" customHeight="1" x14ac:dyDescent="0.25">
      <c r="A16" s="693">
        <v>4.4000000000000004</v>
      </c>
      <c r="B16" s="783" t="s">
        <v>406</v>
      </c>
      <c r="C16" s="688" t="s">
        <v>169</v>
      </c>
      <c r="D16" s="688" t="s">
        <v>169</v>
      </c>
      <c r="E16" s="688" t="s">
        <v>169</v>
      </c>
      <c r="F16" s="688" t="s">
        <v>169</v>
      </c>
      <c r="G16" s="688" t="s">
        <v>169</v>
      </c>
      <c r="H16" s="697" t="s">
        <v>169</v>
      </c>
      <c r="I16" s="696">
        <v>373</v>
      </c>
      <c r="J16" s="696">
        <v>296</v>
      </c>
      <c r="K16" s="696">
        <v>213</v>
      </c>
      <c r="L16" s="696">
        <v>200</v>
      </c>
      <c r="M16" s="696">
        <v>174</v>
      </c>
      <c r="N16" s="695">
        <v>290</v>
      </c>
      <c r="O16" s="695">
        <v>413</v>
      </c>
      <c r="P16" s="695">
        <v>469</v>
      </c>
      <c r="Q16" s="695">
        <v>602</v>
      </c>
      <c r="R16" s="695">
        <v>590</v>
      </c>
      <c r="S16" s="695">
        <v>683</v>
      </c>
      <c r="T16" s="695">
        <v>715</v>
      </c>
      <c r="U16" s="690">
        <v>655</v>
      </c>
      <c r="V16" s="690">
        <v>718</v>
      </c>
      <c r="W16" s="690">
        <v>817</v>
      </c>
      <c r="X16" s="690">
        <v>926</v>
      </c>
      <c r="Y16" s="690">
        <v>1008</v>
      </c>
      <c r="Z16" s="686">
        <v>947</v>
      </c>
      <c r="AA16" s="686">
        <v>969</v>
      </c>
      <c r="AB16" s="230">
        <v>2.3231256599788805</v>
      </c>
    </row>
    <row r="17" spans="1:28" ht="16.350000000000001" customHeight="1" x14ac:dyDescent="0.25">
      <c r="A17" s="693">
        <v>4.5999999999999996</v>
      </c>
      <c r="B17" s="785" t="s">
        <v>407</v>
      </c>
      <c r="C17" s="688" t="s">
        <v>169</v>
      </c>
      <c r="D17" s="688" t="s">
        <v>169</v>
      </c>
      <c r="E17" s="688" t="s">
        <v>169</v>
      </c>
      <c r="F17" s="688" t="s">
        <v>169</v>
      </c>
      <c r="G17" s="688" t="s">
        <v>169</v>
      </c>
      <c r="H17" s="697" t="s">
        <v>169</v>
      </c>
      <c r="I17" s="696">
        <v>29</v>
      </c>
      <c r="J17" s="696">
        <v>36</v>
      </c>
      <c r="K17" s="696">
        <v>25</v>
      </c>
      <c r="L17" s="696">
        <v>24</v>
      </c>
      <c r="M17" s="696">
        <v>14</v>
      </c>
      <c r="N17" s="695">
        <v>23</v>
      </c>
      <c r="O17" s="695">
        <v>12</v>
      </c>
      <c r="P17" s="695">
        <v>38</v>
      </c>
      <c r="Q17" s="695">
        <v>30</v>
      </c>
      <c r="R17" s="695">
        <v>26</v>
      </c>
      <c r="S17" s="695">
        <v>26</v>
      </c>
      <c r="T17" s="695">
        <v>20</v>
      </c>
      <c r="U17" s="690">
        <v>19</v>
      </c>
      <c r="V17" s="690">
        <v>28</v>
      </c>
      <c r="W17" s="690">
        <v>28</v>
      </c>
      <c r="X17" s="690">
        <v>39</v>
      </c>
      <c r="Y17" s="690">
        <v>19</v>
      </c>
      <c r="Z17" s="686">
        <v>35</v>
      </c>
      <c r="AA17" s="686">
        <v>17</v>
      </c>
      <c r="AB17" s="230" t="s">
        <v>403</v>
      </c>
    </row>
    <row r="18" spans="1:28" ht="16.350000000000001" customHeight="1" x14ac:dyDescent="0.25">
      <c r="A18" s="693">
        <v>4.8</v>
      </c>
      <c r="B18" s="783" t="s">
        <v>408</v>
      </c>
      <c r="C18" s="688" t="s">
        <v>169</v>
      </c>
      <c r="D18" s="688" t="s">
        <v>169</v>
      </c>
      <c r="E18" s="688" t="s">
        <v>169</v>
      </c>
      <c r="F18" s="688" t="s">
        <v>169</v>
      </c>
      <c r="G18" s="688" t="s">
        <v>169</v>
      </c>
      <c r="H18" s="697" t="s">
        <v>169</v>
      </c>
      <c r="I18" s="696">
        <v>35</v>
      </c>
      <c r="J18" s="696">
        <v>188</v>
      </c>
      <c r="K18" s="696">
        <v>172</v>
      </c>
      <c r="L18" s="696">
        <v>179</v>
      </c>
      <c r="M18" s="696">
        <v>139</v>
      </c>
      <c r="N18" s="695">
        <v>136</v>
      </c>
      <c r="O18" s="695">
        <v>159</v>
      </c>
      <c r="P18" s="695">
        <v>150</v>
      </c>
      <c r="Q18" s="695">
        <v>160</v>
      </c>
      <c r="R18" s="695">
        <v>156</v>
      </c>
      <c r="S18" s="695">
        <v>192</v>
      </c>
      <c r="T18" s="695">
        <v>172</v>
      </c>
      <c r="U18" s="690">
        <v>147</v>
      </c>
      <c r="V18" s="690">
        <v>160</v>
      </c>
      <c r="W18" s="690">
        <v>301</v>
      </c>
      <c r="X18" s="690">
        <v>889</v>
      </c>
      <c r="Y18" s="690">
        <v>1010</v>
      </c>
      <c r="Z18" s="686">
        <v>946</v>
      </c>
      <c r="AA18" s="686">
        <v>1015</v>
      </c>
      <c r="AB18" s="230">
        <v>7.2938689217758981</v>
      </c>
    </row>
    <row r="19" spans="1:28" ht="16.350000000000001" customHeight="1" x14ac:dyDescent="0.25">
      <c r="A19" s="693" t="s">
        <v>409</v>
      </c>
      <c r="B19" s="783" t="s">
        <v>410</v>
      </c>
      <c r="C19" s="696">
        <v>414</v>
      </c>
      <c r="D19" s="696">
        <v>445</v>
      </c>
      <c r="E19" s="696">
        <v>441</v>
      </c>
      <c r="F19" s="696">
        <v>432</v>
      </c>
      <c r="G19" s="696">
        <v>459</v>
      </c>
      <c r="H19" s="696">
        <v>422</v>
      </c>
      <c r="I19" s="698" t="s">
        <v>169</v>
      </c>
      <c r="J19" s="688" t="s">
        <v>169</v>
      </c>
      <c r="K19" s="688" t="s">
        <v>169</v>
      </c>
      <c r="L19" s="688" t="s">
        <v>169</v>
      </c>
      <c r="M19" s="695" t="s">
        <v>169</v>
      </c>
      <c r="N19" s="688" t="s">
        <v>169</v>
      </c>
      <c r="O19" s="695" t="s">
        <v>169</v>
      </c>
      <c r="P19" s="695" t="s">
        <v>169</v>
      </c>
      <c r="Q19" s="695" t="s">
        <v>169</v>
      </c>
      <c r="R19" s="695" t="s">
        <v>169</v>
      </c>
      <c r="S19" s="695" t="s">
        <v>169</v>
      </c>
      <c r="T19" s="695" t="s">
        <v>169</v>
      </c>
      <c r="U19" s="690" t="s">
        <v>169</v>
      </c>
      <c r="V19" s="690" t="s">
        <v>169</v>
      </c>
      <c r="W19" s="690" t="s">
        <v>169</v>
      </c>
      <c r="X19" s="690" t="s">
        <v>169</v>
      </c>
      <c r="Y19" s="690" t="s">
        <v>169</v>
      </c>
      <c r="Z19" s="688" t="s">
        <v>169</v>
      </c>
      <c r="AA19" s="688" t="s">
        <v>169</v>
      </c>
      <c r="AB19" s="230" t="s">
        <v>169</v>
      </c>
    </row>
    <row r="20" spans="1:28" ht="17.25" customHeight="1" x14ac:dyDescent="0.25">
      <c r="A20" s="693">
        <v>4.9000000000000004</v>
      </c>
      <c r="B20" s="783" t="s">
        <v>411</v>
      </c>
      <c r="C20" s="699" t="s">
        <v>169</v>
      </c>
      <c r="D20" s="699" t="s">
        <v>169</v>
      </c>
      <c r="E20" s="699" t="s">
        <v>169</v>
      </c>
      <c r="F20" s="699" t="s">
        <v>169</v>
      </c>
      <c r="G20" s="699" t="s">
        <v>169</v>
      </c>
      <c r="H20" s="696">
        <v>1</v>
      </c>
      <c r="I20" s="696">
        <v>8</v>
      </c>
      <c r="J20" s="696">
        <v>16</v>
      </c>
      <c r="K20" s="696">
        <v>6</v>
      </c>
      <c r="L20" s="696">
        <v>6</v>
      </c>
      <c r="M20" s="696">
        <v>10</v>
      </c>
      <c r="N20" s="695">
        <v>5</v>
      </c>
      <c r="O20" s="695">
        <v>1</v>
      </c>
      <c r="P20" s="695">
        <v>12</v>
      </c>
      <c r="Q20" s="695">
        <v>14</v>
      </c>
      <c r="R20" s="695">
        <v>9</v>
      </c>
      <c r="S20" s="695">
        <v>6</v>
      </c>
      <c r="T20" s="695">
        <v>12</v>
      </c>
      <c r="U20" s="690">
        <v>16</v>
      </c>
      <c r="V20" s="690">
        <v>13</v>
      </c>
      <c r="W20" s="690">
        <v>49</v>
      </c>
      <c r="X20" s="690">
        <v>15</v>
      </c>
      <c r="Y20" s="690">
        <v>44</v>
      </c>
      <c r="Z20" s="686">
        <v>20</v>
      </c>
      <c r="AA20" s="686">
        <v>49</v>
      </c>
      <c r="AB20" s="230" t="s">
        <v>403</v>
      </c>
    </row>
    <row r="21" spans="1:28" ht="13.5" customHeight="1" x14ac:dyDescent="0.25">
      <c r="A21" s="693">
        <v>37.1</v>
      </c>
      <c r="B21" s="783" t="s">
        <v>412</v>
      </c>
      <c r="C21" s="696">
        <v>55</v>
      </c>
      <c r="D21" s="696">
        <v>63</v>
      </c>
      <c r="E21" s="696">
        <v>40</v>
      </c>
      <c r="F21" s="696">
        <v>24</v>
      </c>
      <c r="G21" s="696">
        <v>18</v>
      </c>
      <c r="H21" s="696">
        <v>18</v>
      </c>
      <c r="I21" s="696">
        <v>14</v>
      </c>
      <c r="J21" s="696">
        <v>5</v>
      </c>
      <c r="K21" s="696">
        <v>14</v>
      </c>
      <c r="L21" s="696">
        <v>7</v>
      </c>
      <c r="M21" s="696">
        <v>8</v>
      </c>
      <c r="N21" s="695">
        <v>4</v>
      </c>
      <c r="O21" s="695">
        <v>8</v>
      </c>
      <c r="P21" s="695">
        <v>6</v>
      </c>
      <c r="Q21" s="695">
        <v>11</v>
      </c>
      <c r="R21" s="695">
        <v>13</v>
      </c>
      <c r="S21" s="695">
        <v>15</v>
      </c>
      <c r="T21" s="695">
        <v>10</v>
      </c>
      <c r="U21" s="690">
        <v>11</v>
      </c>
      <c r="V21" s="690">
        <v>6</v>
      </c>
      <c r="W21" s="690">
        <v>5</v>
      </c>
      <c r="X21" s="690">
        <v>6</v>
      </c>
      <c r="Y21" s="690">
        <v>4</v>
      </c>
      <c r="Z21" s="686">
        <v>6</v>
      </c>
      <c r="AA21" s="686">
        <v>5</v>
      </c>
      <c r="AB21" s="230" t="s">
        <v>403</v>
      </c>
    </row>
    <row r="22" spans="1:28" ht="18.75" customHeight="1" x14ac:dyDescent="0.25">
      <c r="A22" s="693"/>
      <c r="B22" s="776" t="s">
        <v>413</v>
      </c>
      <c r="C22" s="233">
        <v>469</v>
      </c>
      <c r="D22" s="233">
        <v>508</v>
      </c>
      <c r="E22" s="233">
        <v>481</v>
      </c>
      <c r="F22" s="233">
        <v>456</v>
      </c>
      <c r="G22" s="233">
        <v>477</v>
      </c>
      <c r="H22" s="233">
        <v>441</v>
      </c>
      <c r="I22" s="233">
        <v>459</v>
      </c>
      <c r="J22" s="233">
        <v>541</v>
      </c>
      <c r="K22" s="233">
        <v>430</v>
      </c>
      <c r="L22" s="233">
        <v>416</v>
      </c>
      <c r="M22" s="233">
        <v>345</v>
      </c>
      <c r="N22" s="233">
        <v>458</v>
      </c>
      <c r="O22" s="233">
        <v>593</v>
      </c>
      <c r="P22" s="233">
        <v>675</v>
      </c>
      <c r="Q22" s="233">
        <v>817</v>
      </c>
      <c r="R22" s="234">
        <v>794</v>
      </c>
      <c r="S22" s="234">
        <v>922</v>
      </c>
      <c r="T22" s="234">
        <v>929</v>
      </c>
      <c r="U22" s="234">
        <v>848</v>
      </c>
      <c r="V22" s="234">
        <v>925</v>
      </c>
      <c r="W22" s="234">
        <v>1200</v>
      </c>
      <c r="X22" s="234">
        <v>1875</v>
      </c>
      <c r="Y22" s="234">
        <v>2085</v>
      </c>
      <c r="Z22" s="233">
        <v>1954</v>
      </c>
      <c r="AA22" s="233">
        <v>2055</v>
      </c>
      <c r="AB22" s="230">
        <v>5.1688843398157625</v>
      </c>
    </row>
    <row r="23" spans="1:28" ht="27" customHeight="1" x14ac:dyDescent="0.25">
      <c r="A23" s="693">
        <v>2</v>
      </c>
      <c r="B23" s="783" t="s">
        <v>414</v>
      </c>
      <c r="C23" s="696">
        <v>822</v>
      </c>
      <c r="D23" s="696">
        <v>888</v>
      </c>
      <c r="E23" s="696">
        <v>740</v>
      </c>
      <c r="F23" s="696">
        <v>920</v>
      </c>
      <c r="G23" s="696">
        <v>633</v>
      </c>
      <c r="H23" s="696">
        <v>621</v>
      </c>
      <c r="I23" s="696">
        <v>574</v>
      </c>
      <c r="J23" s="696">
        <v>591</v>
      </c>
      <c r="K23" s="696">
        <v>523</v>
      </c>
      <c r="L23" s="696">
        <v>483</v>
      </c>
      <c r="M23" s="696">
        <v>412</v>
      </c>
      <c r="N23" s="695">
        <v>501</v>
      </c>
      <c r="O23" s="695">
        <v>565</v>
      </c>
      <c r="P23" s="686">
        <v>677</v>
      </c>
      <c r="Q23" s="686">
        <v>816</v>
      </c>
      <c r="R23" s="690">
        <v>1344</v>
      </c>
      <c r="S23" s="690">
        <v>1036</v>
      </c>
      <c r="T23" s="690">
        <v>1002</v>
      </c>
      <c r="U23" s="690">
        <v>996</v>
      </c>
      <c r="V23" s="690">
        <v>1001</v>
      </c>
      <c r="W23" s="690">
        <v>900</v>
      </c>
      <c r="X23" s="690">
        <v>876</v>
      </c>
      <c r="Y23" s="690">
        <v>941</v>
      </c>
      <c r="Z23" s="686">
        <v>879</v>
      </c>
      <c r="AA23" s="686">
        <v>944</v>
      </c>
      <c r="AB23" s="230">
        <v>7.3947667804323087</v>
      </c>
    </row>
    <row r="24" spans="1:28" ht="16.5" customHeight="1" x14ac:dyDescent="0.25">
      <c r="A24" s="693">
        <v>4.3</v>
      </c>
      <c r="B24" s="783" t="s">
        <v>415</v>
      </c>
      <c r="C24" s="696">
        <v>2</v>
      </c>
      <c r="D24" s="696">
        <v>8</v>
      </c>
      <c r="E24" s="696">
        <v>4</v>
      </c>
      <c r="F24" s="696">
        <v>5</v>
      </c>
      <c r="G24" s="696">
        <v>5</v>
      </c>
      <c r="H24" s="696">
        <v>4</v>
      </c>
      <c r="I24" s="696">
        <v>2</v>
      </c>
      <c r="J24" s="696">
        <v>3</v>
      </c>
      <c r="K24" s="696">
        <v>3</v>
      </c>
      <c r="L24" s="696">
        <v>3</v>
      </c>
      <c r="M24" s="696">
        <v>1</v>
      </c>
      <c r="N24" s="695">
        <v>4</v>
      </c>
      <c r="O24" s="695">
        <v>9</v>
      </c>
      <c r="P24" s="686">
        <v>6</v>
      </c>
      <c r="Q24" s="686">
        <v>12</v>
      </c>
      <c r="R24" s="690">
        <v>16</v>
      </c>
      <c r="S24" s="690">
        <v>12</v>
      </c>
      <c r="T24" s="690">
        <v>12</v>
      </c>
      <c r="U24" s="690">
        <v>10</v>
      </c>
      <c r="V24" s="690">
        <v>13</v>
      </c>
      <c r="W24" s="690">
        <v>15</v>
      </c>
      <c r="X24" s="690">
        <v>12</v>
      </c>
      <c r="Y24" s="690">
        <v>9</v>
      </c>
      <c r="Z24" s="686">
        <v>12</v>
      </c>
      <c r="AA24" s="686">
        <v>9</v>
      </c>
      <c r="AB24" s="230" t="s">
        <v>403</v>
      </c>
    </row>
    <row r="25" spans="1:28" ht="16.5" customHeight="1" x14ac:dyDescent="0.25">
      <c r="A25" s="693">
        <v>5</v>
      </c>
      <c r="B25" s="786" t="s">
        <v>416</v>
      </c>
      <c r="C25" s="696">
        <v>18016</v>
      </c>
      <c r="D25" s="696">
        <v>19528</v>
      </c>
      <c r="E25" s="696">
        <v>19612</v>
      </c>
      <c r="F25" s="696">
        <v>18825</v>
      </c>
      <c r="G25" s="696">
        <v>17276</v>
      </c>
      <c r="H25" s="696">
        <v>15118</v>
      </c>
      <c r="I25" s="698" t="s">
        <v>169</v>
      </c>
      <c r="J25" s="695" t="s">
        <v>169</v>
      </c>
      <c r="K25" s="695" t="s">
        <v>169</v>
      </c>
      <c r="L25" s="695" t="s">
        <v>169</v>
      </c>
      <c r="M25" s="695" t="s">
        <v>169</v>
      </c>
      <c r="N25" s="695" t="s">
        <v>169</v>
      </c>
      <c r="O25" s="695" t="s">
        <v>169</v>
      </c>
      <c r="P25" s="695" t="s">
        <v>169</v>
      </c>
      <c r="Q25" s="695" t="s">
        <v>169</v>
      </c>
      <c r="R25" s="695" t="s">
        <v>169</v>
      </c>
      <c r="S25" s="695" t="s">
        <v>169</v>
      </c>
      <c r="T25" s="695" t="s">
        <v>169</v>
      </c>
      <c r="U25" s="695" t="s">
        <v>169</v>
      </c>
      <c r="V25" s="695" t="s">
        <v>169</v>
      </c>
      <c r="W25" s="695" t="s">
        <v>169</v>
      </c>
      <c r="X25" s="695" t="s">
        <v>169</v>
      </c>
      <c r="Y25" s="695" t="s">
        <v>169</v>
      </c>
      <c r="Z25" s="695" t="s">
        <v>169</v>
      </c>
      <c r="AA25" s="695" t="s">
        <v>169</v>
      </c>
      <c r="AB25" s="230" t="s">
        <v>169</v>
      </c>
    </row>
    <row r="26" spans="1:28" ht="16.5" customHeight="1" x14ac:dyDescent="0.25">
      <c r="A26" s="693" t="s">
        <v>417</v>
      </c>
      <c r="B26" s="786" t="s">
        <v>418</v>
      </c>
      <c r="C26" s="695" t="s">
        <v>169</v>
      </c>
      <c r="D26" s="695" t="s">
        <v>169</v>
      </c>
      <c r="E26" s="695" t="s">
        <v>169</v>
      </c>
      <c r="F26" s="695" t="s">
        <v>169</v>
      </c>
      <c r="G26" s="695" t="s">
        <v>169</v>
      </c>
      <c r="H26" s="695" t="s">
        <v>169</v>
      </c>
      <c r="I26" s="696">
        <v>22663</v>
      </c>
      <c r="J26" s="696">
        <v>22795</v>
      </c>
      <c r="K26" s="696">
        <v>19489</v>
      </c>
      <c r="L26" s="696">
        <v>17777</v>
      </c>
      <c r="M26" s="695" t="s">
        <v>169</v>
      </c>
      <c r="N26" s="695" t="s">
        <v>169</v>
      </c>
      <c r="O26" s="695" t="s">
        <v>169</v>
      </c>
      <c r="P26" s="695" t="s">
        <v>169</v>
      </c>
      <c r="Q26" s="695" t="s">
        <v>169</v>
      </c>
      <c r="R26" s="695" t="s">
        <v>169</v>
      </c>
      <c r="S26" s="695" t="s">
        <v>169</v>
      </c>
      <c r="T26" s="695" t="s">
        <v>169</v>
      </c>
      <c r="U26" s="695" t="s">
        <v>169</v>
      </c>
      <c r="V26" s="695" t="s">
        <v>169</v>
      </c>
      <c r="W26" s="695" t="s">
        <v>169</v>
      </c>
      <c r="X26" s="695" t="s">
        <v>169</v>
      </c>
      <c r="Y26" s="695" t="s">
        <v>169</v>
      </c>
      <c r="Z26" s="695" t="s">
        <v>169</v>
      </c>
      <c r="AA26" s="695" t="s">
        <v>169</v>
      </c>
      <c r="AB26" s="230" t="s">
        <v>169</v>
      </c>
    </row>
    <row r="27" spans="1:28" ht="16.5" customHeight="1" x14ac:dyDescent="0.25">
      <c r="A27" s="693" t="s">
        <v>419</v>
      </c>
      <c r="B27" s="786" t="s">
        <v>420</v>
      </c>
      <c r="C27" s="695" t="s">
        <v>169</v>
      </c>
      <c r="D27" s="695" t="s">
        <v>169</v>
      </c>
      <c r="E27" s="695" t="s">
        <v>169</v>
      </c>
      <c r="F27" s="695" t="s">
        <v>169</v>
      </c>
      <c r="G27" s="695" t="s">
        <v>169</v>
      </c>
      <c r="H27" s="695" t="s">
        <v>169</v>
      </c>
      <c r="I27" s="696">
        <v>462</v>
      </c>
      <c r="J27" s="696">
        <v>416</v>
      </c>
      <c r="K27" s="696">
        <v>371</v>
      </c>
      <c r="L27" s="696">
        <v>315</v>
      </c>
      <c r="M27" s="695" t="s">
        <v>169</v>
      </c>
      <c r="N27" s="695" t="s">
        <v>169</v>
      </c>
      <c r="O27" s="695" t="s">
        <v>169</v>
      </c>
      <c r="P27" s="695" t="s">
        <v>169</v>
      </c>
      <c r="Q27" s="695" t="s">
        <v>169</v>
      </c>
      <c r="R27" s="695" t="s">
        <v>169</v>
      </c>
      <c r="S27" s="695" t="s">
        <v>169</v>
      </c>
      <c r="T27" s="695" t="s">
        <v>169</v>
      </c>
      <c r="U27" s="695" t="s">
        <v>169</v>
      </c>
      <c r="V27" s="695" t="s">
        <v>169</v>
      </c>
      <c r="W27" s="695" t="s">
        <v>169</v>
      </c>
      <c r="X27" s="695" t="s">
        <v>169</v>
      </c>
      <c r="Y27" s="695" t="s">
        <v>169</v>
      </c>
      <c r="Z27" s="695" t="s">
        <v>169</v>
      </c>
      <c r="AA27" s="695" t="s">
        <v>169</v>
      </c>
      <c r="AB27" s="230" t="s">
        <v>169</v>
      </c>
    </row>
    <row r="28" spans="1:28" ht="16.5" customHeight="1" x14ac:dyDescent="0.25">
      <c r="A28" s="693" t="s">
        <v>421</v>
      </c>
      <c r="B28" s="786" t="s">
        <v>422</v>
      </c>
      <c r="C28" s="695" t="s">
        <v>169</v>
      </c>
      <c r="D28" s="695" t="s">
        <v>169</v>
      </c>
      <c r="E28" s="695" t="s">
        <v>169</v>
      </c>
      <c r="F28" s="695" t="s">
        <v>169</v>
      </c>
      <c r="G28" s="695" t="s">
        <v>169</v>
      </c>
      <c r="H28" s="695" t="s">
        <v>169</v>
      </c>
      <c r="I28" s="696">
        <v>266</v>
      </c>
      <c r="J28" s="696">
        <v>331</v>
      </c>
      <c r="K28" s="696">
        <v>329</v>
      </c>
      <c r="L28" s="696">
        <v>298</v>
      </c>
      <c r="M28" s="695" t="s">
        <v>169</v>
      </c>
      <c r="N28" s="695" t="s">
        <v>169</v>
      </c>
      <c r="O28" s="695" t="s">
        <v>169</v>
      </c>
      <c r="P28" s="695" t="s">
        <v>169</v>
      </c>
      <c r="Q28" s="695" t="s">
        <v>169</v>
      </c>
      <c r="R28" s="695" t="s">
        <v>169</v>
      </c>
      <c r="S28" s="695" t="s">
        <v>169</v>
      </c>
      <c r="T28" s="695" t="s">
        <v>169</v>
      </c>
      <c r="U28" s="695" t="s">
        <v>169</v>
      </c>
      <c r="V28" s="695" t="s">
        <v>169</v>
      </c>
      <c r="W28" s="695" t="s">
        <v>169</v>
      </c>
      <c r="X28" s="695" t="s">
        <v>169</v>
      </c>
      <c r="Y28" s="695" t="s">
        <v>169</v>
      </c>
      <c r="Z28" s="695" t="s">
        <v>169</v>
      </c>
      <c r="AA28" s="695" t="s">
        <v>169</v>
      </c>
      <c r="AB28" s="230" t="s">
        <v>169</v>
      </c>
    </row>
    <row r="29" spans="1:28" ht="16.5" customHeight="1" x14ac:dyDescent="0.25">
      <c r="A29" s="693" t="s">
        <v>423</v>
      </c>
      <c r="B29" s="786" t="s">
        <v>424</v>
      </c>
      <c r="C29" s="695" t="s">
        <v>169</v>
      </c>
      <c r="D29" s="695" t="s">
        <v>169</v>
      </c>
      <c r="E29" s="695" t="s">
        <v>169</v>
      </c>
      <c r="F29" s="695" t="s">
        <v>169</v>
      </c>
      <c r="G29" s="695" t="s">
        <v>169</v>
      </c>
      <c r="H29" s="695" t="s">
        <v>169</v>
      </c>
      <c r="I29" s="695" t="s">
        <v>169</v>
      </c>
      <c r="J29" s="695" t="s">
        <v>169</v>
      </c>
      <c r="K29" s="695" t="s">
        <v>169</v>
      </c>
      <c r="L29" s="695" t="s">
        <v>169</v>
      </c>
      <c r="M29" s="696">
        <v>17006</v>
      </c>
      <c r="N29" s="695">
        <v>17929</v>
      </c>
      <c r="O29" s="695">
        <v>20565</v>
      </c>
      <c r="P29" s="686">
        <v>23131</v>
      </c>
      <c r="Q29" s="686">
        <v>25433</v>
      </c>
      <c r="R29" s="690">
        <v>29894</v>
      </c>
      <c r="S29" s="690">
        <v>34301</v>
      </c>
      <c r="T29" s="690">
        <v>33489</v>
      </c>
      <c r="U29" s="690">
        <v>31358</v>
      </c>
      <c r="V29" s="690">
        <v>36185</v>
      </c>
      <c r="W29" s="690">
        <v>35374</v>
      </c>
      <c r="X29" s="690">
        <v>35503</v>
      </c>
      <c r="Y29" s="690">
        <v>36232</v>
      </c>
      <c r="Z29" s="686">
        <v>36150</v>
      </c>
      <c r="AA29" s="686">
        <v>35931</v>
      </c>
      <c r="AB29" s="230">
        <v>-0.60580912863070546</v>
      </c>
    </row>
    <row r="30" spans="1:28" ht="16.5" customHeight="1" x14ac:dyDescent="0.25">
      <c r="A30" s="693" t="s">
        <v>425</v>
      </c>
      <c r="B30" s="783" t="s">
        <v>426</v>
      </c>
      <c r="C30" s="695" t="s">
        <v>169</v>
      </c>
      <c r="D30" s="695" t="s">
        <v>169</v>
      </c>
      <c r="E30" s="695" t="s">
        <v>169</v>
      </c>
      <c r="F30" s="695" t="s">
        <v>169</v>
      </c>
      <c r="G30" s="695" t="s">
        <v>169</v>
      </c>
      <c r="H30" s="695" t="s">
        <v>169</v>
      </c>
      <c r="I30" s="695" t="s">
        <v>169</v>
      </c>
      <c r="J30" s="695" t="s">
        <v>169</v>
      </c>
      <c r="K30" s="695" t="s">
        <v>169</v>
      </c>
      <c r="L30" s="695" t="s">
        <v>169</v>
      </c>
      <c r="M30" s="696">
        <v>778</v>
      </c>
      <c r="N30" s="695">
        <v>801</v>
      </c>
      <c r="O30" s="695">
        <v>992</v>
      </c>
      <c r="P30" s="686">
        <v>1325</v>
      </c>
      <c r="Q30" s="686">
        <v>1740</v>
      </c>
      <c r="R30" s="690">
        <v>2854</v>
      </c>
      <c r="S30" s="690">
        <v>2698</v>
      </c>
      <c r="T30" s="690">
        <v>2287</v>
      </c>
      <c r="U30" s="690">
        <v>1983</v>
      </c>
      <c r="V30" s="690">
        <v>2592</v>
      </c>
      <c r="W30" s="690">
        <v>3053</v>
      </c>
      <c r="X30" s="690">
        <v>2613</v>
      </c>
      <c r="Y30" s="690">
        <v>3839</v>
      </c>
      <c r="Z30" s="686">
        <v>2881</v>
      </c>
      <c r="AA30" s="686">
        <v>3797</v>
      </c>
      <c r="AB30" s="230">
        <v>31.794515793127388</v>
      </c>
    </row>
    <row r="31" spans="1:28" ht="16.5" customHeight="1" x14ac:dyDescent="0.25">
      <c r="A31" s="693">
        <v>6</v>
      </c>
      <c r="B31" s="786" t="s">
        <v>427</v>
      </c>
      <c r="C31" s="696">
        <v>1164</v>
      </c>
      <c r="D31" s="696">
        <v>811</v>
      </c>
      <c r="E31" s="696">
        <v>718</v>
      </c>
      <c r="F31" s="696">
        <v>646</v>
      </c>
      <c r="G31" s="696">
        <v>484</v>
      </c>
      <c r="H31" s="696">
        <v>402</v>
      </c>
      <c r="I31" s="696">
        <v>320</v>
      </c>
      <c r="J31" s="696">
        <v>231</v>
      </c>
      <c r="K31" s="696">
        <v>257</v>
      </c>
      <c r="L31" s="696">
        <v>214</v>
      </c>
      <c r="M31" s="695" t="s">
        <v>169</v>
      </c>
      <c r="N31" s="695" t="s">
        <v>169</v>
      </c>
      <c r="O31" s="695" t="s">
        <v>169</v>
      </c>
      <c r="P31" s="695" t="s">
        <v>169</v>
      </c>
      <c r="Q31" s="695" t="s">
        <v>169</v>
      </c>
      <c r="R31" s="695" t="s">
        <v>169</v>
      </c>
      <c r="S31" s="695" t="s">
        <v>169</v>
      </c>
      <c r="T31" s="695" t="s">
        <v>169</v>
      </c>
      <c r="U31" s="695" t="s">
        <v>169</v>
      </c>
      <c r="V31" s="695" t="s">
        <v>169</v>
      </c>
      <c r="W31" s="695" t="s">
        <v>169</v>
      </c>
      <c r="X31" s="695" t="s">
        <v>169</v>
      </c>
      <c r="Y31" s="695" t="s">
        <v>169</v>
      </c>
      <c r="Z31" s="695" t="s">
        <v>169</v>
      </c>
      <c r="AA31" s="695" t="s">
        <v>169</v>
      </c>
      <c r="AB31" s="230" t="s">
        <v>169</v>
      </c>
    </row>
    <row r="32" spans="1:28" ht="16.5" customHeight="1" x14ac:dyDescent="0.25">
      <c r="A32" s="693">
        <v>7</v>
      </c>
      <c r="B32" s="786" t="s">
        <v>428</v>
      </c>
      <c r="C32" s="696">
        <v>2</v>
      </c>
      <c r="D32" s="696">
        <v>2</v>
      </c>
      <c r="E32" s="696">
        <v>3</v>
      </c>
      <c r="F32" s="696">
        <v>13</v>
      </c>
      <c r="G32" s="696">
        <v>5</v>
      </c>
      <c r="H32" s="696">
        <v>10</v>
      </c>
      <c r="I32" s="696">
        <v>8</v>
      </c>
      <c r="J32" s="696">
        <v>6</v>
      </c>
      <c r="K32" s="696">
        <v>4</v>
      </c>
      <c r="L32" s="696">
        <v>6</v>
      </c>
      <c r="M32" s="695" t="s">
        <v>169</v>
      </c>
      <c r="N32" s="695" t="s">
        <v>169</v>
      </c>
      <c r="O32" s="695" t="s">
        <v>169</v>
      </c>
      <c r="P32" s="695" t="s">
        <v>169</v>
      </c>
      <c r="Q32" s="695" t="s">
        <v>169</v>
      </c>
      <c r="R32" s="695" t="s">
        <v>169</v>
      </c>
      <c r="S32" s="695" t="s">
        <v>169</v>
      </c>
      <c r="T32" s="695" t="s">
        <v>169</v>
      </c>
      <c r="U32" s="695" t="s">
        <v>169</v>
      </c>
      <c r="V32" s="695" t="s">
        <v>169</v>
      </c>
      <c r="W32" s="695" t="s">
        <v>169</v>
      </c>
      <c r="X32" s="695" t="s">
        <v>169</v>
      </c>
      <c r="Y32" s="695" t="s">
        <v>169</v>
      </c>
      <c r="Z32" s="695" t="s">
        <v>169</v>
      </c>
      <c r="AA32" s="695" t="s">
        <v>169</v>
      </c>
      <c r="AB32" s="230" t="s">
        <v>169</v>
      </c>
    </row>
    <row r="33" spans="1:28" ht="16.5" customHeight="1" x14ac:dyDescent="0.25">
      <c r="A33" s="693" t="s">
        <v>429</v>
      </c>
      <c r="B33" s="786" t="s">
        <v>430</v>
      </c>
      <c r="C33" s="695" t="s">
        <v>169</v>
      </c>
      <c r="D33" s="695" t="s">
        <v>169</v>
      </c>
      <c r="E33" s="695" t="s">
        <v>169</v>
      </c>
      <c r="F33" s="695" t="s">
        <v>169</v>
      </c>
      <c r="G33" s="695" t="s">
        <v>169</v>
      </c>
      <c r="H33" s="695" t="s">
        <v>169</v>
      </c>
      <c r="I33" s="696">
        <v>17159</v>
      </c>
      <c r="J33" s="696">
        <v>16482</v>
      </c>
      <c r="K33" s="696">
        <v>15112</v>
      </c>
      <c r="L33" s="696">
        <v>14409</v>
      </c>
      <c r="M33" s="695" t="s">
        <v>169</v>
      </c>
      <c r="N33" s="695" t="s">
        <v>169</v>
      </c>
      <c r="O33" s="695" t="s">
        <v>169</v>
      </c>
      <c r="P33" s="695" t="s">
        <v>169</v>
      </c>
      <c r="Q33" s="695" t="s">
        <v>169</v>
      </c>
      <c r="R33" s="695" t="s">
        <v>169</v>
      </c>
      <c r="S33" s="695" t="s">
        <v>169</v>
      </c>
      <c r="T33" s="695" t="s">
        <v>169</v>
      </c>
      <c r="U33" s="695" t="s">
        <v>169</v>
      </c>
      <c r="V33" s="695" t="s">
        <v>169</v>
      </c>
      <c r="W33" s="695" t="s">
        <v>169</v>
      </c>
      <c r="X33" s="695" t="s">
        <v>169</v>
      </c>
      <c r="Y33" s="695" t="s">
        <v>169</v>
      </c>
      <c r="Z33" s="695" t="s">
        <v>169</v>
      </c>
      <c r="AA33" s="695" t="s">
        <v>169</v>
      </c>
      <c r="AB33" s="230" t="s">
        <v>169</v>
      </c>
    </row>
    <row r="34" spans="1:28" ht="16.5" customHeight="1" x14ac:dyDescent="0.25">
      <c r="A34" s="693" t="s">
        <v>431</v>
      </c>
      <c r="B34" s="786" t="s">
        <v>432</v>
      </c>
      <c r="C34" s="695" t="s">
        <v>169</v>
      </c>
      <c r="D34" s="695" t="s">
        <v>169</v>
      </c>
      <c r="E34" s="695" t="s">
        <v>169</v>
      </c>
      <c r="F34" s="695" t="s">
        <v>169</v>
      </c>
      <c r="G34" s="695" t="s">
        <v>169</v>
      </c>
      <c r="H34" s="695" t="s">
        <v>169</v>
      </c>
      <c r="I34" s="696">
        <v>384</v>
      </c>
      <c r="J34" s="696">
        <v>224</v>
      </c>
      <c r="K34" s="696">
        <v>188</v>
      </c>
      <c r="L34" s="696">
        <v>169</v>
      </c>
      <c r="M34" s="695" t="s">
        <v>169</v>
      </c>
      <c r="N34" s="695" t="s">
        <v>169</v>
      </c>
      <c r="O34" s="695" t="s">
        <v>169</v>
      </c>
      <c r="P34" s="695" t="s">
        <v>169</v>
      </c>
      <c r="Q34" s="695" t="s">
        <v>169</v>
      </c>
      <c r="R34" s="695" t="s">
        <v>169</v>
      </c>
      <c r="S34" s="695" t="s">
        <v>169</v>
      </c>
      <c r="T34" s="695" t="s">
        <v>169</v>
      </c>
      <c r="U34" s="695" t="s">
        <v>169</v>
      </c>
      <c r="V34" s="695" t="s">
        <v>169</v>
      </c>
      <c r="W34" s="695" t="s">
        <v>169</v>
      </c>
      <c r="X34" s="695" t="s">
        <v>169</v>
      </c>
      <c r="Y34" s="695" t="s">
        <v>169</v>
      </c>
      <c r="Z34" s="695" t="s">
        <v>169</v>
      </c>
      <c r="AA34" s="695" t="s">
        <v>169</v>
      </c>
      <c r="AB34" s="230" t="s">
        <v>169</v>
      </c>
    </row>
    <row r="35" spans="1:28" ht="16.5" customHeight="1" x14ac:dyDescent="0.25">
      <c r="A35" s="693">
        <v>4.7</v>
      </c>
      <c r="B35" s="783" t="s">
        <v>433</v>
      </c>
      <c r="C35" s="699" t="s">
        <v>169</v>
      </c>
      <c r="D35" s="699" t="s">
        <v>169</v>
      </c>
      <c r="E35" s="699" t="s">
        <v>169</v>
      </c>
      <c r="F35" s="696">
        <v>5</v>
      </c>
      <c r="G35" s="696">
        <v>3</v>
      </c>
      <c r="H35" s="696">
        <v>3</v>
      </c>
      <c r="I35" s="696">
        <v>7</v>
      </c>
      <c r="J35" s="696">
        <v>3</v>
      </c>
      <c r="K35" s="696">
        <v>5</v>
      </c>
      <c r="L35" s="696">
        <v>6</v>
      </c>
      <c r="M35" s="696">
        <v>8</v>
      </c>
      <c r="N35" s="695">
        <v>22</v>
      </c>
      <c r="O35" s="695">
        <v>16</v>
      </c>
      <c r="P35" s="686">
        <v>25</v>
      </c>
      <c r="Q35" s="686">
        <v>25</v>
      </c>
      <c r="R35" s="690">
        <v>40</v>
      </c>
      <c r="S35" s="690">
        <v>51</v>
      </c>
      <c r="T35" s="690">
        <v>50</v>
      </c>
      <c r="U35" s="690">
        <v>45</v>
      </c>
      <c r="V35" s="690">
        <v>74</v>
      </c>
      <c r="W35" s="690">
        <v>80</v>
      </c>
      <c r="X35" s="690">
        <v>83</v>
      </c>
      <c r="Y35" s="690">
        <v>91</v>
      </c>
      <c r="Z35" s="686">
        <v>91</v>
      </c>
      <c r="AA35" s="686">
        <v>82</v>
      </c>
      <c r="AB35" s="230">
        <v>-9.8901098901098905</v>
      </c>
    </row>
    <row r="36" spans="1:28" ht="16.5" customHeight="1" x14ac:dyDescent="0.25">
      <c r="A36" s="693" t="s">
        <v>434</v>
      </c>
      <c r="B36" s="786" t="s">
        <v>435</v>
      </c>
      <c r="C36" s="696">
        <v>347353</v>
      </c>
      <c r="D36" s="696">
        <v>431056</v>
      </c>
      <c r="E36" s="696">
        <v>488135</v>
      </c>
      <c r="F36" s="696">
        <v>516523</v>
      </c>
      <c r="G36" s="696">
        <v>481822</v>
      </c>
      <c r="H36" s="696">
        <v>430818</v>
      </c>
      <c r="I36" s="695" t="s">
        <v>169</v>
      </c>
      <c r="J36" s="695" t="s">
        <v>169</v>
      </c>
      <c r="K36" s="695" t="s">
        <v>169</v>
      </c>
      <c r="L36" s="695" t="s">
        <v>169</v>
      </c>
      <c r="M36" s="695" t="s">
        <v>169</v>
      </c>
      <c r="N36" s="695" t="s">
        <v>169</v>
      </c>
      <c r="O36" s="695" t="s">
        <v>169</v>
      </c>
      <c r="P36" s="695" t="s">
        <v>169</v>
      </c>
      <c r="Q36" s="695" t="s">
        <v>169</v>
      </c>
      <c r="R36" s="695" t="s">
        <v>169</v>
      </c>
      <c r="S36" s="695" t="s">
        <v>169</v>
      </c>
      <c r="T36" s="695" t="s">
        <v>169</v>
      </c>
      <c r="U36" s="695" t="s">
        <v>169</v>
      </c>
      <c r="V36" s="695" t="s">
        <v>169</v>
      </c>
      <c r="W36" s="695" t="s">
        <v>169</v>
      </c>
      <c r="X36" s="695" t="s">
        <v>169</v>
      </c>
      <c r="Y36" s="695" t="s">
        <v>169</v>
      </c>
      <c r="Z36" s="695" t="s">
        <v>169</v>
      </c>
      <c r="AA36" s="695" t="s">
        <v>169</v>
      </c>
      <c r="AB36" s="230" t="s">
        <v>169</v>
      </c>
    </row>
    <row r="37" spans="1:28" ht="16.5" customHeight="1" x14ac:dyDescent="0.25">
      <c r="A37" s="693" t="s">
        <v>436</v>
      </c>
      <c r="B37" s="786" t="s">
        <v>437</v>
      </c>
      <c r="C37" s="695" t="s">
        <v>169</v>
      </c>
      <c r="D37" s="695" t="s">
        <v>169</v>
      </c>
      <c r="E37" s="695" t="s">
        <v>169</v>
      </c>
      <c r="F37" s="695" t="s">
        <v>169</v>
      </c>
      <c r="G37" s="695" t="s">
        <v>169</v>
      </c>
      <c r="H37" s="695" t="s">
        <v>169</v>
      </c>
      <c r="I37" s="696">
        <v>374255</v>
      </c>
      <c r="J37" s="696">
        <v>355962</v>
      </c>
      <c r="K37" s="696">
        <v>328463</v>
      </c>
      <c r="L37" s="696">
        <v>301223</v>
      </c>
      <c r="M37" s="695" t="s">
        <v>169</v>
      </c>
      <c r="N37" s="695" t="s">
        <v>169</v>
      </c>
      <c r="O37" s="695" t="s">
        <v>169</v>
      </c>
      <c r="P37" s="695" t="s">
        <v>169</v>
      </c>
      <c r="Q37" s="695" t="s">
        <v>169</v>
      </c>
      <c r="R37" s="695" t="s">
        <v>169</v>
      </c>
      <c r="S37" s="695" t="s">
        <v>169</v>
      </c>
      <c r="T37" s="695" t="s">
        <v>169</v>
      </c>
      <c r="U37" s="695" t="s">
        <v>169</v>
      </c>
      <c r="V37" s="695" t="s">
        <v>169</v>
      </c>
      <c r="W37" s="695" t="s">
        <v>169</v>
      </c>
      <c r="X37" s="695" t="s">
        <v>169</v>
      </c>
      <c r="Y37" s="695" t="s">
        <v>169</v>
      </c>
      <c r="Z37" s="695" t="s">
        <v>169</v>
      </c>
      <c r="AA37" s="695" t="s">
        <v>169</v>
      </c>
      <c r="AB37" s="230" t="s">
        <v>169</v>
      </c>
    </row>
    <row r="38" spans="1:28" ht="16.5" customHeight="1" x14ac:dyDescent="0.25">
      <c r="A38" s="693" t="s">
        <v>438</v>
      </c>
      <c r="B38" s="786" t="s">
        <v>439</v>
      </c>
      <c r="C38" s="696">
        <v>4415</v>
      </c>
      <c r="D38" s="696">
        <v>4930</v>
      </c>
      <c r="E38" s="696">
        <v>5426</v>
      </c>
      <c r="F38" s="696">
        <v>6107</v>
      </c>
      <c r="G38" s="696">
        <v>5620</v>
      </c>
      <c r="H38" s="696">
        <v>4830</v>
      </c>
      <c r="I38" s="699" t="s">
        <v>169</v>
      </c>
      <c r="J38" s="699" t="s">
        <v>169</v>
      </c>
      <c r="K38" s="699" t="s">
        <v>169</v>
      </c>
      <c r="L38" s="699" t="s">
        <v>169</v>
      </c>
      <c r="M38" s="695" t="s">
        <v>169</v>
      </c>
      <c r="N38" s="699" t="s">
        <v>169</v>
      </c>
      <c r="O38" s="699" t="s">
        <v>169</v>
      </c>
      <c r="P38" s="699" t="s">
        <v>169</v>
      </c>
      <c r="Q38" s="699" t="s">
        <v>169</v>
      </c>
      <c r="R38" s="699" t="s">
        <v>169</v>
      </c>
      <c r="S38" s="699" t="s">
        <v>169</v>
      </c>
      <c r="T38" s="699" t="s">
        <v>169</v>
      </c>
      <c r="U38" s="695" t="s">
        <v>169</v>
      </c>
      <c r="V38" s="695" t="s">
        <v>169</v>
      </c>
      <c r="W38" s="695" t="s">
        <v>169</v>
      </c>
      <c r="X38" s="695" t="s">
        <v>169</v>
      </c>
      <c r="Y38" s="695" t="s">
        <v>169</v>
      </c>
      <c r="Z38" s="699" t="s">
        <v>169</v>
      </c>
      <c r="AA38" s="699" t="s">
        <v>169</v>
      </c>
      <c r="AB38" s="230" t="s">
        <v>169</v>
      </c>
    </row>
    <row r="39" spans="1:28" ht="16.5" customHeight="1" x14ac:dyDescent="0.25">
      <c r="A39" s="693" t="s">
        <v>440</v>
      </c>
      <c r="B39" s="786" t="s">
        <v>441</v>
      </c>
      <c r="C39" s="695" t="s">
        <v>169</v>
      </c>
      <c r="D39" s="695" t="s">
        <v>169</v>
      </c>
      <c r="E39" s="695" t="s">
        <v>169</v>
      </c>
      <c r="F39" s="695" t="s">
        <v>169</v>
      </c>
      <c r="G39" s="695" t="s">
        <v>169</v>
      </c>
      <c r="H39" s="695" t="s">
        <v>169</v>
      </c>
      <c r="I39" s="696">
        <v>3921</v>
      </c>
      <c r="J39" s="696">
        <v>3521</v>
      </c>
      <c r="K39" s="696">
        <v>2985</v>
      </c>
      <c r="L39" s="696">
        <v>2688</v>
      </c>
      <c r="M39" s="695" t="s">
        <v>169</v>
      </c>
      <c r="N39" s="695" t="s">
        <v>169</v>
      </c>
      <c r="O39" s="695" t="s">
        <v>169</v>
      </c>
      <c r="P39" s="695" t="s">
        <v>169</v>
      </c>
      <c r="Q39" s="695" t="s">
        <v>169</v>
      </c>
      <c r="R39" s="695" t="s">
        <v>169</v>
      </c>
      <c r="S39" s="695" t="s">
        <v>169</v>
      </c>
      <c r="T39" s="695" t="s">
        <v>169</v>
      </c>
      <c r="U39" s="695" t="s">
        <v>169</v>
      </c>
      <c r="V39" s="695" t="s">
        <v>169</v>
      </c>
      <c r="W39" s="695" t="s">
        <v>169</v>
      </c>
      <c r="X39" s="695" t="s">
        <v>169</v>
      </c>
      <c r="Y39" s="695" t="s">
        <v>169</v>
      </c>
      <c r="Z39" s="695" t="s">
        <v>169</v>
      </c>
      <c r="AA39" s="695" t="s">
        <v>169</v>
      </c>
      <c r="AB39" s="230" t="s">
        <v>169</v>
      </c>
    </row>
    <row r="40" spans="1:28" ht="16.5" customHeight="1" x14ac:dyDescent="0.25">
      <c r="A40" s="693" t="s">
        <v>442</v>
      </c>
      <c r="B40" s="786" t="s">
        <v>443</v>
      </c>
      <c r="C40" s="695" t="s">
        <v>169</v>
      </c>
      <c r="D40" s="695" t="s">
        <v>169</v>
      </c>
      <c r="E40" s="695" t="s">
        <v>169</v>
      </c>
      <c r="F40" s="695" t="s">
        <v>169</v>
      </c>
      <c r="G40" s="695" t="s">
        <v>169</v>
      </c>
      <c r="H40" s="695" t="s">
        <v>169</v>
      </c>
      <c r="I40" s="696">
        <v>163</v>
      </c>
      <c r="J40" s="696">
        <v>138</v>
      </c>
      <c r="K40" s="696">
        <v>118</v>
      </c>
      <c r="L40" s="696">
        <v>118</v>
      </c>
      <c r="M40" s="695" t="s">
        <v>169</v>
      </c>
      <c r="N40" s="695" t="s">
        <v>169</v>
      </c>
      <c r="O40" s="695" t="s">
        <v>169</v>
      </c>
      <c r="P40" s="695" t="s">
        <v>169</v>
      </c>
      <c r="Q40" s="695" t="s">
        <v>169</v>
      </c>
      <c r="R40" s="695" t="s">
        <v>169</v>
      </c>
      <c r="S40" s="695" t="s">
        <v>169</v>
      </c>
      <c r="T40" s="695" t="s">
        <v>169</v>
      </c>
      <c r="U40" s="695" t="s">
        <v>169</v>
      </c>
      <c r="V40" s="695" t="s">
        <v>169</v>
      </c>
      <c r="W40" s="695" t="s">
        <v>169</v>
      </c>
      <c r="X40" s="695" t="s">
        <v>169</v>
      </c>
      <c r="Y40" s="695" t="s">
        <v>169</v>
      </c>
      <c r="Z40" s="695" t="s">
        <v>169</v>
      </c>
      <c r="AA40" s="695" t="s">
        <v>169</v>
      </c>
      <c r="AB40" s="230" t="s">
        <v>169</v>
      </c>
    </row>
    <row r="41" spans="1:28" ht="16.5" customHeight="1" x14ac:dyDescent="0.25">
      <c r="A41" s="693" t="s">
        <v>444</v>
      </c>
      <c r="B41" s="786" t="s">
        <v>445</v>
      </c>
      <c r="C41" s="695" t="s">
        <v>169</v>
      </c>
      <c r="D41" s="695" t="s">
        <v>169</v>
      </c>
      <c r="E41" s="695" t="s">
        <v>169</v>
      </c>
      <c r="F41" s="695" t="s">
        <v>169</v>
      </c>
      <c r="G41" s="695" t="s">
        <v>169</v>
      </c>
      <c r="H41" s="695" t="s">
        <v>169</v>
      </c>
      <c r="I41" s="695" t="s">
        <v>169</v>
      </c>
      <c r="J41" s="695" t="s">
        <v>169</v>
      </c>
      <c r="K41" s="695" t="s">
        <v>169</v>
      </c>
      <c r="L41" s="695" t="s">
        <v>169</v>
      </c>
      <c r="M41" s="696">
        <v>290956</v>
      </c>
      <c r="N41" s="695">
        <v>300653</v>
      </c>
      <c r="O41" s="695">
        <v>348605</v>
      </c>
      <c r="P41" s="686">
        <v>403718</v>
      </c>
      <c r="Q41" s="686">
        <v>436590</v>
      </c>
      <c r="R41" s="690">
        <v>469062</v>
      </c>
      <c r="S41" s="690">
        <v>497911</v>
      </c>
      <c r="T41" s="690">
        <v>489543</v>
      </c>
      <c r="U41" s="690">
        <v>414820</v>
      </c>
      <c r="V41" s="690">
        <v>507091</v>
      </c>
      <c r="W41" s="690">
        <v>517410</v>
      </c>
      <c r="X41" s="690">
        <v>499589</v>
      </c>
      <c r="Y41" s="690">
        <v>460197</v>
      </c>
      <c r="Z41" s="686">
        <v>487150</v>
      </c>
      <c r="AA41" s="686">
        <v>455779</v>
      </c>
      <c r="AB41" s="230">
        <v>-6.439700297649595</v>
      </c>
    </row>
    <row r="42" spans="1:28" ht="16.5" customHeight="1" x14ac:dyDescent="0.25">
      <c r="A42" s="693" t="s">
        <v>446</v>
      </c>
      <c r="B42" s="786" t="s">
        <v>447</v>
      </c>
      <c r="C42" s="695" t="s">
        <v>169</v>
      </c>
      <c r="D42" s="695" t="s">
        <v>169</v>
      </c>
      <c r="E42" s="695" t="s">
        <v>169</v>
      </c>
      <c r="F42" s="695" t="s">
        <v>169</v>
      </c>
      <c r="G42" s="695" t="s">
        <v>169</v>
      </c>
      <c r="H42" s="695" t="s">
        <v>169</v>
      </c>
      <c r="I42" s="695" t="s">
        <v>169</v>
      </c>
      <c r="J42" s="695" t="s">
        <v>169</v>
      </c>
      <c r="K42" s="695" t="s">
        <v>169</v>
      </c>
      <c r="L42" s="695" t="s">
        <v>169</v>
      </c>
      <c r="M42" s="696">
        <v>2579</v>
      </c>
      <c r="N42" s="695">
        <v>2452</v>
      </c>
      <c r="O42" s="695">
        <v>2736</v>
      </c>
      <c r="P42" s="686">
        <v>2936</v>
      </c>
      <c r="Q42" s="686">
        <v>3126</v>
      </c>
      <c r="R42" s="690">
        <v>3303</v>
      </c>
      <c r="S42" s="690">
        <v>3593</v>
      </c>
      <c r="T42" s="690">
        <v>3306</v>
      </c>
      <c r="U42" s="690">
        <v>2803</v>
      </c>
      <c r="V42" s="690">
        <v>4122</v>
      </c>
      <c r="W42" s="690">
        <v>3868</v>
      </c>
      <c r="X42" s="690">
        <v>3738</v>
      </c>
      <c r="Y42" s="690">
        <v>3642</v>
      </c>
      <c r="Z42" s="686">
        <v>3683</v>
      </c>
      <c r="AA42" s="686">
        <v>3586</v>
      </c>
      <c r="AB42" s="230">
        <v>-2.6337225088243281</v>
      </c>
    </row>
    <row r="43" spans="1:28" ht="16.5" customHeight="1" x14ac:dyDescent="0.25">
      <c r="A43" s="693" t="s">
        <v>448</v>
      </c>
      <c r="B43" s="786" t="s">
        <v>449</v>
      </c>
      <c r="C43" s="695" t="s">
        <v>169</v>
      </c>
      <c r="D43" s="695" t="s">
        <v>169</v>
      </c>
      <c r="E43" s="695" t="s">
        <v>169</v>
      </c>
      <c r="F43" s="695" t="s">
        <v>169</v>
      </c>
      <c r="G43" s="695" t="s">
        <v>169</v>
      </c>
      <c r="H43" s="695" t="s">
        <v>169</v>
      </c>
      <c r="I43" s="695" t="s">
        <v>169</v>
      </c>
      <c r="J43" s="695" t="s">
        <v>169</v>
      </c>
      <c r="K43" s="695" t="s">
        <v>169</v>
      </c>
      <c r="L43" s="695" t="s">
        <v>169</v>
      </c>
      <c r="M43" s="695" t="s">
        <v>169</v>
      </c>
      <c r="N43" s="695" t="s">
        <v>169</v>
      </c>
      <c r="O43" s="695">
        <v>0</v>
      </c>
      <c r="P43" s="686">
        <v>0</v>
      </c>
      <c r="Q43" s="686">
        <v>0</v>
      </c>
      <c r="R43" s="690">
        <v>7978</v>
      </c>
      <c r="S43" s="690">
        <v>10269</v>
      </c>
      <c r="T43" s="690">
        <v>10831</v>
      </c>
      <c r="U43" s="690">
        <v>11006</v>
      </c>
      <c r="V43" s="690">
        <v>11744</v>
      </c>
      <c r="W43" s="690">
        <v>10724</v>
      </c>
      <c r="X43" s="690">
        <v>11690</v>
      </c>
      <c r="Y43" s="690">
        <v>10969</v>
      </c>
      <c r="Z43" s="686">
        <v>11654</v>
      </c>
      <c r="AA43" s="686">
        <v>10685</v>
      </c>
      <c r="AB43" s="230">
        <v>-8.3147417195812583</v>
      </c>
    </row>
    <row r="44" spans="1:28" ht="16.5" customHeight="1" x14ac:dyDescent="0.25">
      <c r="A44" s="693" t="s">
        <v>450</v>
      </c>
      <c r="B44" s="786" t="s">
        <v>451</v>
      </c>
      <c r="C44" s="695" t="s">
        <v>169</v>
      </c>
      <c r="D44" s="695" t="s">
        <v>169</v>
      </c>
      <c r="E44" s="695" t="s">
        <v>169</v>
      </c>
      <c r="F44" s="695" t="s">
        <v>169</v>
      </c>
      <c r="G44" s="695" t="s">
        <v>169</v>
      </c>
      <c r="H44" s="695" t="s">
        <v>169</v>
      </c>
      <c r="I44" s="695" t="s">
        <v>169</v>
      </c>
      <c r="J44" s="695" t="s">
        <v>169</v>
      </c>
      <c r="K44" s="695" t="s">
        <v>169</v>
      </c>
      <c r="L44" s="695" t="s">
        <v>169</v>
      </c>
      <c r="M44" s="695" t="s">
        <v>169</v>
      </c>
      <c r="N44" s="695" t="s">
        <v>169</v>
      </c>
      <c r="O44" s="695" t="s">
        <v>169</v>
      </c>
      <c r="P44" s="695" t="s">
        <v>169</v>
      </c>
      <c r="Q44" s="695" t="s">
        <v>169</v>
      </c>
      <c r="R44" s="695" t="s">
        <v>169</v>
      </c>
      <c r="S44" s="695" t="s">
        <v>169</v>
      </c>
      <c r="T44" s="695" t="s">
        <v>169</v>
      </c>
      <c r="U44" s="690">
        <v>2499</v>
      </c>
      <c r="V44" s="690">
        <v>3595</v>
      </c>
      <c r="W44" s="690">
        <v>3639</v>
      </c>
      <c r="X44" s="690">
        <v>4067</v>
      </c>
      <c r="Y44" s="690">
        <v>4414</v>
      </c>
      <c r="Z44" s="686">
        <v>4105</v>
      </c>
      <c r="AA44" s="686">
        <v>4426</v>
      </c>
      <c r="AB44" s="230">
        <v>7.8197320341047494</v>
      </c>
    </row>
    <row r="45" spans="1:28" ht="15.75" customHeight="1" x14ac:dyDescent="0.25">
      <c r="A45" s="693"/>
      <c r="B45" s="776" t="s">
        <v>266</v>
      </c>
      <c r="C45" s="233">
        <v>371774</v>
      </c>
      <c r="D45" s="233">
        <v>457223</v>
      </c>
      <c r="E45" s="233">
        <v>514638</v>
      </c>
      <c r="F45" s="233">
        <v>543044</v>
      </c>
      <c r="G45" s="233">
        <v>505848</v>
      </c>
      <c r="H45" s="233">
        <v>451806</v>
      </c>
      <c r="I45" s="233">
        <v>420184</v>
      </c>
      <c r="J45" s="233">
        <v>400703</v>
      </c>
      <c r="K45" s="233">
        <v>367847</v>
      </c>
      <c r="L45" s="233">
        <v>337709</v>
      </c>
      <c r="M45" s="233">
        <v>311740</v>
      </c>
      <c r="N45" s="233">
        <v>322362</v>
      </c>
      <c r="O45" s="233">
        <v>373488</v>
      </c>
      <c r="P45" s="233">
        <v>431818</v>
      </c>
      <c r="Q45" s="233">
        <v>467742</v>
      </c>
      <c r="R45" s="233">
        <v>514491</v>
      </c>
      <c r="S45" s="233">
        <v>549871</v>
      </c>
      <c r="T45" s="233">
        <v>540520</v>
      </c>
      <c r="U45" s="233">
        <v>465520</v>
      </c>
      <c r="V45" s="233">
        <v>566417</v>
      </c>
      <c r="W45" s="233">
        <v>575063</v>
      </c>
      <c r="X45" s="233">
        <v>558171</v>
      </c>
      <c r="Y45" s="233">
        <v>520334</v>
      </c>
      <c r="Z45" s="233">
        <v>546605</v>
      </c>
      <c r="AA45" s="233">
        <v>515239</v>
      </c>
      <c r="AB45" s="230">
        <v>-5.7383302384720221</v>
      </c>
    </row>
    <row r="46" spans="1:28" ht="37.5" customHeight="1" x14ac:dyDescent="0.25">
      <c r="A46" s="693">
        <v>3</v>
      </c>
      <c r="B46" s="786" t="s">
        <v>452</v>
      </c>
      <c r="C46" s="696">
        <v>18132</v>
      </c>
      <c r="D46" s="696">
        <v>22299</v>
      </c>
      <c r="E46" s="696">
        <v>23758</v>
      </c>
      <c r="F46" s="696">
        <v>18683</v>
      </c>
      <c r="G46" s="696">
        <v>12822</v>
      </c>
      <c r="H46" s="696">
        <v>9966</v>
      </c>
      <c r="I46" s="695" t="s">
        <v>169</v>
      </c>
      <c r="J46" s="695" t="s">
        <v>169</v>
      </c>
      <c r="K46" s="695" t="s">
        <v>169</v>
      </c>
      <c r="L46" s="695" t="s">
        <v>169</v>
      </c>
      <c r="M46" s="695" t="s">
        <v>169</v>
      </c>
      <c r="N46" s="695" t="s">
        <v>169</v>
      </c>
      <c r="O46" s="695" t="s">
        <v>169</v>
      </c>
      <c r="P46" s="695" t="s">
        <v>169</v>
      </c>
      <c r="Q46" s="695" t="s">
        <v>169</v>
      </c>
      <c r="R46" s="695" t="s">
        <v>169</v>
      </c>
      <c r="S46" s="690" t="s">
        <v>169</v>
      </c>
      <c r="T46" s="690" t="s">
        <v>169</v>
      </c>
      <c r="U46" s="695" t="s">
        <v>169</v>
      </c>
      <c r="V46" s="695" t="s">
        <v>169</v>
      </c>
      <c r="W46" s="695" t="s">
        <v>169</v>
      </c>
      <c r="X46" s="695" t="s">
        <v>169</v>
      </c>
      <c r="Y46" s="695" t="s">
        <v>169</v>
      </c>
      <c r="Z46" s="695" t="s">
        <v>169</v>
      </c>
      <c r="AA46" s="695" t="s">
        <v>169</v>
      </c>
      <c r="AB46" s="230" t="s">
        <v>169</v>
      </c>
    </row>
    <row r="47" spans="1:28" ht="16.350000000000001" customHeight="1" x14ac:dyDescent="0.25">
      <c r="A47" s="693" t="s">
        <v>453</v>
      </c>
      <c r="B47" s="786" t="s">
        <v>454</v>
      </c>
      <c r="C47" s="695" t="s">
        <v>169</v>
      </c>
      <c r="D47" s="695" t="s">
        <v>169</v>
      </c>
      <c r="E47" s="695" t="s">
        <v>169</v>
      </c>
      <c r="F47" s="695" t="s">
        <v>169</v>
      </c>
      <c r="G47" s="695" t="s">
        <v>169</v>
      </c>
      <c r="H47" s="695" t="s">
        <v>169</v>
      </c>
      <c r="I47" s="696">
        <v>56</v>
      </c>
      <c r="J47" s="696">
        <v>45</v>
      </c>
      <c r="K47" s="696">
        <v>36</v>
      </c>
      <c r="L47" s="696">
        <v>36</v>
      </c>
      <c r="M47" s="696">
        <v>28</v>
      </c>
      <c r="N47" s="696">
        <v>30</v>
      </c>
      <c r="O47" s="695">
        <v>40</v>
      </c>
      <c r="P47" s="686">
        <v>49</v>
      </c>
      <c r="Q47" s="686">
        <v>54</v>
      </c>
      <c r="R47" s="690">
        <v>64</v>
      </c>
      <c r="S47" s="690">
        <v>72</v>
      </c>
      <c r="T47" s="690">
        <v>92</v>
      </c>
      <c r="U47" s="690">
        <v>83</v>
      </c>
      <c r="V47" s="690">
        <v>101</v>
      </c>
      <c r="W47" s="690">
        <v>81</v>
      </c>
      <c r="X47" s="690">
        <v>114</v>
      </c>
      <c r="Y47" s="690">
        <v>91</v>
      </c>
      <c r="Z47" s="686">
        <v>98</v>
      </c>
      <c r="AA47" s="686">
        <v>94</v>
      </c>
      <c r="AB47" s="230">
        <v>-4.0816326530612246</v>
      </c>
    </row>
    <row r="48" spans="1:28" ht="16.350000000000001" customHeight="1" x14ac:dyDescent="0.25">
      <c r="A48" s="693" t="s">
        <v>455</v>
      </c>
      <c r="B48" s="786" t="s">
        <v>456</v>
      </c>
      <c r="C48" s="695" t="s">
        <v>169</v>
      </c>
      <c r="D48" s="695" t="s">
        <v>169</v>
      </c>
      <c r="E48" s="695" t="s">
        <v>169</v>
      </c>
      <c r="F48" s="695" t="s">
        <v>169</v>
      </c>
      <c r="G48" s="695" t="s">
        <v>169</v>
      </c>
      <c r="H48" s="695" t="s">
        <v>169</v>
      </c>
      <c r="I48" s="696">
        <v>9448</v>
      </c>
      <c r="J48" s="696">
        <v>9523</v>
      </c>
      <c r="K48" s="696">
        <v>9480</v>
      </c>
      <c r="L48" s="696">
        <v>7643</v>
      </c>
      <c r="M48" s="696">
        <v>7347</v>
      </c>
      <c r="N48" s="696">
        <v>8471</v>
      </c>
      <c r="O48" s="695">
        <v>12879</v>
      </c>
      <c r="P48" s="686">
        <v>17211</v>
      </c>
      <c r="Q48" s="686">
        <v>21618</v>
      </c>
      <c r="R48" s="690">
        <v>26544</v>
      </c>
      <c r="S48" s="690">
        <v>33379</v>
      </c>
      <c r="T48" s="690">
        <v>37354</v>
      </c>
      <c r="U48" s="690">
        <v>41895</v>
      </c>
      <c r="V48" s="690">
        <v>50258</v>
      </c>
      <c r="W48" s="690">
        <v>52390</v>
      </c>
      <c r="X48" s="690">
        <v>49042</v>
      </c>
      <c r="Y48" s="690">
        <v>50851</v>
      </c>
      <c r="Z48" s="686">
        <v>48576</v>
      </c>
      <c r="AA48" s="686">
        <v>52504</v>
      </c>
      <c r="AB48" s="230">
        <v>8.0862977602108028</v>
      </c>
    </row>
    <row r="49" spans="1:28" ht="16.350000000000001" customHeight="1" x14ac:dyDescent="0.25">
      <c r="A49" s="693">
        <v>11</v>
      </c>
      <c r="B49" s="783" t="s">
        <v>457</v>
      </c>
      <c r="C49" s="696">
        <v>4109</v>
      </c>
      <c r="D49" s="696">
        <v>6083</v>
      </c>
      <c r="E49" s="696">
        <v>5724</v>
      </c>
      <c r="F49" s="696">
        <v>5045</v>
      </c>
      <c r="G49" s="696">
        <v>4917</v>
      </c>
      <c r="H49" s="696">
        <v>5287</v>
      </c>
      <c r="I49" s="696">
        <v>6204</v>
      </c>
      <c r="J49" s="696">
        <v>6611</v>
      </c>
      <c r="K49" s="696">
        <v>6087</v>
      </c>
      <c r="L49" s="696">
        <v>6081</v>
      </c>
      <c r="M49" s="695" t="s">
        <v>169</v>
      </c>
      <c r="N49" s="695" t="s">
        <v>169</v>
      </c>
      <c r="O49" s="695" t="s">
        <v>169</v>
      </c>
      <c r="P49" s="695" t="s">
        <v>169</v>
      </c>
      <c r="Q49" s="695" t="s">
        <v>169</v>
      </c>
      <c r="R49" s="690" t="s">
        <v>169</v>
      </c>
      <c r="S49" s="690" t="s">
        <v>169</v>
      </c>
      <c r="T49" s="690" t="s">
        <v>169</v>
      </c>
      <c r="U49" s="695" t="s">
        <v>169</v>
      </c>
      <c r="V49" s="695" t="s">
        <v>169</v>
      </c>
      <c r="W49" s="695" t="s">
        <v>169</v>
      </c>
      <c r="X49" s="695" t="s">
        <v>169</v>
      </c>
      <c r="Y49" s="695" t="s">
        <v>169</v>
      </c>
      <c r="Z49" s="695" t="s">
        <v>169</v>
      </c>
      <c r="AA49" s="695" t="s">
        <v>169</v>
      </c>
      <c r="AB49" s="230" t="s">
        <v>169</v>
      </c>
    </row>
    <row r="50" spans="1:28" ht="16.350000000000001" customHeight="1" x14ac:dyDescent="0.25">
      <c r="A50" s="693" t="s">
        <v>458</v>
      </c>
      <c r="B50" s="783" t="s">
        <v>459</v>
      </c>
      <c r="C50" s="699" t="s">
        <v>169</v>
      </c>
      <c r="D50" s="699" t="s">
        <v>169</v>
      </c>
      <c r="E50" s="699" t="s">
        <v>169</v>
      </c>
      <c r="F50" s="699" t="s">
        <v>169</v>
      </c>
      <c r="G50" s="699" t="s">
        <v>169</v>
      </c>
      <c r="H50" s="699" t="s">
        <v>169</v>
      </c>
      <c r="I50" s="699" t="s">
        <v>169</v>
      </c>
      <c r="J50" s="699" t="s">
        <v>169</v>
      </c>
      <c r="K50" s="699" t="s">
        <v>169</v>
      </c>
      <c r="L50" s="699" t="s">
        <v>169</v>
      </c>
      <c r="M50" s="696">
        <v>6370</v>
      </c>
      <c r="N50" s="696">
        <v>8000</v>
      </c>
      <c r="O50" s="695">
        <v>9189</v>
      </c>
      <c r="P50" s="686">
        <v>12179</v>
      </c>
      <c r="Q50" s="686">
        <v>14232</v>
      </c>
      <c r="R50" s="690">
        <v>16151</v>
      </c>
      <c r="S50" s="690">
        <v>19326</v>
      </c>
      <c r="T50" s="690">
        <v>22188</v>
      </c>
      <c r="U50" s="690">
        <v>24931</v>
      </c>
      <c r="V50" s="690">
        <v>30007</v>
      </c>
      <c r="W50" s="690">
        <v>33088</v>
      </c>
      <c r="X50" s="690">
        <v>36448</v>
      </c>
      <c r="Y50" s="690">
        <v>39735</v>
      </c>
      <c r="Z50" s="686">
        <v>37588</v>
      </c>
      <c r="AA50" s="686">
        <v>40098</v>
      </c>
      <c r="AB50" s="230">
        <v>6.6776630839629671</v>
      </c>
    </row>
    <row r="51" spans="1:28" ht="16.350000000000001" customHeight="1" x14ac:dyDescent="0.25">
      <c r="A51" s="693">
        <v>12</v>
      </c>
      <c r="B51" s="783" t="s">
        <v>460</v>
      </c>
      <c r="C51" s="696">
        <v>59</v>
      </c>
      <c r="D51" s="696">
        <v>49</v>
      </c>
      <c r="E51" s="696">
        <v>49</v>
      </c>
      <c r="F51" s="696">
        <v>49</v>
      </c>
      <c r="G51" s="696">
        <v>23</v>
      </c>
      <c r="H51" s="696">
        <v>19</v>
      </c>
      <c r="I51" s="696">
        <v>23</v>
      </c>
      <c r="J51" s="696">
        <v>9</v>
      </c>
      <c r="K51" s="696">
        <v>6</v>
      </c>
      <c r="L51" s="696">
        <v>12</v>
      </c>
      <c r="M51" s="695" t="s">
        <v>169</v>
      </c>
      <c r="N51" s="695" t="s">
        <v>169</v>
      </c>
      <c r="O51" s="695" t="s">
        <v>169</v>
      </c>
      <c r="P51" s="695" t="s">
        <v>169</v>
      </c>
      <c r="Q51" s="695" t="s">
        <v>169</v>
      </c>
      <c r="R51" s="690" t="s">
        <v>169</v>
      </c>
      <c r="S51" s="690" t="s">
        <v>169</v>
      </c>
      <c r="T51" s="690" t="s">
        <v>169</v>
      </c>
      <c r="U51" s="695" t="s">
        <v>169</v>
      </c>
      <c r="V51" s="695" t="s">
        <v>169</v>
      </c>
      <c r="W51" s="695" t="s">
        <v>169</v>
      </c>
      <c r="X51" s="695" t="s">
        <v>169</v>
      </c>
      <c r="Y51" s="695" t="s">
        <v>169</v>
      </c>
      <c r="Z51" s="695" t="s">
        <v>169</v>
      </c>
      <c r="AA51" s="695" t="s">
        <v>169</v>
      </c>
      <c r="AB51" s="230" t="s">
        <v>169</v>
      </c>
    </row>
    <row r="52" spans="1:28" ht="16.350000000000001" customHeight="1" x14ac:dyDescent="0.25">
      <c r="A52" s="693">
        <v>13</v>
      </c>
      <c r="B52" s="783" t="s">
        <v>461</v>
      </c>
      <c r="C52" s="696">
        <v>846</v>
      </c>
      <c r="D52" s="696">
        <v>930</v>
      </c>
      <c r="E52" s="696">
        <v>1035</v>
      </c>
      <c r="F52" s="696">
        <v>919</v>
      </c>
      <c r="G52" s="696">
        <v>696</v>
      </c>
      <c r="H52" s="696">
        <v>595</v>
      </c>
      <c r="I52" s="696">
        <v>567</v>
      </c>
      <c r="J52" s="696">
        <v>560</v>
      </c>
      <c r="K52" s="696">
        <v>548</v>
      </c>
      <c r="L52" s="696">
        <v>532</v>
      </c>
      <c r="M52" s="696">
        <v>513</v>
      </c>
      <c r="N52" s="696">
        <v>565</v>
      </c>
      <c r="O52" s="695">
        <v>817</v>
      </c>
      <c r="P52" s="686">
        <v>1046</v>
      </c>
      <c r="Q52" s="686">
        <v>1141</v>
      </c>
      <c r="R52" s="690">
        <v>1198</v>
      </c>
      <c r="S52" s="690">
        <v>1272</v>
      </c>
      <c r="T52" s="690">
        <v>1115</v>
      </c>
      <c r="U52" s="690">
        <v>960</v>
      </c>
      <c r="V52" s="690">
        <v>1011</v>
      </c>
      <c r="W52" s="690">
        <v>1111</v>
      </c>
      <c r="X52" s="690">
        <v>1130</v>
      </c>
      <c r="Y52" s="690">
        <v>1112</v>
      </c>
      <c r="Z52" s="686">
        <v>1111</v>
      </c>
      <c r="AA52" s="686">
        <v>1151</v>
      </c>
      <c r="AB52" s="230">
        <v>3.6003600360036003</v>
      </c>
    </row>
    <row r="53" spans="1:28" ht="16.350000000000001" customHeight="1" x14ac:dyDescent="0.25">
      <c r="A53" s="693">
        <v>14</v>
      </c>
      <c r="B53" s="783" t="s">
        <v>462</v>
      </c>
      <c r="C53" s="696">
        <v>7</v>
      </c>
      <c r="D53" s="696">
        <v>9</v>
      </c>
      <c r="E53" s="696">
        <v>7</v>
      </c>
      <c r="F53" s="696">
        <v>6</v>
      </c>
      <c r="G53" s="696">
        <v>6</v>
      </c>
      <c r="H53" s="696">
        <v>6</v>
      </c>
      <c r="I53" s="696">
        <v>5</v>
      </c>
      <c r="J53" s="696">
        <v>3</v>
      </c>
      <c r="K53" s="696">
        <v>5</v>
      </c>
      <c r="L53" s="696">
        <v>3</v>
      </c>
      <c r="M53" s="696">
        <v>5</v>
      </c>
      <c r="N53" s="696">
        <v>6</v>
      </c>
      <c r="O53" s="695">
        <v>7</v>
      </c>
      <c r="P53" s="686">
        <v>7</v>
      </c>
      <c r="Q53" s="686">
        <v>9</v>
      </c>
      <c r="R53" s="690">
        <v>5</v>
      </c>
      <c r="S53" s="690">
        <v>4</v>
      </c>
      <c r="T53" s="690">
        <v>7</v>
      </c>
      <c r="U53" s="690">
        <v>7</v>
      </c>
      <c r="V53" s="690">
        <v>7</v>
      </c>
      <c r="W53" s="690">
        <v>12</v>
      </c>
      <c r="X53" s="690">
        <v>17</v>
      </c>
      <c r="Y53" s="690">
        <v>16</v>
      </c>
      <c r="Z53" s="686">
        <v>19</v>
      </c>
      <c r="AA53" s="686">
        <v>20</v>
      </c>
      <c r="AB53" s="230" t="s">
        <v>403</v>
      </c>
    </row>
    <row r="54" spans="1:28" ht="16.350000000000001" customHeight="1" x14ac:dyDescent="0.25">
      <c r="A54" s="693">
        <v>36</v>
      </c>
      <c r="B54" s="777" t="s">
        <v>463</v>
      </c>
      <c r="C54" s="696">
        <v>3198</v>
      </c>
      <c r="D54" s="696">
        <v>3141</v>
      </c>
      <c r="E54" s="696">
        <v>2814</v>
      </c>
      <c r="F54" s="696">
        <v>2799</v>
      </c>
      <c r="G54" s="696">
        <v>2367</v>
      </c>
      <c r="H54" s="696">
        <v>1991</v>
      </c>
      <c r="I54" s="696">
        <v>2035</v>
      </c>
      <c r="J54" s="696">
        <v>1860</v>
      </c>
      <c r="K54" s="696">
        <v>1717</v>
      </c>
      <c r="L54" s="696">
        <v>1516</v>
      </c>
      <c r="M54" s="696">
        <v>1388</v>
      </c>
      <c r="N54" s="696">
        <v>1728</v>
      </c>
      <c r="O54" s="695">
        <v>2189</v>
      </c>
      <c r="P54" s="686">
        <v>3022</v>
      </c>
      <c r="Q54" s="686">
        <v>3833</v>
      </c>
      <c r="R54" s="690">
        <v>4559</v>
      </c>
      <c r="S54" s="690">
        <v>5252</v>
      </c>
      <c r="T54" s="690">
        <v>5763</v>
      </c>
      <c r="U54" s="690">
        <v>5680</v>
      </c>
      <c r="V54" s="690">
        <v>6862</v>
      </c>
      <c r="W54" s="690">
        <v>7379</v>
      </c>
      <c r="X54" s="690">
        <v>7255</v>
      </c>
      <c r="Y54" s="690">
        <v>7668</v>
      </c>
      <c r="Z54" s="686">
        <v>7211</v>
      </c>
      <c r="AA54" s="686">
        <v>7953</v>
      </c>
      <c r="AB54" s="230">
        <v>10.289834974344751</v>
      </c>
    </row>
    <row r="55" spans="1:28" ht="16.350000000000001" customHeight="1" x14ac:dyDescent="0.25">
      <c r="A55" s="693">
        <v>104</v>
      </c>
      <c r="B55" s="783" t="s">
        <v>464</v>
      </c>
      <c r="C55" s="696">
        <v>33948</v>
      </c>
      <c r="D55" s="696">
        <v>22189</v>
      </c>
      <c r="E55" s="696">
        <v>23604</v>
      </c>
      <c r="F55" s="696">
        <v>22217</v>
      </c>
      <c r="G55" s="696">
        <v>21749</v>
      </c>
      <c r="H55" s="696">
        <v>20384</v>
      </c>
      <c r="I55" s="696">
        <v>17384</v>
      </c>
      <c r="J55" s="696">
        <v>15781</v>
      </c>
      <c r="K55" s="696">
        <v>15510</v>
      </c>
      <c r="L55" s="696">
        <v>15873</v>
      </c>
      <c r="M55" s="696">
        <v>14527</v>
      </c>
      <c r="N55" s="696">
        <v>14456</v>
      </c>
      <c r="O55" s="695">
        <v>14369</v>
      </c>
      <c r="P55" s="686">
        <v>15512</v>
      </c>
      <c r="Q55" s="686">
        <v>16653</v>
      </c>
      <c r="R55" s="690">
        <v>18136</v>
      </c>
      <c r="S55" s="690">
        <v>20761</v>
      </c>
      <c r="T55" s="690">
        <v>22443</v>
      </c>
      <c r="U55" s="690">
        <v>27174</v>
      </c>
      <c r="V55" s="690">
        <v>29963</v>
      </c>
      <c r="W55" s="690">
        <v>29848</v>
      </c>
      <c r="X55" s="690">
        <v>34520</v>
      </c>
      <c r="Y55" s="690">
        <v>36513</v>
      </c>
      <c r="Z55" s="686">
        <v>35617</v>
      </c>
      <c r="AA55" s="686">
        <v>36539</v>
      </c>
      <c r="AB55" s="230">
        <v>2.5886514866496335</v>
      </c>
    </row>
    <row r="56" spans="1:28" ht="16.350000000000001" customHeight="1" x14ac:dyDescent="0.25">
      <c r="A56" s="693" t="s">
        <v>465</v>
      </c>
      <c r="B56" s="783" t="s">
        <v>466</v>
      </c>
      <c r="C56" s="696">
        <v>237549</v>
      </c>
      <c r="D56" s="696">
        <v>241229</v>
      </c>
      <c r="E56" s="696">
        <v>216712</v>
      </c>
      <c r="F56" s="696">
        <v>183555</v>
      </c>
      <c r="G56" s="696">
        <v>202701</v>
      </c>
      <c r="H56" s="696">
        <v>198653</v>
      </c>
      <c r="I56" s="696">
        <v>197035</v>
      </c>
      <c r="J56" s="696">
        <v>203098</v>
      </c>
      <c r="K56" s="696">
        <v>205975</v>
      </c>
      <c r="L56" s="696">
        <v>202509</v>
      </c>
      <c r="M56" s="696">
        <v>198390</v>
      </c>
      <c r="N56" s="696">
        <v>211257</v>
      </c>
      <c r="O56" s="695">
        <v>272803</v>
      </c>
      <c r="P56" s="686">
        <v>344147</v>
      </c>
      <c r="Q56" s="686">
        <v>408499</v>
      </c>
      <c r="R56" s="690">
        <v>507975</v>
      </c>
      <c r="S56" s="690">
        <v>583527</v>
      </c>
      <c r="T56" s="690">
        <v>621052</v>
      </c>
      <c r="U56" s="690">
        <v>560903</v>
      </c>
      <c r="V56" s="690">
        <v>672563</v>
      </c>
      <c r="W56" s="690">
        <v>682897</v>
      </c>
      <c r="X56" s="690">
        <v>668749</v>
      </c>
      <c r="Y56" s="690">
        <v>660047</v>
      </c>
      <c r="Z56" s="686">
        <v>664148</v>
      </c>
      <c r="AA56" s="686">
        <v>661480</v>
      </c>
      <c r="AB56" s="230">
        <v>-0.4017176894306691</v>
      </c>
    </row>
    <row r="57" spans="1:28" ht="15.75" customHeight="1" x14ac:dyDescent="0.25">
      <c r="A57" s="693" t="s">
        <v>467</v>
      </c>
      <c r="B57" s="783" t="s">
        <v>468</v>
      </c>
      <c r="C57" s="696">
        <v>4602</v>
      </c>
      <c r="D57" s="696">
        <v>4161</v>
      </c>
      <c r="E57" s="696">
        <v>3866</v>
      </c>
      <c r="F57" s="696">
        <v>3945</v>
      </c>
      <c r="G57" s="696">
        <v>4351</v>
      </c>
      <c r="H57" s="696">
        <v>4325</v>
      </c>
      <c r="I57" s="696">
        <v>4186</v>
      </c>
      <c r="J57" s="696">
        <v>4328</v>
      </c>
      <c r="K57" s="696">
        <v>4062</v>
      </c>
      <c r="L57" s="696">
        <v>4071</v>
      </c>
      <c r="M57" s="696">
        <v>3898</v>
      </c>
      <c r="N57" s="696">
        <v>4103</v>
      </c>
      <c r="O57" s="695">
        <v>4917</v>
      </c>
      <c r="P57" s="686">
        <v>5609</v>
      </c>
      <c r="Q57" s="686">
        <v>6059</v>
      </c>
      <c r="R57" s="690">
        <v>7431</v>
      </c>
      <c r="S57" s="690">
        <v>8105</v>
      </c>
      <c r="T57" s="690">
        <v>8512</v>
      </c>
      <c r="U57" s="690">
        <v>7660</v>
      </c>
      <c r="V57" s="690">
        <v>10124</v>
      </c>
      <c r="W57" s="690">
        <v>10099</v>
      </c>
      <c r="X57" s="690">
        <v>10273</v>
      </c>
      <c r="Y57" s="690">
        <v>11362</v>
      </c>
      <c r="Z57" s="686">
        <v>10365</v>
      </c>
      <c r="AA57" s="686">
        <v>11684</v>
      </c>
      <c r="AB57" s="230">
        <v>12.725518572117704</v>
      </c>
    </row>
    <row r="58" spans="1:28" ht="17.25" customHeight="1" x14ac:dyDescent="0.25">
      <c r="A58" s="693">
        <v>106</v>
      </c>
      <c r="B58" s="783" t="s">
        <v>469</v>
      </c>
      <c r="C58" s="699" t="s">
        <v>169</v>
      </c>
      <c r="D58" s="699" t="s">
        <v>169</v>
      </c>
      <c r="E58" s="699" t="s">
        <v>169</v>
      </c>
      <c r="F58" s="699" t="s">
        <v>169</v>
      </c>
      <c r="G58" s="699" t="s">
        <v>169</v>
      </c>
      <c r="H58" s="699" t="s">
        <v>169</v>
      </c>
      <c r="I58" s="699" t="s">
        <v>169</v>
      </c>
      <c r="J58" s="699" t="s">
        <v>169</v>
      </c>
      <c r="K58" s="699" t="s">
        <v>169</v>
      </c>
      <c r="L58" s="699" t="s">
        <v>169</v>
      </c>
      <c r="M58" s="699" t="s">
        <v>169</v>
      </c>
      <c r="N58" s="699" t="s">
        <v>169</v>
      </c>
      <c r="O58" s="695" t="s">
        <v>169</v>
      </c>
      <c r="P58" s="686">
        <v>955</v>
      </c>
      <c r="Q58" s="686">
        <v>2361</v>
      </c>
      <c r="R58" s="690">
        <v>3446</v>
      </c>
      <c r="S58" s="690">
        <v>5207</v>
      </c>
      <c r="T58" s="690">
        <v>8295</v>
      </c>
      <c r="U58" s="690">
        <v>8654</v>
      </c>
      <c r="V58" s="690">
        <v>9363</v>
      </c>
      <c r="W58" s="690">
        <v>9827</v>
      </c>
      <c r="X58" s="690">
        <v>8076</v>
      </c>
      <c r="Y58" s="690">
        <v>9002</v>
      </c>
      <c r="Z58" s="686">
        <v>8465</v>
      </c>
      <c r="AA58" s="686">
        <v>9765</v>
      </c>
      <c r="AB58" s="230">
        <v>15.35735380980508</v>
      </c>
    </row>
    <row r="59" spans="1:28" ht="18" customHeight="1" x14ac:dyDescent="0.25">
      <c r="A59" s="693"/>
      <c r="B59" s="776" t="s">
        <v>269</v>
      </c>
      <c r="C59" s="229">
        <v>302450</v>
      </c>
      <c r="D59" s="229">
        <v>300090</v>
      </c>
      <c r="E59" s="229">
        <v>277569</v>
      </c>
      <c r="F59" s="229">
        <v>237218</v>
      </c>
      <c r="G59" s="229">
        <v>249632</v>
      </c>
      <c r="H59" s="229">
        <v>241226</v>
      </c>
      <c r="I59" s="229">
        <v>236943</v>
      </c>
      <c r="J59" s="229">
        <v>241818</v>
      </c>
      <c r="K59" s="229">
        <v>243426</v>
      </c>
      <c r="L59" s="229">
        <v>238276</v>
      </c>
      <c r="M59" s="229">
        <v>232466</v>
      </c>
      <c r="N59" s="229">
        <v>248616</v>
      </c>
      <c r="O59" s="229">
        <v>317210</v>
      </c>
      <c r="P59" s="229">
        <v>399737</v>
      </c>
      <c r="Q59" s="229">
        <v>474459</v>
      </c>
      <c r="R59" s="230">
        <v>585509</v>
      </c>
      <c r="S59" s="230">
        <v>676905</v>
      </c>
      <c r="T59" s="230">
        <v>726821</v>
      </c>
      <c r="U59" s="230">
        <v>677947</v>
      </c>
      <c r="V59" s="230">
        <v>810259</v>
      </c>
      <c r="W59" s="230">
        <v>826732</v>
      </c>
      <c r="X59" s="230">
        <v>815624</v>
      </c>
      <c r="Y59" s="230">
        <v>816397</v>
      </c>
      <c r="Z59" s="229">
        <v>813198</v>
      </c>
      <c r="AA59" s="229">
        <v>821288</v>
      </c>
      <c r="AB59" s="230">
        <v>0.99483766561157316</v>
      </c>
    </row>
    <row r="60" spans="1:28" ht="24.75" customHeight="1" x14ac:dyDescent="0.25">
      <c r="A60" s="693" t="s">
        <v>470</v>
      </c>
      <c r="B60" s="783" t="s">
        <v>471</v>
      </c>
      <c r="C60" s="695">
        <v>31249</v>
      </c>
      <c r="D60" s="695">
        <v>38434</v>
      </c>
      <c r="E60" s="695">
        <v>49815</v>
      </c>
      <c r="F60" s="695">
        <v>54644</v>
      </c>
      <c r="G60" s="695">
        <v>55493</v>
      </c>
      <c r="H60" s="695">
        <v>52107</v>
      </c>
      <c r="I60" s="696">
        <v>48363</v>
      </c>
      <c r="J60" s="696">
        <v>52959</v>
      </c>
      <c r="K60" s="696">
        <v>51173</v>
      </c>
      <c r="L60" s="696">
        <v>48141</v>
      </c>
      <c r="M60" s="696">
        <v>54532</v>
      </c>
      <c r="N60" s="696">
        <v>61211</v>
      </c>
      <c r="O60" s="695">
        <v>81612</v>
      </c>
      <c r="P60" s="686">
        <v>152700</v>
      </c>
      <c r="Q60" s="686">
        <v>207192</v>
      </c>
      <c r="R60" s="690">
        <v>124091</v>
      </c>
      <c r="S60" s="690">
        <v>213762</v>
      </c>
      <c r="T60" s="690">
        <v>229990</v>
      </c>
      <c r="U60" s="690">
        <v>219628</v>
      </c>
      <c r="V60" s="690">
        <v>261745</v>
      </c>
      <c r="W60" s="690">
        <v>262122</v>
      </c>
      <c r="X60" s="690">
        <v>284883</v>
      </c>
      <c r="Y60" s="690">
        <v>304258</v>
      </c>
      <c r="Z60" s="686">
        <v>292538</v>
      </c>
      <c r="AA60" s="686">
        <v>310173</v>
      </c>
      <c r="AB60" s="230">
        <v>6.0282766683302675</v>
      </c>
    </row>
    <row r="61" spans="1:28" ht="16.350000000000001" customHeight="1" x14ac:dyDescent="0.25">
      <c r="A61" s="693" t="s">
        <v>472</v>
      </c>
      <c r="B61" s="783" t="s">
        <v>473</v>
      </c>
      <c r="C61" s="695">
        <v>1753</v>
      </c>
      <c r="D61" s="695">
        <v>2088</v>
      </c>
      <c r="E61" s="695">
        <v>2302</v>
      </c>
      <c r="F61" s="695">
        <v>2548</v>
      </c>
      <c r="G61" s="695">
        <v>2657</v>
      </c>
      <c r="H61" s="695">
        <v>2424</v>
      </c>
      <c r="I61" s="696">
        <v>2395</v>
      </c>
      <c r="J61" s="696">
        <v>2370</v>
      </c>
      <c r="K61" s="696">
        <v>1971</v>
      </c>
      <c r="L61" s="696">
        <v>1625</v>
      </c>
      <c r="M61" s="696">
        <v>1500</v>
      </c>
      <c r="N61" s="696">
        <v>1445</v>
      </c>
      <c r="O61" s="695">
        <v>1871</v>
      </c>
      <c r="P61" s="686">
        <v>1882</v>
      </c>
      <c r="Q61" s="686">
        <v>1834</v>
      </c>
      <c r="R61" s="690">
        <v>1904</v>
      </c>
      <c r="S61" s="690">
        <v>3080</v>
      </c>
      <c r="T61" s="690">
        <v>3524</v>
      </c>
      <c r="U61" s="690">
        <v>5411</v>
      </c>
      <c r="V61" s="690">
        <v>7485</v>
      </c>
      <c r="W61" s="690">
        <v>6921</v>
      </c>
      <c r="X61" s="690">
        <v>8505</v>
      </c>
      <c r="Y61" s="690">
        <v>9838</v>
      </c>
      <c r="Z61" s="686">
        <v>9051</v>
      </c>
      <c r="AA61" s="686">
        <v>10009</v>
      </c>
      <c r="AB61" s="230">
        <v>10.58446580488344</v>
      </c>
    </row>
    <row r="62" spans="1:28" ht="16.350000000000001" customHeight="1" x14ac:dyDescent="0.25">
      <c r="A62" s="693" t="s">
        <v>474</v>
      </c>
      <c r="B62" s="783" t="s">
        <v>475</v>
      </c>
      <c r="C62" s="695" t="s">
        <v>169</v>
      </c>
      <c r="D62" s="695" t="s">
        <v>169</v>
      </c>
      <c r="E62" s="695" t="s">
        <v>169</v>
      </c>
      <c r="F62" s="695" t="s">
        <v>169</v>
      </c>
      <c r="G62" s="695" t="s">
        <v>169</v>
      </c>
      <c r="H62" s="695" t="s">
        <v>169</v>
      </c>
      <c r="I62" s="695" t="s">
        <v>169</v>
      </c>
      <c r="J62" s="695" t="s">
        <v>169</v>
      </c>
      <c r="K62" s="695" t="s">
        <v>169</v>
      </c>
      <c r="L62" s="695" t="s">
        <v>169</v>
      </c>
      <c r="M62" s="695" t="s">
        <v>169</v>
      </c>
      <c r="N62" s="695" t="s">
        <v>169</v>
      </c>
      <c r="O62" s="695">
        <v>2885</v>
      </c>
      <c r="P62" s="686">
        <v>4292</v>
      </c>
      <c r="Q62" s="686">
        <v>5424</v>
      </c>
      <c r="R62" s="690">
        <v>10395</v>
      </c>
      <c r="S62" s="690">
        <v>20093</v>
      </c>
      <c r="T62" s="690">
        <v>33351</v>
      </c>
      <c r="U62" s="690">
        <v>98405</v>
      </c>
      <c r="V62" s="690">
        <v>117684</v>
      </c>
      <c r="W62" s="690">
        <v>117176</v>
      </c>
      <c r="X62" s="690">
        <v>128355</v>
      </c>
      <c r="Y62" s="690">
        <v>135684</v>
      </c>
      <c r="Z62" s="686">
        <v>131170</v>
      </c>
      <c r="AA62" s="686">
        <v>137859</v>
      </c>
      <c r="AB62" s="230">
        <v>5.0994892124723643</v>
      </c>
    </row>
    <row r="63" spans="1:28" ht="18.75" customHeight="1" x14ac:dyDescent="0.25">
      <c r="A63" s="693" t="s">
        <v>476</v>
      </c>
      <c r="B63" s="783" t="s">
        <v>477</v>
      </c>
      <c r="C63" s="695" t="s">
        <v>169</v>
      </c>
      <c r="D63" s="695" t="s">
        <v>169</v>
      </c>
      <c r="E63" s="695" t="s">
        <v>169</v>
      </c>
      <c r="F63" s="695" t="s">
        <v>169</v>
      </c>
      <c r="G63" s="695" t="s">
        <v>169</v>
      </c>
      <c r="H63" s="695" t="s">
        <v>169</v>
      </c>
      <c r="I63" s="695" t="s">
        <v>169</v>
      </c>
      <c r="J63" s="695" t="s">
        <v>169</v>
      </c>
      <c r="K63" s="695" t="s">
        <v>169</v>
      </c>
      <c r="L63" s="695" t="s">
        <v>169</v>
      </c>
      <c r="M63" s="695" t="s">
        <v>169</v>
      </c>
      <c r="N63" s="695" t="s">
        <v>169</v>
      </c>
      <c r="O63" s="695" t="s">
        <v>169</v>
      </c>
      <c r="P63" s="695" t="s">
        <v>169</v>
      </c>
      <c r="Q63" s="695" t="s">
        <v>169</v>
      </c>
      <c r="R63" s="690">
        <v>159829</v>
      </c>
      <c r="S63" s="690">
        <v>208179</v>
      </c>
      <c r="T63" s="690">
        <v>228039</v>
      </c>
      <c r="U63" s="690">
        <v>274319</v>
      </c>
      <c r="V63" s="690">
        <v>289208</v>
      </c>
      <c r="W63" s="690">
        <v>274779</v>
      </c>
      <c r="X63" s="690">
        <v>170092</v>
      </c>
      <c r="Y63" s="690">
        <v>98734</v>
      </c>
      <c r="Z63" s="686">
        <v>140898</v>
      </c>
      <c r="AA63" s="686">
        <v>95337</v>
      </c>
      <c r="AB63" s="230">
        <v>-32.336158071796618</v>
      </c>
    </row>
    <row r="64" spans="1:28" ht="18" customHeight="1" x14ac:dyDescent="0.25">
      <c r="A64" s="693" t="s">
        <v>478</v>
      </c>
      <c r="B64" s="783" t="s">
        <v>479</v>
      </c>
      <c r="C64" s="699" t="s">
        <v>169</v>
      </c>
      <c r="D64" s="699" t="s">
        <v>169</v>
      </c>
      <c r="E64" s="699" t="s">
        <v>169</v>
      </c>
      <c r="F64" s="699" t="s">
        <v>169</v>
      </c>
      <c r="G64" s="699" t="s">
        <v>169</v>
      </c>
      <c r="H64" s="699" t="s">
        <v>169</v>
      </c>
      <c r="I64" s="699" t="s">
        <v>169</v>
      </c>
      <c r="J64" s="699" t="s">
        <v>169</v>
      </c>
      <c r="K64" s="699" t="s">
        <v>169</v>
      </c>
      <c r="L64" s="699" t="s">
        <v>169</v>
      </c>
      <c r="M64" s="699" t="s">
        <v>169</v>
      </c>
      <c r="N64" s="699" t="s">
        <v>169</v>
      </c>
      <c r="O64" s="699" t="s">
        <v>169</v>
      </c>
      <c r="P64" s="699" t="s">
        <v>169</v>
      </c>
      <c r="Q64" s="699" t="s">
        <v>169</v>
      </c>
      <c r="R64" s="699" t="s">
        <v>169</v>
      </c>
      <c r="S64" s="699" t="s">
        <v>169</v>
      </c>
      <c r="T64" s="699" t="s">
        <v>169</v>
      </c>
      <c r="U64" s="690">
        <v>31731</v>
      </c>
      <c r="V64" s="690">
        <v>41535</v>
      </c>
      <c r="W64" s="690">
        <v>44453</v>
      </c>
      <c r="X64" s="690">
        <v>45370</v>
      </c>
      <c r="Y64" s="690">
        <v>50675</v>
      </c>
      <c r="Z64" s="686">
        <v>45898</v>
      </c>
      <c r="AA64" s="686">
        <v>52350</v>
      </c>
      <c r="AB64" s="230">
        <v>14.057257396836464</v>
      </c>
    </row>
    <row r="65" spans="1:28" ht="17.25" customHeight="1" x14ac:dyDescent="0.25">
      <c r="A65" s="236"/>
      <c r="B65" s="776" t="s">
        <v>480</v>
      </c>
      <c r="C65" s="234">
        <v>33002</v>
      </c>
      <c r="D65" s="234">
        <v>40522</v>
      </c>
      <c r="E65" s="234">
        <v>52117</v>
      </c>
      <c r="F65" s="234">
        <v>57192</v>
      </c>
      <c r="G65" s="234">
        <v>58150</v>
      </c>
      <c r="H65" s="234">
        <v>54531</v>
      </c>
      <c r="I65" s="234">
        <v>50758</v>
      </c>
      <c r="J65" s="234">
        <v>55329</v>
      </c>
      <c r="K65" s="234">
        <v>53144</v>
      </c>
      <c r="L65" s="234">
        <v>49766</v>
      </c>
      <c r="M65" s="234">
        <v>56032</v>
      </c>
      <c r="N65" s="234">
        <v>62656</v>
      </c>
      <c r="O65" s="234">
        <v>86368</v>
      </c>
      <c r="P65" s="234">
        <v>158874</v>
      </c>
      <c r="Q65" s="234">
        <v>214450</v>
      </c>
      <c r="R65" s="234">
        <v>296219</v>
      </c>
      <c r="S65" s="234">
        <v>445114</v>
      </c>
      <c r="T65" s="234">
        <v>494904</v>
      </c>
      <c r="U65" s="234">
        <v>629494</v>
      </c>
      <c r="V65" s="234">
        <v>717657</v>
      </c>
      <c r="W65" s="234">
        <v>705451</v>
      </c>
      <c r="X65" s="234">
        <v>637205</v>
      </c>
      <c r="Y65" s="234">
        <v>599189</v>
      </c>
      <c r="Z65" s="234">
        <v>619555</v>
      </c>
      <c r="AA65" s="234">
        <v>605728</v>
      </c>
      <c r="AB65" s="230">
        <v>-2.2317631203040889</v>
      </c>
    </row>
    <row r="66" spans="1:28" ht="29.25" customHeight="1" x14ac:dyDescent="0.25">
      <c r="A66" s="700"/>
      <c r="B66" s="778" t="s">
        <v>481</v>
      </c>
      <c r="C66" s="237">
        <v>708742</v>
      </c>
      <c r="D66" s="237">
        <v>799247</v>
      </c>
      <c r="E66" s="237">
        <v>845673</v>
      </c>
      <c r="F66" s="237">
        <v>838674</v>
      </c>
      <c r="G66" s="237">
        <v>814865</v>
      </c>
      <c r="H66" s="237">
        <v>748779</v>
      </c>
      <c r="I66" s="237">
        <v>709008</v>
      </c>
      <c r="J66" s="237">
        <v>699011</v>
      </c>
      <c r="K66" s="237">
        <v>665486</v>
      </c>
      <c r="L66" s="237">
        <v>626720</v>
      </c>
      <c r="M66" s="237">
        <v>601141</v>
      </c>
      <c r="N66" s="237">
        <v>634625</v>
      </c>
      <c r="O66" s="237">
        <v>778198</v>
      </c>
      <c r="P66" s="237">
        <v>991681</v>
      </c>
      <c r="Q66" s="237">
        <v>1158177</v>
      </c>
      <c r="R66" s="237">
        <v>1397727</v>
      </c>
      <c r="S66" s="237">
        <v>1673485</v>
      </c>
      <c r="T66" s="237">
        <v>1763884</v>
      </c>
      <c r="U66" s="237">
        <v>1774382</v>
      </c>
      <c r="V66" s="237">
        <v>2095950</v>
      </c>
      <c r="W66" s="237">
        <v>2109026</v>
      </c>
      <c r="X66" s="237">
        <v>2013444</v>
      </c>
      <c r="Y66" s="237">
        <v>1938533</v>
      </c>
      <c r="Z66" s="237">
        <v>1981864</v>
      </c>
      <c r="AA66" s="237">
        <v>1944828</v>
      </c>
      <c r="AB66" s="238">
        <v>-1.868745786794654</v>
      </c>
    </row>
    <row r="67" spans="1:28" ht="27" customHeight="1" x14ac:dyDescent="0.25">
      <c r="A67" s="693" t="s">
        <v>482</v>
      </c>
      <c r="B67" s="783" t="s">
        <v>483</v>
      </c>
      <c r="C67" s="696">
        <v>11445</v>
      </c>
      <c r="D67" s="696">
        <v>12378</v>
      </c>
      <c r="E67" s="696">
        <v>693</v>
      </c>
      <c r="F67" s="696">
        <v>61</v>
      </c>
      <c r="G67" s="696">
        <v>25</v>
      </c>
      <c r="H67" s="696">
        <v>145</v>
      </c>
      <c r="I67" s="696">
        <v>170</v>
      </c>
      <c r="J67" s="699" t="s">
        <v>169</v>
      </c>
      <c r="K67" s="699" t="s">
        <v>169</v>
      </c>
      <c r="L67" s="699" t="s">
        <v>169</v>
      </c>
      <c r="M67" s="699" t="s">
        <v>169</v>
      </c>
      <c r="N67" s="699" t="s">
        <v>169</v>
      </c>
      <c r="O67" s="695" t="s">
        <v>169</v>
      </c>
      <c r="P67" s="699" t="s">
        <v>169</v>
      </c>
      <c r="Q67" s="699" t="s">
        <v>169</v>
      </c>
      <c r="R67" s="699" t="s">
        <v>169</v>
      </c>
      <c r="S67" s="690" t="s">
        <v>169</v>
      </c>
      <c r="T67" s="695" t="s">
        <v>169</v>
      </c>
      <c r="U67" s="695" t="s">
        <v>169</v>
      </c>
      <c r="V67" s="695" t="s">
        <v>169</v>
      </c>
      <c r="W67" s="695" t="s">
        <v>169</v>
      </c>
      <c r="X67" s="695" t="s">
        <v>169</v>
      </c>
      <c r="Y67" s="695" t="s">
        <v>169</v>
      </c>
      <c r="Z67" s="699" t="s">
        <v>169</v>
      </c>
      <c r="AA67" s="699" t="s">
        <v>169</v>
      </c>
      <c r="AB67" s="230" t="s">
        <v>169</v>
      </c>
    </row>
    <row r="68" spans="1:28" ht="16.350000000000001" customHeight="1" x14ac:dyDescent="0.25">
      <c r="A68" s="693" t="s">
        <v>484</v>
      </c>
      <c r="B68" s="783" t="s">
        <v>485</v>
      </c>
      <c r="C68" s="699" t="s">
        <v>169</v>
      </c>
      <c r="D68" s="699" t="s">
        <v>169</v>
      </c>
      <c r="E68" s="696">
        <v>8192</v>
      </c>
      <c r="F68" s="696">
        <v>8725</v>
      </c>
      <c r="G68" s="696">
        <v>8222</v>
      </c>
      <c r="H68" s="696">
        <v>7610</v>
      </c>
      <c r="I68" s="696">
        <v>7768</v>
      </c>
      <c r="J68" s="696">
        <v>9027</v>
      </c>
      <c r="K68" s="696">
        <v>9469</v>
      </c>
      <c r="L68" s="696">
        <v>9773</v>
      </c>
      <c r="M68" s="696">
        <v>9646</v>
      </c>
      <c r="N68" s="696">
        <v>12307</v>
      </c>
      <c r="O68" s="695">
        <v>18338</v>
      </c>
      <c r="P68" s="686">
        <v>22825</v>
      </c>
      <c r="Q68" s="686">
        <v>26834</v>
      </c>
      <c r="R68" s="690">
        <v>35735</v>
      </c>
      <c r="S68" s="690">
        <v>39518</v>
      </c>
      <c r="T68" s="690">
        <v>39214</v>
      </c>
      <c r="U68" s="690">
        <v>37064</v>
      </c>
      <c r="V68" s="690">
        <v>46095</v>
      </c>
      <c r="W68" s="690">
        <v>45901</v>
      </c>
      <c r="X68" s="690">
        <v>45961</v>
      </c>
      <c r="Y68" s="690">
        <v>48998</v>
      </c>
      <c r="Z68" s="686">
        <v>46862</v>
      </c>
      <c r="AA68" s="686">
        <v>49885</v>
      </c>
      <c r="AB68" s="230">
        <v>6.4508557039819046</v>
      </c>
    </row>
    <row r="69" spans="1:28" ht="16.350000000000001" customHeight="1" x14ac:dyDescent="0.25">
      <c r="A69" s="693" t="s">
        <v>486</v>
      </c>
      <c r="B69" s="783" t="s">
        <v>487</v>
      </c>
      <c r="C69" s="699" t="s">
        <v>169</v>
      </c>
      <c r="D69" s="699" t="s">
        <v>169</v>
      </c>
      <c r="E69" s="696">
        <v>3014</v>
      </c>
      <c r="F69" s="696">
        <v>3153</v>
      </c>
      <c r="G69" s="696">
        <v>2853</v>
      </c>
      <c r="H69" s="696">
        <v>2422</v>
      </c>
      <c r="I69" s="696">
        <v>2537</v>
      </c>
      <c r="J69" s="696">
        <v>2908</v>
      </c>
      <c r="K69" s="696">
        <v>2877</v>
      </c>
      <c r="L69" s="696">
        <v>2777</v>
      </c>
      <c r="M69" s="696">
        <v>2803</v>
      </c>
      <c r="N69" s="696">
        <v>3407</v>
      </c>
      <c r="O69" s="695">
        <v>4470</v>
      </c>
      <c r="P69" s="686">
        <v>5329</v>
      </c>
      <c r="Q69" s="686">
        <v>5987</v>
      </c>
      <c r="R69" s="690">
        <v>7641</v>
      </c>
      <c r="S69" s="690">
        <v>8025</v>
      </c>
      <c r="T69" s="690">
        <v>7287</v>
      </c>
      <c r="U69" s="690">
        <v>6641</v>
      </c>
      <c r="V69" s="690">
        <v>9511</v>
      </c>
      <c r="W69" s="690">
        <v>9376</v>
      </c>
      <c r="X69" s="690">
        <v>8512</v>
      </c>
      <c r="Y69" s="690">
        <v>8680</v>
      </c>
      <c r="Z69" s="686">
        <v>8607</v>
      </c>
      <c r="AA69" s="686">
        <v>8672</v>
      </c>
      <c r="AB69" s="230">
        <v>0.75519925641919361</v>
      </c>
    </row>
    <row r="70" spans="1:28" ht="16.350000000000001" customHeight="1" x14ac:dyDescent="0.25">
      <c r="A70" s="693" t="s">
        <v>488</v>
      </c>
      <c r="B70" s="783" t="s">
        <v>489</v>
      </c>
      <c r="C70" s="695" t="s">
        <v>169</v>
      </c>
      <c r="D70" s="695" t="s">
        <v>169</v>
      </c>
      <c r="E70" s="696">
        <v>970</v>
      </c>
      <c r="F70" s="696">
        <v>1388</v>
      </c>
      <c r="G70" s="696">
        <v>1524</v>
      </c>
      <c r="H70" s="696">
        <v>1487</v>
      </c>
      <c r="I70" s="696">
        <v>1658</v>
      </c>
      <c r="J70" s="696">
        <v>1967</v>
      </c>
      <c r="K70" s="696">
        <v>2243</v>
      </c>
      <c r="L70" s="696">
        <v>2212</v>
      </c>
      <c r="M70" s="696">
        <v>2372</v>
      </c>
      <c r="N70" s="696">
        <v>2835</v>
      </c>
      <c r="O70" s="695">
        <v>3530</v>
      </c>
      <c r="P70" s="686">
        <v>4349</v>
      </c>
      <c r="Q70" s="686">
        <v>4560</v>
      </c>
      <c r="R70" s="690">
        <v>5555</v>
      </c>
      <c r="S70" s="690">
        <v>5974</v>
      </c>
      <c r="T70" s="690">
        <v>5266</v>
      </c>
      <c r="U70" s="690">
        <v>5179</v>
      </c>
      <c r="V70" s="690">
        <v>6101</v>
      </c>
      <c r="W70" s="690">
        <v>5473</v>
      </c>
      <c r="X70" s="690">
        <v>5173</v>
      </c>
      <c r="Y70" s="690">
        <v>5073</v>
      </c>
      <c r="Z70" s="686">
        <v>5178</v>
      </c>
      <c r="AA70" s="686">
        <v>5115</v>
      </c>
      <c r="AB70" s="230">
        <v>-1.2166859791425262</v>
      </c>
    </row>
    <row r="71" spans="1:28" ht="16.350000000000001" customHeight="1" x14ac:dyDescent="0.25">
      <c r="A71" s="693" t="s">
        <v>490</v>
      </c>
      <c r="B71" s="783" t="s">
        <v>491</v>
      </c>
      <c r="C71" s="695" t="s">
        <v>169</v>
      </c>
      <c r="D71" s="695" t="s">
        <v>169</v>
      </c>
      <c r="E71" s="695" t="s">
        <v>169</v>
      </c>
      <c r="F71" s="695" t="s">
        <v>169</v>
      </c>
      <c r="G71" s="695" t="s">
        <v>169</v>
      </c>
      <c r="H71" s="695" t="s">
        <v>169</v>
      </c>
      <c r="I71" s="695" t="s">
        <v>169</v>
      </c>
      <c r="J71" s="695" t="s">
        <v>169</v>
      </c>
      <c r="K71" s="695" t="s">
        <v>169</v>
      </c>
      <c r="L71" s="695" t="s">
        <v>169</v>
      </c>
      <c r="M71" s="695" t="s">
        <v>169</v>
      </c>
      <c r="N71" s="695" t="s">
        <v>169</v>
      </c>
      <c r="O71" s="695" t="s">
        <v>169</v>
      </c>
      <c r="P71" s="690" t="s">
        <v>169</v>
      </c>
      <c r="Q71" s="690" t="s">
        <v>169</v>
      </c>
      <c r="R71" s="690" t="s">
        <v>169</v>
      </c>
      <c r="S71" s="690" t="s">
        <v>169</v>
      </c>
      <c r="T71" s="690">
        <v>1280</v>
      </c>
      <c r="U71" s="690">
        <v>1120</v>
      </c>
      <c r="V71" s="690">
        <v>1440</v>
      </c>
      <c r="W71" s="690">
        <v>1487</v>
      </c>
      <c r="X71" s="690">
        <v>1642</v>
      </c>
      <c r="Y71" s="690">
        <v>1946</v>
      </c>
      <c r="Z71" s="686">
        <v>1728</v>
      </c>
      <c r="AA71" s="686">
        <v>2103</v>
      </c>
      <c r="AB71" s="230">
        <v>21.701388888888889</v>
      </c>
    </row>
    <row r="72" spans="1:28" ht="16.350000000000001" customHeight="1" x14ac:dyDescent="0.25">
      <c r="A72" s="693" t="s">
        <v>492</v>
      </c>
      <c r="B72" s="783" t="s">
        <v>493</v>
      </c>
      <c r="C72" s="696">
        <v>850</v>
      </c>
      <c r="D72" s="696">
        <v>894</v>
      </c>
      <c r="E72" s="696">
        <v>81</v>
      </c>
      <c r="F72" s="696">
        <v>22</v>
      </c>
      <c r="G72" s="696">
        <v>18</v>
      </c>
      <c r="H72" s="696">
        <v>10</v>
      </c>
      <c r="I72" s="696">
        <v>22</v>
      </c>
      <c r="J72" s="699" t="s">
        <v>169</v>
      </c>
      <c r="K72" s="699" t="s">
        <v>169</v>
      </c>
      <c r="L72" s="699" t="s">
        <v>169</v>
      </c>
      <c r="M72" s="699" t="s">
        <v>169</v>
      </c>
      <c r="N72" s="699" t="s">
        <v>169</v>
      </c>
      <c r="O72" s="695" t="s">
        <v>169</v>
      </c>
      <c r="P72" s="699" t="s">
        <v>169</v>
      </c>
      <c r="Q72" s="699" t="s">
        <v>169</v>
      </c>
      <c r="R72" s="690" t="s">
        <v>169</v>
      </c>
      <c r="S72" s="690" t="s">
        <v>169</v>
      </c>
      <c r="T72" s="690" t="s">
        <v>169</v>
      </c>
      <c r="U72" s="695" t="s">
        <v>169</v>
      </c>
      <c r="V72" s="695" t="s">
        <v>169</v>
      </c>
      <c r="W72" s="695" t="s">
        <v>169</v>
      </c>
      <c r="X72" s="695" t="s">
        <v>169</v>
      </c>
      <c r="Y72" s="695" t="s">
        <v>169</v>
      </c>
      <c r="Z72" s="699" t="s">
        <v>169</v>
      </c>
      <c r="AA72" s="690" t="s">
        <v>169</v>
      </c>
      <c r="AB72" s="230" t="s">
        <v>169</v>
      </c>
    </row>
    <row r="73" spans="1:28" ht="16.350000000000001" customHeight="1" x14ac:dyDescent="0.25">
      <c r="A73" s="693" t="s">
        <v>494</v>
      </c>
      <c r="B73" s="783" t="s">
        <v>495</v>
      </c>
      <c r="C73" s="699" t="s">
        <v>169</v>
      </c>
      <c r="D73" s="699" t="s">
        <v>169</v>
      </c>
      <c r="E73" s="696">
        <v>444</v>
      </c>
      <c r="F73" s="696">
        <v>438</v>
      </c>
      <c r="G73" s="696">
        <v>413</v>
      </c>
      <c r="H73" s="696">
        <v>332</v>
      </c>
      <c r="I73" s="696">
        <v>317</v>
      </c>
      <c r="J73" s="696">
        <v>368</v>
      </c>
      <c r="K73" s="696">
        <v>387</v>
      </c>
      <c r="L73" s="696">
        <v>387</v>
      </c>
      <c r="M73" s="696">
        <v>413</v>
      </c>
      <c r="N73" s="696">
        <v>661</v>
      </c>
      <c r="O73" s="695">
        <v>1026</v>
      </c>
      <c r="P73" s="686">
        <v>1299</v>
      </c>
      <c r="Q73" s="686">
        <v>1639</v>
      </c>
      <c r="R73" s="690">
        <v>2470</v>
      </c>
      <c r="S73" s="690">
        <v>2801</v>
      </c>
      <c r="T73" s="690">
        <v>2656</v>
      </c>
      <c r="U73" s="690">
        <v>2538</v>
      </c>
      <c r="V73" s="690">
        <v>3362</v>
      </c>
      <c r="W73" s="690">
        <v>3409</v>
      </c>
      <c r="X73" s="690">
        <v>3448</v>
      </c>
      <c r="Y73" s="690">
        <v>3690</v>
      </c>
      <c r="Z73" s="686">
        <v>3447</v>
      </c>
      <c r="AA73" s="686">
        <v>3853</v>
      </c>
      <c r="AB73" s="230">
        <v>11.778357992457208</v>
      </c>
    </row>
    <row r="74" spans="1:28" ht="16.350000000000001" customHeight="1" x14ac:dyDescent="0.25">
      <c r="A74" s="693" t="s">
        <v>496</v>
      </c>
      <c r="B74" s="783" t="s">
        <v>497</v>
      </c>
      <c r="C74" s="695" t="s">
        <v>169</v>
      </c>
      <c r="D74" s="695" t="s">
        <v>169</v>
      </c>
      <c r="E74" s="696">
        <v>322</v>
      </c>
      <c r="F74" s="696">
        <v>292</v>
      </c>
      <c r="G74" s="696">
        <v>261</v>
      </c>
      <c r="H74" s="696">
        <v>237</v>
      </c>
      <c r="I74" s="696">
        <v>216</v>
      </c>
      <c r="J74" s="696">
        <v>241</v>
      </c>
      <c r="K74" s="696">
        <v>246</v>
      </c>
      <c r="L74" s="696">
        <v>288</v>
      </c>
      <c r="M74" s="696">
        <v>352</v>
      </c>
      <c r="N74" s="696">
        <v>416</v>
      </c>
      <c r="O74" s="695">
        <v>669</v>
      </c>
      <c r="P74" s="686">
        <v>695</v>
      </c>
      <c r="Q74" s="686">
        <v>842</v>
      </c>
      <c r="R74" s="690">
        <v>894</v>
      </c>
      <c r="S74" s="690">
        <v>982</v>
      </c>
      <c r="T74" s="690">
        <v>979</v>
      </c>
      <c r="U74" s="690">
        <v>842</v>
      </c>
      <c r="V74" s="690">
        <v>987</v>
      </c>
      <c r="W74" s="690">
        <v>863</v>
      </c>
      <c r="X74" s="690">
        <v>768</v>
      </c>
      <c r="Y74" s="690">
        <v>827</v>
      </c>
      <c r="Z74" s="686">
        <v>805</v>
      </c>
      <c r="AA74" s="686">
        <v>844</v>
      </c>
      <c r="AB74" s="230">
        <v>4.8447204968944098</v>
      </c>
    </row>
    <row r="75" spans="1:28" ht="16.350000000000001" customHeight="1" x14ac:dyDescent="0.25">
      <c r="A75" s="693" t="s">
        <v>498</v>
      </c>
      <c r="B75" s="783" t="s">
        <v>499</v>
      </c>
      <c r="C75" s="699" t="s">
        <v>169</v>
      </c>
      <c r="D75" s="699" t="s">
        <v>169</v>
      </c>
      <c r="E75" s="696">
        <v>297</v>
      </c>
      <c r="F75" s="696">
        <v>364</v>
      </c>
      <c r="G75" s="696">
        <v>458</v>
      </c>
      <c r="H75" s="696">
        <v>430</v>
      </c>
      <c r="I75" s="696">
        <v>408</v>
      </c>
      <c r="J75" s="696">
        <v>563</v>
      </c>
      <c r="K75" s="696">
        <v>670</v>
      </c>
      <c r="L75" s="696">
        <v>601</v>
      </c>
      <c r="M75" s="696">
        <v>788</v>
      </c>
      <c r="N75" s="696">
        <v>1125</v>
      </c>
      <c r="O75" s="695">
        <v>1387</v>
      </c>
      <c r="P75" s="686">
        <v>1864</v>
      </c>
      <c r="Q75" s="686">
        <v>2165</v>
      </c>
      <c r="R75" s="690">
        <v>2614</v>
      </c>
      <c r="S75" s="690">
        <v>2701</v>
      </c>
      <c r="T75" s="690">
        <v>2352</v>
      </c>
      <c r="U75" s="690">
        <v>2159</v>
      </c>
      <c r="V75" s="690">
        <v>2342</v>
      </c>
      <c r="W75" s="690">
        <v>2137</v>
      </c>
      <c r="X75" s="690">
        <v>2116</v>
      </c>
      <c r="Y75" s="690">
        <v>2138</v>
      </c>
      <c r="Z75" s="686">
        <v>2132</v>
      </c>
      <c r="AA75" s="686">
        <v>2145</v>
      </c>
      <c r="AB75" s="230">
        <v>0.6097560975609756</v>
      </c>
    </row>
    <row r="76" spans="1:28" ht="15.75" customHeight="1" x14ac:dyDescent="0.25">
      <c r="A76" s="693" t="s">
        <v>500</v>
      </c>
      <c r="B76" s="783" t="s">
        <v>501</v>
      </c>
      <c r="C76" s="699" t="s">
        <v>169</v>
      </c>
      <c r="D76" s="699" t="s">
        <v>169</v>
      </c>
      <c r="E76" s="699" t="s">
        <v>169</v>
      </c>
      <c r="F76" s="699" t="s">
        <v>169</v>
      </c>
      <c r="G76" s="699" t="s">
        <v>169</v>
      </c>
      <c r="H76" s="699" t="s">
        <v>169</v>
      </c>
      <c r="I76" s="699" t="s">
        <v>169</v>
      </c>
      <c r="J76" s="699" t="s">
        <v>169</v>
      </c>
      <c r="K76" s="699" t="s">
        <v>169</v>
      </c>
      <c r="L76" s="699" t="s">
        <v>169</v>
      </c>
      <c r="M76" s="699" t="s">
        <v>169</v>
      </c>
      <c r="N76" s="699" t="s">
        <v>169</v>
      </c>
      <c r="O76" s="695" t="s">
        <v>169</v>
      </c>
      <c r="P76" s="690" t="s">
        <v>169</v>
      </c>
      <c r="Q76" s="690" t="s">
        <v>169</v>
      </c>
      <c r="R76" s="690" t="s">
        <v>169</v>
      </c>
      <c r="S76" s="690" t="s">
        <v>169</v>
      </c>
      <c r="T76" s="690">
        <v>185</v>
      </c>
      <c r="U76" s="690">
        <v>158</v>
      </c>
      <c r="V76" s="690">
        <v>201</v>
      </c>
      <c r="W76" s="690">
        <v>198</v>
      </c>
      <c r="X76" s="690">
        <v>208</v>
      </c>
      <c r="Y76" s="690">
        <v>188</v>
      </c>
      <c r="Z76" s="686">
        <v>211</v>
      </c>
      <c r="AA76" s="686">
        <v>187</v>
      </c>
      <c r="AB76" s="230">
        <v>-11.374407582938389</v>
      </c>
    </row>
    <row r="77" spans="1:28" ht="18" customHeight="1" x14ac:dyDescent="0.25">
      <c r="A77" s="693"/>
      <c r="B77" s="776" t="s">
        <v>502</v>
      </c>
      <c r="C77" s="249">
        <v>12295</v>
      </c>
      <c r="D77" s="249">
        <v>13272</v>
      </c>
      <c r="E77" s="249">
        <v>14013</v>
      </c>
      <c r="F77" s="249">
        <v>14443</v>
      </c>
      <c r="G77" s="249">
        <v>13774</v>
      </c>
      <c r="H77" s="249">
        <v>12673</v>
      </c>
      <c r="I77" s="249">
        <v>13096</v>
      </c>
      <c r="J77" s="249">
        <v>15074</v>
      </c>
      <c r="K77" s="249">
        <v>15892</v>
      </c>
      <c r="L77" s="249">
        <v>16038</v>
      </c>
      <c r="M77" s="249">
        <v>16374</v>
      </c>
      <c r="N77" s="249">
        <v>20751</v>
      </c>
      <c r="O77" s="234">
        <v>29420</v>
      </c>
      <c r="P77" s="249">
        <v>36361</v>
      </c>
      <c r="Q77" s="249">
        <v>42027</v>
      </c>
      <c r="R77" s="249">
        <v>54909</v>
      </c>
      <c r="S77" s="249">
        <v>60001</v>
      </c>
      <c r="T77" s="249">
        <v>59219</v>
      </c>
      <c r="U77" s="249">
        <v>55701</v>
      </c>
      <c r="V77" s="249">
        <v>70039</v>
      </c>
      <c r="W77" s="249">
        <v>68844</v>
      </c>
      <c r="X77" s="249">
        <v>67828</v>
      </c>
      <c r="Y77" s="249">
        <v>71540</v>
      </c>
      <c r="Z77" s="249">
        <v>68970</v>
      </c>
      <c r="AA77" s="249">
        <v>72804</v>
      </c>
      <c r="AB77" s="230">
        <v>5.5589386689865155</v>
      </c>
    </row>
    <row r="78" spans="1:28" ht="29.25" customHeight="1" x14ac:dyDescent="0.25">
      <c r="A78" s="693">
        <v>16</v>
      </c>
      <c r="B78" s="783" t="s">
        <v>503</v>
      </c>
      <c r="C78" s="696">
        <v>287</v>
      </c>
      <c r="D78" s="696">
        <v>247</v>
      </c>
      <c r="E78" s="696">
        <v>73</v>
      </c>
      <c r="F78" s="696">
        <v>39</v>
      </c>
      <c r="G78" s="696">
        <v>35</v>
      </c>
      <c r="H78" s="696">
        <v>49</v>
      </c>
      <c r="I78" s="696">
        <v>36</v>
      </c>
      <c r="J78" s="699" t="s">
        <v>169</v>
      </c>
      <c r="K78" s="699" t="s">
        <v>169</v>
      </c>
      <c r="L78" s="699" t="s">
        <v>169</v>
      </c>
      <c r="M78" s="699" t="s">
        <v>169</v>
      </c>
      <c r="N78" s="699" t="s">
        <v>169</v>
      </c>
      <c r="O78" s="695" t="s">
        <v>169</v>
      </c>
      <c r="P78" s="699" t="s">
        <v>169</v>
      </c>
      <c r="Q78" s="699" t="s">
        <v>169</v>
      </c>
      <c r="R78" s="699" t="s">
        <v>169</v>
      </c>
      <c r="S78" s="690" t="s">
        <v>169</v>
      </c>
      <c r="T78" s="690" t="s">
        <v>169</v>
      </c>
      <c r="U78" s="695" t="s">
        <v>169</v>
      </c>
      <c r="V78" s="695" t="s">
        <v>169</v>
      </c>
      <c r="W78" s="695" t="s">
        <v>169</v>
      </c>
      <c r="X78" s="695" t="s">
        <v>169</v>
      </c>
      <c r="Y78" s="695" t="s">
        <v>169</v>
      </c>
      <c r="Z78" s="699" t="s">
        <v>169</v>
      </c>
      <c r="AA78" s="699" t="s">
        <v>169</v>
      </c>
      <c r="AB78" s="230" t="s">
        <v>169</v>
      </c>
    </row>
    <row r="79" spans="1:28" ht="18.75" customHeight="1" x14ac:dyDescent="0.25">
      <c r="A79" s="693">
        <v>17</v>
      </c>
      <c r="B79" s="783" t="s">
        <v>504</v>
      </c>
      <c r="C79" s="696">
        <v>4132</v>
      </c>
      <c r="D79" s="696">
        <v>4110</v>
      </c>
      <c r="E79" s="696">
        <v>1003</v>
      </c>
      <c r="F79" s="696">
        <v>347</v>
      </c>
      <c r="G79" s="696">
        <v>76</v>
      </c>
      <c r="H79" s="696">
        <v>209</v>
      </c>
      <c r="I79" s="696">
        <v>158</v>
      </c>
      <c r="J79" s="699" t="s">
        <v>169</v>
      </c>
      <c r="K79" s="699" t="s">
        <v>169</v>
      </c>
      <c r="L79" s="699" t="s">
        <v>169</v>
      </c>
      <c r="M79" s="699" t="s">
        <v>169</v>
      </c>
      <c r="N79" s="699" t="s">
        <v>169</v>
      </c>
      <c r="O79" s="695" t="s">
        <v>169</v>
      </c>
      <c r="P79" s="699" t="s">
        <v>169</v>
      </c>
      <c r="Q79" s="699" t="s">
        <v>169</v>
      </c>
      <c r="R79" s="699" t="s">
        <v>169</v>
      </c>
      <c r="S79" s="695" t="s">
        <v>169</v>
      </c>
      <c r="T79" s="690" t="s">
        <v>169</v>
      </c>
      <c r="U79" s="695" t="s">
        <v>169</v>
      </c>
      <c r="V79" s="695" t="s">
        <v>169</v>
      </c>
      <c r="W79" s="695" t="s">
        <v>169</v>
      </c>
      <c r="X79" s="695" t="s">
        <v>169</v>
      </c>
      <c r="Y79" s="695" t="s">
        <v>169</v>
      </c>
      <c r="Z79" s="699" t="s">
        <v>169</v>
      </c>
      <c r="AA79" s="699" t="s">
        <v>169</v>
      </c>
      <c r="AB79" s="230" t="s">
        <v>169</v>
      </c>
    </row>
    <row r="80" spans="1:28" ht="18.75" customHeight="1" x14ac:dyDescent="0.25">
      <c r="A80" s="693" t="s">
        <v>505</v>
      </c>
      <c r="B80" s="783" t="s">
        <v>506</v>
      </c>
      <c r="C80" s="695" t="s">
        <v>169</v>
      </c>
      <c r="D80" s="695" t="s">
        <v>169</v>
      </c>
      <c r="E80" s="696">
        <v>1316</v>
      </c>
      <c r="F80" s="696">
        <v>1428</v>
      </c>
      <c r="G80" s="696">
        <v>1450</v>
      </c>
      <c r="H80" s="696">
        <v>1323</v>
      </c>
      <c r="I80" s="696">
        <v>1161</v>
      </c>
      <c r="J80" s="696">
        <v>1208</v>
      </c>
      <c r="K80" s="696">
        <v>1285</v>
      </c>
      <c r="L80" s="696">
        <v>1261</v>
      </c>
      <c r="M80" s="696">
        <v>1400</v>
      </c>
      <c r="N80" s="696">
        <v>1957</v>
      </c>
      <c r="O80" s="695">
        <v>2907</v>
      </c>
      <c r="P80" s="686">
        <v>3454</v>
      </c>
      <c r="Q80" s="686">
        <v>4416</v>
      </c>
      <c r="R80" s="690">
        <v>5428</v>
      </c>
      <c r="S80" s="690">
        <v>5841</v>
      </c>
      <c r="T80" s="690">
        <v>6243</v>
      </c>
      <c r="U80" s="690">
        <v>5272</v>
      </c>
      <c r="V80" s="690">
        <v>7535</v>
      </c>
      <c r="W80" s="690">
        <v>8931</v>
      </c>
      <c r="X80" s="690">
        <v>8763</v>
      </c>
      <c r="Y80" s="690">
        <v>9849</v>
      </c>
      <c r="Z80" s="686">
        <v>9111</v>
      </c>
      <c r="AA80" s="686">
        <v>9815</v>
      </c>
      <c r="AB80" s="230">
        <v>7.7269234990670626</v>
      </c>
    </row>
    <row r="81" spans="1:28" ht="18.75" customHeight="1" x14ac:dyDescent="0.25">
      <c r="A81" s="693" t="s">
        <v>507</v>
      </c>
      <c r="B81" s="783" t="s">
        <v>508</v>
      </c>
      <c r="C81" s="699" t="s">
        <v>169</v>
      </c>
      <c r="D81" s="699" t="s">
        <v>169</v>
      </c>
      <c r="E81" s="696">
        <v>1227</v>
      </c>
      <c r="F81" s="696">
        <v>1394</v>
      </c>
      <c r="G81" s="696">
        <v>1237</v>
      </c>
      <c r="H81" s="696">
        <v>1121</v>
      </c>
      <c r="I81" s="696">
        <v>1004</v>
      </c>
      <c r="J81" s="696">
        <v>1054</v>
      </c>
      <c r="K81" s="696">
        <v>1126</v>
      </c>
      <c r="L81" s="696">
        <v>1011</v>
      </c>
      <c r="M81" s="696">
        <v>1270</v>
      </c>
      <c r="N81" s="696">
        <v>1652</v>
      </c>
      <c r="O81" s="695">
        <v>2437</v>
      </c>
      <c r="P81" s="686">
        <v>2662</v>
      </c>
      <c r="Q81" s="686">
        <v>3368</v>
      </c>
      <c r="R81" s="690">
        <v>3804</v>
      </c>
      <c r="S81" s="690">
        <v>3857</v>
      </c>
      <c r="T81" s="690">
        <v>3746</v>
      </c>
      <c r="U81" s="690">
        <v>3262</v>
      </c>
      <c r="V81" s="690">
        <v>3744</v>
      </c>
      <c r="W81" s="690">
        <v>3938</v>
      </c>
      <c r="X81" s="690">
        <v>4370</v>
      </c>
      <c r="Y81" s="690">
        <v>4713</v>
      </c>
      <c r="Z81" s="686">
        <v>4467</v>
      </c>
      <c r="AA81" s="686">
        <v>4737</v>
      </c>
      <c r="AB81" s="230">
        <v>6.044325050369376</v>
      </c>
    </row>
    <row r="82" spans="1:28" ht="18.75" customHeight="1" x14ac:dyDescent="0.25">
      <c r="A82" s="693">
        <v>18</v>
      </c>
      <c r="B82" s="783" t="s">
        <v>509</v>
      </c>
      <c r="C82" s="696">
        <v>245</v>
      </c>
      <c r="D82" s="696">
        <v>260</v>
      </c>
      <c r="E82" s="696">
        <v>49</v>
      </c>
      <c r="F82" s="696">
        <v>20</v>
      </c>
      <c r="G82" s="696">
        <v>12</v>
      </c>
      <c r="H82" s="696">
        <v>17</v>
      </c>
      <c r="I82" s="696">
        <v>14</v>
      </c>
      <c r="J82" s="699" t="s">
        <v>169</v>
      </c>
      <c r="K82" s="699" t="s">
        <v>169</v>
      </c>
      <c r="L82" s="699" t="s">
        <v>169</v>
      </c>
      <c r="M82" s="699" t="s">
        <v>169</v>
      </c>
      <c r="N82" s="699" t="s">
        <v>169</v>
      </c>
      <c r="O82" s="695" t="s">
        <v>169</v>
      </c>
      <c r="P82" s="699" t="s">
        <v>169</v>
      </c>
      <c r="Q82" s="699" t="s">
        <v>169</v>
      </c>
      <c r="R82" s="690" t="s">
        <v>169</v>
      </c>
      <c r="S82" s="690" t="s">
        <v>169</v>
      </c>
      <c r="T82" s="690" t="s">
        <v>169</v>
      </c>
      <c r="U82" s="695" t="s">
        <v>169</v>
      </c>
      <c r="V82" s="695" t="s">
        <v>169</v>
      </c>
      <c r="W82" s="695" t="s">
        <v>169</v>
      </c>
      <c r="X82" s="695" t="s">
        <v>169</v>
      </c>
      <c r="Y82" s="695" t="s">
        <v>169</v>
      </c>
      <c r="Z82" s="699" t="s">
        <v>169</v>
      </c>
      <c r="AA82" s="699" t="s">
        <v>169</v>
      </c>
      <c r="AB82" s="230" t="s">
        <v>169</v>
      </c>
    </row>
    <row r="83" spans="1:28" ht="18.75" customHeight="1" x14ac:dyDescent="0.25">
      <c r="A83" s="693">
        <v>20</v>
      </c>
      <c r="B83" s="783" t="s">
        <v>510</v>
      </c>
      <c r="C83" s="696">
        <v>25275</v>
      </c>
      <c r="D83" s="696">
        <v>27240</v>
      </c>
      <c r="E83" s="696">
        <v>5152</v>
      </c>
      <c r="F83" s="696">
        <v>1215</v>
      </c>
      <c r="G83" s="696">
        <v>267</v>
      </c>
      <c r="H83" s="696">
        <v>768</v>
      </c>
      <c r="I83" s="696">
        <v>575</v>
      </c>
      <c r="J83" s="699" t="s">
        <v>169</v>
      </c>
      <c r="K83" s="699" t="s">
        <v>169</v>
      </c>
      <c r="L83" s="699" t="s">
        <v>169</v>
      </c>
      <c r="M83" s="699" t="s">
        <v>169</v>
      </c>
      <c r="N83" s="699" t="s">
        <v>169</v>
      </c>
      <c r="O83" s="695" t="s">
        <v>169</v>
      </c>
      <c r="P83" s="699" t="s">
        <v>169</v>
      </c>
      <c r="Q83" s="699" t="s">
        <v>169</v>
      </c>
      <c r="R83" s="690" t="s">
        <v>169</v>
      </c>
      <c r="S83" s="690" t="s">
        <v>169</v>
      </c>
      <c r="T83" s="690" t="s">
        <v>169</v>
      </c>
      <c r="U83" s="695" t="s">
        <v>169</v>
      </c>
      <c r="V83" s="695" t="s">
        <v>169</v>
      </c>
      <c r="W83" s="695" t="s">
        <v>169</v>
      </c>
      <c r="X83" s="695" t="s">
        <v>169</v>
      </c>
      <c r="Y83" s="695" t="s">
        <v>169</v>
      </c>
      <c r="Z83" s="699" t="s">
        <v>169</v>
      </c>
      <c r="AA83" s="699" t="s">
        <v>169</v>
      </c>
      <c r="AB83" s="230" t="s">
        <v>169</v>
      </c>
    </row>
    <row r="84" spans="1:28" ht="18.75" customHeight="1" x14ac:dyDescent="0.25">
      <c r="A84" s="693" t="s">
        <v>511</v>
      </c>
      <c r="B84" s="783" t="s">
        <v>512</v>
      </c>
      <c r="C84" s="699" t="s">
        <v>169</v>
      </c>
      <c r="D84" s="699" t="s">
        <v>169</v>
      </c>
      <c r="E84" s="696">
        <v>15087</v>
      </c>
      <c r="F84" s="696">
        <v>17158</v>
      </c>
      <c r="G84" s="696">
        <v>16883</v>
      </c>
      <c r="H84" s="696">
        <v>15793</v>
      </c>
      <c r="I84" s="696">
        <v>15500</v>
      </c>
      <c r="J84" s="696">
        <v>15693</v>
      </c>
      <c r="K84" s="696">
        <v>16346</v>
      </c>
      <c r="L84" s="696">
        <v>15794</v>
      </c>
      <c r="M84" s="696">
        <v>15518</v>
      </c>
      <c r="N84" s="696">
        <v>17377</v>
      </c>
      <c r="O84" s="695">
        <v>23301</v>
      </c>
      <c r="P84" s="686">
        <v>27986</v>
      </c>
      <c r="Q84" s="686">
        <v>30399</v>
      </c>
      <c r="R84" s="690">
        <v>37036</v>
      </c>
      <c r="S84" s="690">
        <v>39654</v>
      </c>
      <c r="T84" s="690">
        <v>39085</v>
      </c>
      <c r="U84" s="690">
        <v>31661</v>
      </c>
      <c r="V84" s="690">
        <v>51310</v>
      </c>
      <c r="W84" s="690">
        <v>53675</v>
      </c>
      <c r="X84" s="690">
        <v>50002</v>
      </c>
      <c r="Y84" s="690">
        <v>51572</v>
      </c>
      <c r="Z84" s="686">
        <v>50225</v>
      </c>
      <c r="AA84" s="686">
        <v>51614</v>
      </c>
      <c r="AB84" s="230">
        <v>2.7655550024888003</v>
      </c>
    </row>
    <row r="85" spans="1:28" ht="18.75" customHeight="1" x14ac:dyDescent="0.25">
      <c r="A85" s="693" t="s">
        <v>513</v>
      </c>
      <c r="B85" s="783" t="s">
        <v>514</v>
      </c>
      <c r="C85" s="695" t="s">
        <v>169</v>
      </c>
      <c r="D85" s="695" t="s">
        <v>169</v>
      </c>
      <c r="E85" s="696">
        <v>4391</v>
      </c>
      <c r="F85" s="696">
        <v>4647</v>
      </c>
      <c r="G85" s="696">
        <v>4245</v>
      </c>
      <c r="H85" s="696">
        <v>3984</v>
      </c>
      <c r="I85" s="696">
        <v>3665</v>
      </c>
      <c r="J85" s="696">
        <v>4148</v>
      </c>
      <c r="K85" s="696">
        <v>4298</v>
      </c>
      <c r="L85" s="696">
        <v>3991</v>
      </c>
      <c r="M85" s="696">
        <v>4177</v>
      </c>
      <c r="N85" s="696">
        <v>5129</v>
      </c>
      <c r="O85" s="695">
        <v>6295</v>
      </c>
      <c r="P85" s="686">
        <v>7496</v>
      </c>
      <c r="Q85" s="686">
        <v>8149</v>
      </c>
      <c r="R85" s="690">
        <v>9768</v>
      </c>
      <c r="S85" s="690">
        <v>10176</v>
      </c>
      <c r="T85" s="690">
        <v>9670</v>
      </c>
      <c r="U85" s="690">
        <v>9536</v>
      </c>
      <c r="V85" s="690">
        <v>12235</v>
      </c>
      <c r="W85" s="690">
        <v>11596</v>
      </c>
      <c r="X85" s="690">
        <v>11370</v>
      </c>
      <c r="Y85" s="690">
        <v>11525</v>
      </c>
      <c r="Z85" s="686">
        <v>11292</v>
      </c>
      <c r="AA85" s="686">
        <v>11757</v>
      </c>
      <c r="AB85" s="230">
        <v>4.1179596174282675</v>
      </c>
    </row>
    <row r="86" spans="1:28" ht="18.75" customHeight="1" x14ac:dyDescent="0.25">
      <c r="A86" s="693">
        <v>21</v>
      </c>
      <c r="B86" s="783" t="s">
        <v>515</v>
      </c>
      <c r="C86" s="696">
        <v>183</v>
      </c>
      <c r="D86" s="696">
        <v>212</v>
      </c>
      <c r="E86" s="699" t="s">
        <v>169</v>
      </c>
      <c r="F86" s="699" t="s">
        <v>169</v>
      </c>
      <c r="G86" s="699" t="s">
        <v>169</v>
      </c>
      <c r="H86" s="699" t="s">
        <v>169</v>
      </c>
      <c r="I86" s="699" t="s">
        <v>169</v>
      </c>
      <c r="J86" s="699" t="s">
        <v>169</v>
      </c>
      <c r="K86" s="699" t="s">
        <v>169</v>
      </c>
      <c r="L86" s="699" t="s">
        <v>169</v>
      </c>
      <c r="M86" s="699" t="s">
        <v>169</v>
      </c>
      <c r="N86" s="699" t="s">
        <v>169</v>
      </c>
      <c r="O86" s="695" t="s">
        <v>169</v>
      </c>
      <c r="P86" s="699" t="s">
        <v>169</v>
      </c>
      <c r="Q86" s="699" t="s">
        <v>169</v>
      </c>
      <c r="R86" s="690" t="s">
        <v>169</v>
      </c>
      <c r="S86" s="690" t="s">
        <v>169</v>
      </c>
      <c r="T86" s="690" t="s">
        <v>169</v>
      </c>
      <c r="U86" s="690" t="s">
        <v>169</v>
      </c>
      <c r="V86" s="690" t="s">
        <v>169</v>
      </c>
      <c r="W86" s="690" t="s">
        <v>169</v>
      </c>
      <c r="X86" s="690" t="s">
        <v>169</v>
      </c>
      <c r="Y86" s="690" t="s">
        <v>169</v>
      </c>
      <c r="Z86" s="699" t="s">
        <v>169</v>
      </c>
      <c r="AA86" s="699" t="s">
        <v>169</v>
      </c>
      <c r="AB86" s="230" t="s">
        <v>169</v>
      </c>
    </row>
    <row r="87" spans="1:28" ht="18.75" customHeight="1" x14ac:dyDescent="0.25">
      <c r="A87" s="693">
        <v>21</v>
      </c>
      <c r="B87" s="783" t="s">
        <v>516</v>
      </c>
      <c r="C87" s="699" t="s">
        <v>169</v>
      </c>
      <c r="D87" s="699" t="s">
        <v>169</v>
      </c>
      <c r="E87" s="696">
        <v>1510</v>
      </c>
      <c r="F87" s="696">
        <v>1950</v>
      </c>
      <c r="G87" s="696">
        <v>1936</v>
      </c>
      <c r="H87" s="696">
        <v>1836</v>
      </c>
      <c r="I87" s="696">
        <v>1650</v>
      </c>
      <c r="J87" s="696">
        <v>1817</v>
      </c>
      <c r="K87" s="696">
        <v>1769</v>
      </c>
      <c r="L87" s="696">
        <v>1808</v>
      </c>
      <c r="M87" s="696">
        <v>2173</v>
      </c>
      <c r="N87" s="696">
        <v>2892</v>
      </c>
      <c r="O87" s="695">
        <v>4708</v>
      </c>
      <c r="P87" s="686">
        <v>5877</v>
      </c>
      <c r="Q87" s="686">
        <v>7833</v>
      </c>
      <c r="R87" s="690">
        <v>8577</v>
      </c>
      <c r="S87" s="690">
        <v>9549</v>
      </c>
      <c r="T87" s="690">
        <v>9597</v>
      </c>
      <c r="U87" s="690">
        <v>9463</v>
      </c>
      <c r="V87" s="690">
        <v>10542</v>
      </c>
      <c r="W87" s="690">
        <v>9778</v>
      </c>
      <c r="X87" s="690">
        <v>8054</v>
      </c>
      <c r="Y87" s="690">
        <v>7518</v>
      </c>
      <c r="Z87" s="686">
        <v>7874</v>
      </c>
      <c r="AA87" s="686">
        <v>7424</v>
      </c>
      <c r="AB87" s="230">
        <v>-5.7150114300228605</v>
      </c>
    </row>
    <row r="88" spans="1:28" ht="18.75" customHeight="1" x14ac:dyDescent="0.25">
      <c r="A88" s="693">
        <v>22</v>
      </c>
      <c r="B88" s="783" t="s">
        <v>517</v>
      </c>
      <c r="C88" s="696">
        <v>1515</v>
      </c>
      <c r="D88" s="696">
        <v>1911</v>
      </c>
      <c r="E88" s="696">
        <v>436</v>
      </c>
      <c r="F88" s="696">
        <v>138</v>
      </c>
      <c r="G88" s="696">
        <v>67</v>
      </c>
      <c r="H88" s="696">
        <v>33</v>
      </c>
      <c r="I88" s="696">
        <v>51</v>
      </c>
      <c r="J88" s="699" t="s">
        <v>169</v>
      </c>
      <c r="K88" s="699" t="s">
        <v>169</v>
      </c>
      <c r="L88" s="699" t="s">
        <v>169</v>
      </c>
      <c r="M88" s="699" t="s">
        <v>169</v>
      </c>
      <c r="N88" s="699" t="s">
        <v>169</v>
      </c>
      <c r="O88" s="695" t="s">
        <v>169</v>
      </c>
      <c r="P88" s="699" t="s">
        <v>169</v>
      </c>
      <c r="Q88" s="699" t="s">
        <v>169</v>
      </c>
      <c r="R88" s="690" t="s">
        <v>169</v>
      </c>
      <c r="S88" s="690" t="s">
        <v>169</v>
      </c>
      <c r="T88" s="690" t="s">
        <v>169</v>
      </c>
      <c r="U88" s="695" t="s">
        <v>169</v>
      </c>
      <c r="V88" s="695" t="s">
        <v>169</v>
      </c>
      <c r="W88" s="695" t="s">
        <v>169</v>
      </c>
      <c r="X88" s="695" t="s">
        <v>169</v>
      </c>
      <c r="Y88" s="695" t="s">
        <v>169</v>
      </c>
      <c r="Z88" s="699" t="s">
        <v>169</v>
      </c>
      <c r="AA88" s="699" t="s">
        <v>169</v>
      </c>
      <c r="AB88" s="230" t="s">
        <v>169</v>
      </c>
    </row>
    <row r="89" spans="1:28" ht="18.75" customHeight="1" x14ac:dyDescent="0.25">
      <c r="A89" s="693" t="s">
        <v>518</v>
      </c>
      <c r="B89" s="783" t="s">
        <v>519</v>
      </c>
      <c r="C89" s="699" t="s">
        <v>169</v>
      </c>
      <c r="D89" s="699" t="s">
        <v>169</v>
      </c>
      <c r="E89" s="696">
        <v>2546</v>
      </c>
      <c r="F89" s="696">
        <v>3283</v>
      </c>
      <c r="G89" s="696">
        <v>3208</v>
      </c>
      <c r="H89" s="696">
        <v>3123</v>
      </c>
      <c r="I89" s="696">
        <v>3318</v>
      </c>
      <c r="J89" s="696">
        <v>3992</v>
      </c>
      <c r="K89" s="696">
        <v>4039</v>
      </c>
      <c r="L89" s="696">
        <v>3971</v>
      </c>
      <c r="M89" s="696">
        <v>4468</v>
      </c>
      <c r="N89" s="696">
        <v>5881</v>
      </c>
      <c r="O89" s="695">
        <v>8680</v>
      </c>
      <c r="P89" s="686">
        <v>11612</v>
      </c>
      <c r="Q89" s="686">
        <v>13429</v>
      </c>
      <c r="R89" s="690">
        <v>14979</v>
      </c>
      <c r="S89" s="690">
        <v>15556</v>
      </c>
      <c r="T89" s="690">
        <v>14911</v>
      </c>
      <c r="U89" s="690">
        <v>12817</v>
      </c>
      <c r="V89" s="690">
        <v>13860</v>
      </c>
      <c r="W89" s="690">
        <v>13690</v>
      </c>
      <c r="X89" s="690">
        <v>12578</v>
      </c>
      <c r="Y89" s="690">
        <v>12573</v>
      </c>
      <c r="Z89" s="686">
        <v>12497</v>
      </c>
      <c r="AA89" s="686">
        <v>12260</v>
      </c>
      <c r="AB89" s="230">
        <v>-1.8964551492358164</v>
      </c>
    </row>
    <row r="90" spans="1:28" ht="18.75" customHeight="1" x14ac:dyDescent="0.25">
      <c r="A90" s="693" t="s">
        <v>520</v>
      </c>
      <c r="B90" s="783" t="s">
        <v>521</v>
      </c>
      <c r="C90" s="695" t="s">
        <v>169</v>
      </c>
      <c r="D90" s="695" t="s">
        <v>169</v>
      </c>
      <c r="E90" s="696">
        <v>239</v>
      </c>
      <c r="F90" s="696">
        <v>744</v>
      </c>
      <c r="G90" s="696">
        <v>224</v>
      </c>
      <c r="H90" s="696">
        <v>217</v>
      </c>
      <c r="I90" s="696">
        <v>151</v>
      </c>
      <c r="J90" s="696">
        <v>130</v>
      </c>
      <c r="K90" s="696">
        <v>167</v>
      </c>
      <c r="L90" s="696">
        <v>203</v>
      </c>
      <c r="M90" s="696">
        <v>191</v>
      </c>
      <c r="N90" s="696">
        <v>274</v>
      </c>
      <c r="O90" s="695">
        <v>470</v>
      </c>
      <c r="P90" s="686">
        <v>590</v>
      </c>
      <c r="Q90" s="686">
        <v>721</v>
      </c>
      <c r="R90" s="690">
        <v>791</v>
      </c>
      <c r="S90" s="690">
        <v>866</v>
      </c>
      <c r="T90" s="690">
        <v>869</v>
      </c>
      <c r="U90" s="690">
        <v>807</v>
      </c>
      <c r="V90" s="690">
        <v>1225</v>
      </c>
      <c r="W90" s="690">
        <v>1176</v>
      </c>
      <c r="X90" s="690">
        <v>1238</v>
      </c>
      <c r="Y90" s="690">
        <v>1284</v>
      </c>
      <c r="Z90" s="686">
        <v>1189</v>
      </c>
      <c r="AA90" s="686">
        <v>1322</v>
      </c>
      <c r="AB90" s="230">
        <v>11.185870479394449</v>
      </c>
    </row>
    <row r="91" spans="1:28" ht="18.75" customHeight="1" x14ac:dyDescent="0.25">
      <c r="A91" s="693">
        <v>23</v>
      </c>
      <c r="B91" s="783" t="s">
        <v>522</v>
      </c>
      <c r="C91" s="696">
        <v>99</v>
      </c>
      <c r="D91" s="696">
        <v>105</v>
      </c>
      <c r="E91" s="696">
        <v>713</v>
      </c>
      <c r="F91" s="696">
        <v>966</v>
      </c>
      <c r="G91" s="696">
        <v>1344</v>
      </c>
      <c r="H91" s="696">
        <v>1125</v>
      </c>
      <c r="I91" s="696">
        <v>1041</v>
      </c>
      <c r="J91" s="696">
        <v>1111</v>
      </c>
      <c r="K91" s="696">
        <v>803</v>
      </c>
      <c r="L91" s="696">
        <v>637</v>
      </c>
      <c r="M91" s="696">
        <v>509</v>
      </c>
      <c r="N91" s="696">
        <v>491</v>
      </c>
      <c r="O91" s="695">
        <v>624</v>
      </c>
      <c r="P91" s="686">
        <v>771</v>
      </c>
      <c r="Q91" s="686">
        <v>828</v>
      </c>
      <c r="R91" s="690">
        <v>840</v>
      </c>
      <c r="S91" s="690">
        <v>859</v>
      </c>
      <c r="T91" s="690">
        <v>889</v>
      </c>
      <c r="U91" s="690">
        <v>841</v>
      </c>
      <c r="V91" s="690">
        <v>866</v>
      </c>
      <c r="W91" s="690">
        <v>830</v>
      </c>
      <c r="X91" s="690">
        <v>798</v>
      </c>
      <c r="Y91" s="690">
        <v>795</v>
      </c>
      <c r="Z91" s="686">
        <v>784</v>
      </c>
      <c r="AA91" s="686">
        <v>793</v>
      </c>
      <c r="AB91" s="230">
        <v>1.1479591836734695</v>
      </c>
    </row>
    <row r="92" spans="1:28" ht="18.75" customHeight="1" x14ac:dyDescent="0.25">
      <c r="A92" s="693">
        <v>25</v>
      </c>
      <c r="B92" s="783" t="s">
        <v>523</v>
      </c>
      <c r="C92" s="696">
        <v>291</v>
      </c>
      <c r="D92" s="696">
        <v>403</v>
      </c>
      <c r="E92" s="696">
        <v>86</v>
      </c>
      <c r="F92" s="696">
        <v>36</v>
      </c>
      <c r="G92" s="696">
        <v>21</v>
      </c>
      <c r="H92" s="696">
        <v>4</v>
      </c>
      <c r="I92" s="696">
        <v>4</v>
      </c>
      <c r="J92" s="699" t="s">
        <v>169</v>
      </c>
      <c r="K92" s="699" t="s">
        <v>169</v>
      </c>
      <c r="L92" s="699" t="s">
        <v>169</v>
      </c>
      <c r="M92" s="699" t="s">
        <v>169</v>
      </c>
      <c r="N92" s="699" t="s">
        <v>169</v>
      </c>
      <c r="O92" s="695" t="s">
        <v>169</v>
      </c>
      <c r="P92" s="699" t="s">
        <v>169</v>
      </c>
      <c r="Q92" s="699" t="s">
        <v>169</v>
      </c>
      <c r="R92" s="690" t="s">
        <v>169</v>
      </c>
      <c r="S92" s="690" t="s">
        <v>169</v>
      </c>
      <c r="T92" s="690" t="s">
        <v>169</v>
      </c>
      <c r="U92" s="695" t="s">
        <v>169</v>
      </c>
      <c r="V92" s="695" t="s">
        <v>169</v>
      </c>
      <c r="W92" s="695" t="s">
        <v>169</v>
      </c>
      <c r="X92" s="695" t="s">
        <v>169</v>
      </c>
      <c r="Y92" s="695" t="s">
        <v>169</v>
      </c>
      <c r="Z92" s="699" t="s">
        <v>169</v>
      </c>
      <c r="AA92" s="699" t="s">
        <v>169</v>
      </c>
      <c r="AB92" s="230" t="s">
        <v>169</v>
      </c>
    </row>
    <row r="93" spans="1:28" ht="18.75" customHeight="1" x14ac:dyDescent="0.25">
      <c r="A93" s="693">
        <v>70</v>
      </c>
      <c r="B93" s="783" t="s">
        <v>524</v>
      </c>
      <c r="C93" s="695" t="s">
        <v>169</v>
      </c>
      <c r="D93" s="695" t="s">
        <v>169</v>
      </c>
      <c r="E93" s="696">
        <v>104</v>
      </c>
      <c r="F93" s="696">
        <v>139</v>
      </c>
      <c r="G93" s="696">
        <v>163</v>
      </c>
      <c r="H93" s="696">
        <v>127</v>
      </c>
      <c r="I93" s="696">
        <v>131</v>
      </c>
      <c r="J93" s="696">
        <v>124</v>
      </c>
      <c r="K93" s="696">
        <v>130</v>
      </c>
      <c r="L93" s="696">
        <v>101</v>
      </c>
      <c r="M93" s="696">
        <v>115</v>
      </c>
      <c r="N93" s="696">
        <v>134</v>
      </c>
      <c r="O93" s="695">
        <v>214</v>
      </c>
      <c r="P93" s="686">
        <v>243</v>
      </c>
      <c r="Q93" s="686">
        <v>296</v>
      </c>
      <c r="R93" s="690">
        <v>267</v>
      </c>
      <c r="S93" s="690">
        <v>298</v>
      </c>
      <c r="T93" s="690">
        <v>275</v>
      </c>
      <c r="U93" s="690">
        <v>222</v>
      </c>
      <c r="V93" s="690">
        <v>281</v>
      </c>
      <c r="W93" s="690">
        <v>337</v>
      </c>
      <c r="X93" s="690">
        <v>281</v>
      </c>
      <c r="Y93" s="690">
        <v>300</v>
      </c>
      <c r="Z93" s="686">
        <v>296</v>
      </c>
      <c r="AA93" s="686">
        <v>266</v>
      </c>
      <c r="AB93" s="230">
        <v>-10.135135135135135</v>
      </c>
    </row>
    <row r="94" spans="1:28" ht="18.75" customHeight="1" x14ac:dyDescent="0.25">
      <c r="A94" s="693">
        <v>71</v>
      </c>
      <c r="B94" s="783" t="s">
        <v>525</v>
      </c>
      <c r="C94" s="699" t="s">
        <v>169</v>
      </c>
      <c r="D94" s="699" t="s">
        <v>169</v>
      </c>
      <c r="E94" s="696">
        <v>99</v>
      </c>
      <c r="F94" s="696">
        <v>124</v>
      </c>
      <c r="G94" s="696">
        <v>101</v>
      </c>
      <c r="H94" s="696">
        <v>108</v>
      </c>
      <c r="I94" s="696">
        <v>116</v>
      </c>
      <c r="J94" s="696">
        <v>134</v>
      </c>
      <c r="K94" s="696">
        <v>153</v>
      </c>
      <c r="L94" s="696">
        <v>159</v>
      </c>
      <c r="M94" s="696">
        <v>176</v>
      </c>
      <c r="N94" s="696">
        <v>289</v>
      </c>
      <c r="O94" s="695">
        <v>368</v>
      </c>
      <c r="P94" s="686">
        <v>574</v>
      </c>
      <c r="Q94" s="686">
        <v>631</v>
      </c>
      <c r="R94" s="690">
        <v>1056</v>
      </c>
      <c r="S94" s="690">
        <v>948</v>
      </c>
      <c r="T94" s="690">
        <v>987</v>
      </c>
      <c r="U94" s="690">
        <v>1028</v>
      </c>
      <c r="V94" s="690">
        <v>1238</v>
      </c>
      <c r="W94" s="690">
        <v>1165</v>
      </c>
      <c r="X94" s="690">
        <v>988</v>
      </c>
      <c r="Y94" s="690">
        <v>968</v>
      </c>
      <c r="Z94" s="686">
        <v>1027</v>
      </c>
      <c r="AA94" s="686">
        <v>958</v>
      </c>
      <c r="AB94" s="230">
        <v>-6.7185978578383638</v>
      </c>
    </row>
    <row r="95" spans="1:28" ht="18.75" customHeight="1" x14ac:dyDescent="0.25">
      <c r="A95" s="693">
        <v>72</v>
      </c>
      <c r="B95" s="783" t="s">
        <v>526</v>
      </c>
      <c r="C95" s="699" t="s">
        <v>169</v>
      </c>
      <c r="D95" s="699" t="s">
        <v>169</v>
      </c>
      <c r="E95" s="696">
        <v>21</v>
      </c>
      <c r="F95" s="696">
        <v>33</v>
      </c>
      <c r="G95" s="696">
        <v>43</v>
      </c>
      <c r="H95" s="696">
        <v>57</v>
      </c>
      <c r="I95" s="696">
        <v>52</v>
      </c>
      <c r="J95" s="696">
        <v>58</v>
      </c>
      <c r="K95" s="696">
        <v>66</v>
      </c>
      <c r="L95" s="696">
        <v>59</v>
      </c>
      <c r="M95" s="696">
        <v>70</v>
      </c>
      <c r="N95" s="696">
        <v>123</v>
      </c>
      <c r="O95" s="695">
        <v>184</v>
      </c>
      <c r="P95" s="686">
        <v>3</v>
      </c>
      <c r="Q95" s="690" t="s">
        <v>169</v>
      </c>
      <c r="R95" s="690" t="s">
        <v>169</v>
      </c>
      <c r="S95" s="690" t="s">
        <v>169</v>
      </c>
      <c r="T95" s="690" t="s">
        <v>169</v>
      </c>
      <c r="U95" s="690" t="s">
        <v>169</v>
      </c>
      <c r="V95" s="690" t="s">
        <v>169</v>
      </c>
      <c r="W95" s="690" t="s">
        <v>169</v>
      </c>
      <c r="X95" s="690" t="s">
        <v>169</v>
      </c>
      <c r="Y95" s="690" t="s">
        <v>169</v>
      </c>
      <c r="Z95" s="690" t="s">
        <v>169</v>
      </c>
      <c r="AA95" s="690" t="s">
        <v>169</v>
      </c>
      <c r="AB95" s="230" t="s">
        <v>169</v>
      </c>
    </row>
    <row r="96" spans="1:28" ht="18.75" customHeight="1" x14ac:dyDescent="0.25">
      <c r="A96" s="693">
        <v>73</v>
      </c>
      <c r="B96" s="783" t="s">
        <v>527</v>
      </c>
      <c r="C96" s="696">
        <v>678</v>
      </c>
      <c r="D96" s="696">
        <v>792</v>
      </c>
      <c r="E96" s="696">
        <v>682</v>
      </c>
      <c r="F96" s="696">
        <v>463</v>
      </c>
      <c r="G96" s="696">
        <v>361</v>
      </c>
      <c r="H96" s="696">
        <v>328</v>
      </c>
      <c r="I96" s="696">
        <v>195</v>
      </c>
      <c r="J96" s="696">
        <v>185</v>
      </c>
      <c r="K96" s="696">
        <v>146</v>
      </c>
      <c r="L96" s="696">
        <v>176</v>
      </c>
      <c r="M96" s="696">
        <v>192</v>
      </c>
      <c r="N96" s="696">
        <v>194</v>
      </c>
      <c r="O96" s="695">
        <v>213</v>
      </c>
      <c r="P96" s="686">
        <v>239</v>
      </c>
      <c r="Q96" s="686">
        <v>273</v>
      </c>
      <c r="R96" s="690">
        <v>285</v>
      </c>
      <c r="S96" s="690">
        <v>274</v>
      </c>
      <c r="T96" s="690">
        <v>335</v>
      </c>
      <c r="U96" s="690">
        <v>255</v>
      </c>
      <c r="V96" s="690">
        <v>280</v>
      </c>
      <c r="W96" s="690">
        <v>263</v>
      </c>
      <c r="X96" s="690">
        <v>298</v>
      </c>
      <c r="Y96" s="690">
        <v>318</v>
      </c>
      <c r="Z96" s="686">
        <v>289</v>
      </c>
      <c r="AA96" s="686">
        <v>329</v>
      </c>
      <c r="AB96" s="230">
        <v>13.84083044982699</v>
      </c>
    </row>
    <row r="97" spans="1:28" ht="18.75" customHeight="1" x14ac:dyDescent="0.25">
      <c r="A97" s="693">
        <v>74</v>
      </c>
      <c r="B97" s="783" t="s">
        <v>528</v>
      </c>
      <c r="C97" s="696">
        <v>1917</v>
      </c>
      <c r="D97" s="696">
        <v>1987</v>
      </c>
      <c r="E97" s="696">
        <v>398</v>
      </c>
      <c r="F97" s="696">
        <v>120</v>
      </c>
      <c r="G97" s="696">
        <v>64</v>
      </c>
      <c r="H97" s="696">
        <v>149</v>
      </c>
      <c r="I97" s="696">
        <v>121</v>
      </c>
      <c r="J97" s="699" t="s">
        <v>169</v>
      </c>
      <c r="K97" s="699" t="s">
        <v>169</v>
      </c>
      <c r="L97" s="699" t="s">
        <v>169</v>
      </c>
      <c r="M97" s="699" t="s">
        <v>169</v>
      </c>
      <c r="N97" s="699" t="s">
        <v>169</v>
      </c>
      <c r="O97" s="695" t="s">
        <v>169</v>
      </c>
      <c r="P97" s="699" t="s">
        <v>169</v>
      </c>
      <c r="Q97" s="699" t="s">
        <v>169</v>
      </c>
      <c r="R97" s="690" t="s">
        <v>169</v>
      </c>
      <c r="S97" s="690" t="s">
        <v>169</v>
      </c>
      <c r="T97" s="690" t="s">
        <v>169</v>
      </c>
      <c r="U97" s="695" t="s">
        <v>169</v>
      </c>
      <c r="V97" s="695" t="s">
        <v>169</v>
      </c>
      <c r="W97" s="695" t="s">
        <v>169</v>
      </c>
      <c r="X97" s="695" t="s">
        <v>169</v>
      </c>
      <c r="Y97" s="695" t="s">
        <v>169</v>
      </c>
      <c r="Z97" s="699" t="s">
        <v>169</v>
      </c>
      <c r="AA97" s="699" t="s">
        <v>169</v>
      </c>
      <c r="AB97" s="230" t="s">
        <v>169</v>
      </c>
    </row>
    <row r="98" spans="1:28" ht="18.75" customHeight="1" x14ac:dyDescent="0.25">
      <c r="A98" s="693" t="s">
        <v>529</v>
      </c>
      <c r="B98" s="783" t="s">
        <v>530</v>
      </c>
      <c r="C98" s="695" t="s">
        <v>169</v>
      </c>
      <c r="D98" s="695" t="s">
        <v>169</v>
      </c>
      <c r="E98" s="696">
        <v>186</v>
      </c>
      <c r="F98" s="696">
        <v>237</v>
      </c>
      <c r="G98" s="696">
        <v>322</v>
      </c>
      <c r="H98" s="696">
        <v>274</v>
      </c>
      <c r="I98" s="696">
        <v>313</v>
      </c>
      <c r="J98" s="696">
        <v>393</v>
      </c>
      <c r="K98" s="696">
        <v>309</v>
      </c>
      <c r="L98" s="696">
        <v>371</v>
      </c>
      <c r="M98" s="696">
        <v>370</v>
      </c>
      <c r="N98" s="696">
        <v>459</v>
      </c>
      <c r="O98" s="695">
        <v>677</v>
      </c>
      <c r="P98" s="686">
        <v>962</v>
      </c>
      <c r="Q98" s="686">
        <v>1156</v>
      </c>
      <c r="R98" s="690">
        <v>4625</v>
      </c>
      <c r="S98" s="690">
        <v>5879</v>
      </c>
      <c r="T98" s="690">
        <v>6330</v>
      </c>
      <c r="U98" s="690">
        <v>6393</v>
      </c>
      <c r="V98" s="690">
        <v>6807</v>
      </c>
      <c r="W98" s="690">
        <v>6675</v>
      </c>
      <c r="X98" s="690">
        <v>7280</v>
      </c>
      <c r="Y98" s="690">
        <v>7197</v>
      </c>
      <c r="Z98" s="686">
        <v>7327</v>
      </c>
      <c r="AA98" s="686">
        <v>7364</v>
      </c>
      <c r="AB98" s="230">
        <v>0.50498157499658791</v>
      </c>
    </row>
    <row r="99" spans="1:28" ht="18.75" customHeight="1" x14ac:dyDescent="0.25">
      <c r="A99" s="693" t="s">
        <v>531</v>
      </c>
      <c r="B99" s="783" t="s">
        <v>532</v>
      </c>
      <c r="C99" s="696">
        <v>9735</v>
      </c>
      <c r="D99" s="696">
        <v>9873</v>
      </c>
      <c r="E99" s="696">
        <v>11593</v>
      </c>
      <c r="F99" s="696">
        <v>11363</v>
      </c>
      <c r="G99" s="696">
        <v>10209</v>
      </c>
      <c r="H99" s="696">
        <v>8848</v>
      </c>
      <c r="I99" s="699" t="s">
        <v>169</v>
      </c>
      <c r="J99" s="699" t="s">
        <v>169</v>
      </c>
      <c r="K99" s="699" t="s">
        <v>169</v>
      </c>
      <c r="L99" s="699" t="s">
        <v>169</v>
      </c>
      <c r="M99" s="699" t="s">
        <v>169</v>
      </c>
      <c r="N99" s="699" t="s">
        <v>169</v>
      </c>
      <c r="O99" s="695" t="s">
        <v>169</v>
      </c>
      <c r="P99" s="699" t="s">
        <v>169</v>
      </c>
      <c r="Q99" s="699" t="s">
        <v>169</v>
      </c>
      <c r="R99" s="690" t="s">
        <v>169</v>
      </c>
      <c r="S99" s="690" t="s">
        <v>169</v>
      </c>
      <c r="T99" s="690" t="s">
        <v>169</v>
      </c>
      <c r="U99" s="695" t="s">
        <v>169</v>
      </c>
      <c r="V99" s="695" t="s">
        <v>169</v>
      </c>
      <c r="W99" s="695" t="s">
        <v>169</v>
      </c>
      <c r="X99" s="695" t="s">
        <v>169</v>
      </c>
      <c r="Y99" s="695" t="s">
        <v>169</v>
      </c>
      <c r="Z99" s="699" t="s">
        <v>169</v>
      </c>
      <c r="AA99" s="699" t="s">
        <v>169</v>
      </c>
      <c r="AB99" s="230" t="s">
        <v>169</v>
      </c>
    </row>
    <row r="100" spans="1:28" ht="18.75" customHeight="1" x14ac:dyDescent="0.25">
      <c r="A100" s="693" t="s">
        <v>533</v>
      </c>
      <c r="B100" s="783" t="s">
        <v>534</v>
      </c>
      <c r="C100" s="699" t="s">
        <v>169</v>
      </c>
      <c r="D100" s="699" t="s">
        <v>169</v>
      </c>
      <c r="E100" s="699" t="s">
        <v>169</v>
      </c>
      <c r="F100" s="699" t="s">
        <v>169</v>
      </c>
      <c r="G100" s="699" t="s">
        <v>169</v>
      </c>
      <c r="H100" s="699" t="s">
        <v>169</v>
      </c>
      <c r="I100" s="696">
        <v>298</v>
      </c>
      <c r="J100" s="696">
        <v>354</v>
      </c>
      <c r="K100" s="696">
        <v>198</v>
      </c>
      <c r="L100" s="696">
        <v>163</v>
      </c>
      <c r="M100" s="696">
        <v>160</v>
      </c>
      <c r="N100" s="696">
        <v>200</v>
      </c>
      <c r="O100" s="695">
        <v>212</v>
      </c>
      <c r="P100" s="686">
        <v>203</v>
      </c>
      <c r="Q100" s="686">
        <v>296</v>
      </c>
      <c r="R100" s="690">
        <v>481</v>
      </c>
      <c r="S100" s="690">
        <v>406</v>
      </c>
      <c r="T100" s="690">
        <v>338</v>
      </c>
      <c r="U100" s="690">
        <v>240</v>
      </c>
      <c r="V100" s="690">
        <v>884</v>
      </c>
      <c r="W100" s="690">
        <v>895</v>
      </c>
      <c r="X100" s="690">
        <v>1620</v>
      </c>
      <c r="Y100" s="690">
        <v>12026</v>
      </c>
      <c r="Z100" s="686">
        <v>4347</v>
      </c>
      <c r="AA100" s="686">
        <v>12388</v>
      </c>
      <c r="AB100" s="230" t="s">
        <v>169</v>
      </c>
    </row>
    <row r="101" spans="1:28" ht="18.75" customHeight="1" x14ac:dyDescent="0.25">
      <c r="A101" s="693" t="s">
        <v>535</v>
      </c>
      <c r="B101" s="783" t="s">
        <v>536</v>
      </c>
      <c r="C101" s="699" t="s">
        <v>169</v>
      </c>
      <c r="D101" s="699" t="s">
        <v>169</v>
      </c>
      <c r="E101" s="699" t="s">
        <v>169</v>
      </c>
      <c r="F101" s="699" t="s">
        <v>169</v>
      </c>
      <c r="G101" s="699" t="s">
        <v>169</v>
      </c>
      <c r="H101" s="699" t="s">
        <v>169</v>
      </c>
      <c r="I101" s="696">
        <v>5</v>
      </c>
      <c r="J101" s="696">
        <v>15</v>
      </c>
      <c r="K101" s="696">
        <v>12</v>
      </c>
      <c r="L101" s="696">
        <v>11</v>
      </c>
      <c r="M101" s="696">
        <v>16</v>
      </c>
      <c r="N101" s="696">
        <v>18</v>
      </c>
      <c r="O101" s="695">
        <v>19</v>
      </c>
      <c r="P101" s="686">
        <v>34</v>
      </c>
      <c r="Q101" s="686">
        <v>45</v>
      </c>
      <c r="R101" s="690">
        <v>32</v>
      </c>
      <c r="S101" s="690">
        <v>35</v>
      </c>
      <c r="T101" s="690">
        <v>42</v>
      </c>
      <c r="U101" s="690">
        <v>43</v>
      </c>
      <c r="V101" s="690">
        <v>56</v>
      </c>
      <c r="W101" s="690">
        <v>51</v>
      </c>
      <c r="X101" s="690">
        <v>64</v>
      </c>
      <c r="Y101" s="690">
        <v>45</v>
      </c>
      <c r="Z101" s="686">
        <v>57</v>
      </c>
      <c r="AA101" s="686">
        <v>43</v>
      </c>
      <c r="AB101" s="230" t="s">
        <v>403</v>
      </c>
    </row>
    <row r="102" spans="1:28" ht="18.75" customHeight="1" x14ac:dyDescent="0.25">
      <c r="A102" s="693" t="s">
        <v>537</v>
      </c>
      <c r="B102" s="783" t="s">
        <v>538</v>
      </c>
      <c r="C102" s="699" t="s">
        <v>169</v>
      </c>
      <c r="D102" s="699" t="s">
        <v>169</v>
      </c>
      <c r="E102" s="699" t="s">
        <v>169</v>
      </c>
      <c r="F102" s="699" t="s">
        <v>169</v>
      </c>
      <c r="G102" s="699" t="s">
        <v>169</v>
      </c>
      <c r="H102" s="699" t="s">
        <v>169</v>
      </c>
      <c r="I102" s="696">
        <v>7530</v>
      </c>
      <c r="J102" s="696">
        <v>7516</v>
      </c>
      <c r="K102" s="696">
        <v>7201</v>
      </c>
      <c r="L102" s="696">
        <v>7006</v>
      </c>
      <c r="M102" s="696">
        <v>6420</v>
      </c>
      <c r="N102" s="696">
        <v>6411</v>
      </c>
      <c r="O102" s="695">
        <v>7847</v>
      </c>
      <c r="P102" s="686">
        <v>8266</v>
      </c>
      <c r="Q102" s="686">
        <v>9190</v>
      </c>
      <c r="R102" s="690">
        <v>9960</v>
      </c>
      <c r="S102" s="690">
        <v>10185</v>
      </c>
      <c r="T102" s="690">
        <v>10774</v>
      </c>
      <c r="U102" s="690">
        <v>10159</v>
      </c>
      <c r="V102" s="690">
        <v>12455</v>
      </c>
      <c r="W102" s="690">
        <v>12885</v>
      </c>
      <c r="X102" s="690">
        <v>13112</v>
      </c>
      <c r="Y102" s="690">
        <v>16856</v>
      </c>
      <c r="Z102" s="686">
        <v>13932</v>
      </c>
      <c r="AA102" s="686">
        <v>17351</v>
      </c>
      <c r="AB102" s="230" t="s">
        <v>169</v>
      </c>
    </row>
    <row r="103" spans="1:28" ht="24.75" customHeight="1" x14ac:dyDescent="0.25">
      <c r="A103" s="693"/>
      <c r="B103" s="779" t="s">
        <v>539</v>
      </c>
      <c r="C103" s="229">
        <v>44357</v>
      </c>
      <c r="D103" s="229">
        <v>47140</v>
      </c>
      <c r="E103" s="229">
        <v>46911</v>
      </c>
      <c r="F103" s="229">
        <v>45844</v>
      </c>
      <c r="G103" s="229">
        <v>42268</v>
      </c>
      <c r="H103" s="229">
        <v>39493</v>
      </c>
      <c r="I103" s="229">
        <v>37089</v>
      </c>
      <c r="J103" s="229">
        <v>37932</v>
      </c>
      <c r="K103" s="229">
        <v>38048</v>
      </c>
      <c r="L103" s="229">
        <v>36722</v>
      </c>
      <c r="M103" s="229">
        <v>37225</v>
      </c>
      <c r="N103" s="229">
        <v>43481</v>
      </c>
      <c r="O103" s="234">
        <v>59156</v>
      </c>
      <c r="P103" s="229">
        <v>70972</v>
      </c>
      <c r="Q103" s="229">
        <v>81030</v>
      </c>
      <c r="R103" s="230">
        <v>97929</v>
      </c>
      <c r="S103" s="230">
        <v>104383</v>
      </c>
      <c r="T103" s="230">
        <v>104091</v>
      </c>
      <c r="U103" s="230">
        <v>91999</v>
      </c>
      <c r="V103" s="230">
        <v>123318</v>
      </c>
      <c r="W103" s="230">
        <v>125885</v>
      </c>
      <c r="X103" s="230">
        <v>120816</v>
      </c>
      <c r="Y103" s="230">
        <v>137539</v>
      </c>
      <c r="Z103" s="229">
        <v>124714</v>
      </c>
      <c r="AA103" s="229">
        <v>138421</v>
      </c>
      <c r="AB103" s="230">
        <v>10.990746828744166</v>
      </c>
    </row>
    <row r="104" spans="1:28" ht="27.75" customHeight="1" x14ac:dyDescent="0.25">
      <c r="A104" s="700"/>
      <c r="B104" s="778" t="s">
        <v>540</v>
      </c>
      <c r="C104" s="237">
        <v>56652</v>
      </c>
      <c r="D104" s="237">
        <v>60412</v>
      </c>
      <c r="E104" s="237">
        <v>60924</v>
      </c>
      <c r="F104" s="237">
        <v>60287</v>
      </c>
      <c r="G104" s="237">
        <v>56042</v>
      </c>
      <c r="H104" s="237">
        <v>52166</v>
      </c>
      <c r="I104" s="237">
        <v>50185</v>
      </c>
      <c r="J104" s="237">
        <v>53006</v>
      </c>
      <c r="K104" s="237">
        <v>53940</v>
      </c>
      <c r="L104" s="237">
        <v>52760</v>
      </c>
      <c r="M104" s="237">
        <v>53599</v>
      </c>
      <c r="N104" s="237">
        <v>64232</v>
      </c>
      <c r="O104" s="239">
        <v>88576</v>
      </c>
      <c r="P104" s="237">
        <v>107333</v>
      </c>
      <c r="Q104" s="237">
        <v>123057</v>
      </c>
      <c r="R104" s="238">
        <v>152838</v>
      </c>
      <c r="S104" s="238">
        <v>164384</v>
      </c>
      <c r="T104" s="238">
        <v>163310</v>
      </c>
      <c r="U104" s="238">
        <v>147700</v>
      </c>
      <c r="V104" s="238">
        <v>193357</v>
      </c>
      <c r="W104" s="238">
        <v>194729</v>
      </c>
      <c r="X104" s="238">
        <v>188644</v>
      </c>
      <c r="Y104" s="238">
        <v>209079</v>
      </c>
      <c r="Z104" s="237">
        <v>193684</v>
      </c>
      <c r="AA104" s="237">
        <v>211225</v>
      </c>
      <c r="AB104" s="238">
        <v>9.0565044092439226</v>
      </c>
    </row>
    <row r="105" spans="1:28" ht="39.75" customHeight="1" x14ac:dyDescent="0.25">
      <c r="A105" s="693" t="s">
        <v>541</v>
      </c>
      <c r="B105" s="783" t="s">
        <v>542</v>
      </c>
      <c r="C105" s="696">
        <v>11066</v>
      </c>
      <c r="D105" s="696">
        <v>10110</v>
      </c>
      <c r="E105" s="696">
        <v>7934</v>
      </c>
      <c r="F105" s="696">
        <v>8760</v>
      </c>
      <c r="G105" s="696">
        <v>9454</v>
      </c>
      <c r="H105" s="696">
        <v>9173</v>
      </c>
      <c r="I105" s="696">
        <v>9350</v>
      </c>
      <c r="J105" s="696">
        <v>8182</v>
      </c>
      <c r="K105" s="696">
        <v>7729</v>
      </c>
      <c r="L105" s="696">
        <v>6770</v>
      </c>
      <c r="M105" s="696">
        <v>6120</v>
      </c>
      <c r="N105" s="696">
        <v>5789</v>
      </c>
      <c r="O105" s="695">
        <v>5398</v>
      </c>
      <c r="P105" s="686">
        <v>5420</v>
      </c>
      <c r="Q105" s="686">
        <v>5957</v>
      </c>
      <c r="R105" s="690">
        <v>7583</v>
      </c>
      <c r="S105" s="690">
        <v>8157</v>
      </c>
      <c r="T105" s="690">
        <v>8437</v>
      </c>
      <c r="U105" s="690">
        <v>5609</v>
      </c>
      <c r="V105" s="690">
        <v>5992</v>
      </c>
      <c r="W105" s="690">
        <v>7377</v>
      </c>
      <c r="X105" s="690">
        <v>10322</v>
      </c>
      <c r="Y105" s="690">
        <v>15481</v>
      </c>
      <c r="Z105" s="686">
        <v>11973</v>
      </c>
      <c r="AA105" s="686">
        <v>18534</v>
      </c>
      <c r="AB105" s="230">
        <v>54.798296166374335</v>
      </c>
    </row>
    <row r="106" spans="1:28" ht="21" customHeight="1" x14ac:dyDescent="0.25">
      <c r="A106" s="693" t="s">
        <v>543</v>
      </c>
      <c r="B106" s="783" t="s">
        <v>544</v>
      </c>
      <c r="C106" s="696">
        <v>99205</v>
      </c>
      <c r="D106" s="696">
        <v>93626</v>
      </c>
      <c r="E106" s="696">
        <v>83076</v>
      </c>
      <c r="F106" s="696">
        <v>89438</v>
      </c>
      <c r="G106" s="696">
        <v>91922</v>
      </c>
      <c r="H106" s="696">
        <v>75600</v>
      </c>
      <c r="I106" s="696">
        <v>70780</v>
      </c>
      <c r="J106" s="696">
        <v>66923</v>
      </c>
      <c r="K106" s="696">
        <v>68460</v>
      </c>
      <c r="L106" s="696">
        <v>67918</v>
      </c>
      <c r="M106" s="696">
        <v>59035</v>
      </c>
      <c r="N106" s="696">
        <v>52039</v>
      </c>
      <c r="O106" s="695">
        <v>44756</v>
      </c>
      <c r="P106" s="686">
        <v>45815</v>
      </c>
      <c r="Q106" s="686">
        <v>53461</v>
      </c>
      <c r="R106" s="690">
        <v>69669</v>
      </c>
      <c r="S106" s="690">
        <v>77776</v>
      </c>
      <c r="T106" s="690">
        <v>81758</v>
      </c>
      <c r="U106" s="690">
        <v>54041</v>
      </c>
      <c r="V106" s="690">
        <v>60344</v>
      </c>
      <c r="W106" s="690">
        <v>67633</v>
      </c>
      <c r="X106" s="690">
        <v>70651</v>
      </c>
      <c r="Y106" s="690">
        <v>63675</v>
      </c>
      <c r="Z106" s="686">
        <v>69867</v>
      </c>
      <c r="AA106" s="686">
        <v>61763</v>
      </c>
      <c r="AB106" s="230">
        <v>-11.599181301615927</v>
      </c>
    </row>
    <row r="107" spans="1:28" ht="17.25" customHeight="1" x14ac:dyDescent="0.25">
      <c r="A107" s="700"/>
      <c r="B107" s="778" t="s">
        <v>545</v>
      </c>
      <c r="C107" s="237">
        <v>110271</v>
      </c>
      <c r="D107" s="237">
        <v>103736</v>
      </c>
      <c r="E107" s="237">
        <v>91010</v>
      </c>
      <c r="F107" s="237">
        <v>98198</v>
      </c>
      <c r="G107" s="237">
        <v>101376</v>
      </c>
      <c r="H107" s="237">
        <v>84773</v>
      </c>
      <c r="I107" s="237">
        <v>80130</v>
      </c>
      <c r="J107" s="237">
        <v>75105</v>
      </c>
      <c r="K107" s="237">
        <v>76189</v>
      </c>
      <c r="L107" s="237">
        <v>74688</v>
      </c>
      <c r="M107" s="237">
        <v>65155</v>
      </c>
      <c r="N107" s="237">
        <v>57828</v>
      </c>
      <c r="O107" s="239">
        <v>50154</v>
      </c>
      <c r="P107" s="237">
        <v>51235</v>
      </c>
      <c r="Q107" s="237">
        <v>59418</v>
      </c>
      <c r="R107" s="238">
        <v>77252</v>
      </c>
      <c r="S107" s="238">
        <v>85933</v>
      </c>
      <c r="T107" s="238">
        <v>90195</v>
      </c>
      <c r="U107" s="238">
        <v>59650</v>
      </c>
      <c r="V107" s="238">
        <v>66336</v>
      </c>
      <c r="W107" s="238">
        <v>75010</v>
      </c>
      <c r="X107" s="238">
        <v>80973</v>
      </c>
      <c r="Y107" s="238">
        <v>79156</v>
      </c>
      <c r="Z107" s="237">
        <v>81840</v>
      </c>
      <c r="AA107" s="237">
        <v>80297</v>
      </c>
      <c r="AB107" s="238">
        <v>-1.8853861192570869</v>
      </c>
    </row>
    <row r="108" spans="1:28" ht="34.5" customHeight="1" x14ac:dyDescent="0.25">
      <c r="A108" s="693"/>
      <c r="B108" s="787" t="s">
        <v>546</v>
      </c>
      <c r="C108" s="701">
        <v>437583</v>
      </c>
      <c r="D108" s="701">
        <v>402345</v>
      </c>
      <c r="E108" s="701">
        <v>321507</v>
      </c>
      <c r="F108" s="701">
        <v>300517</v>
      </c>
      <c r="G108" s="701">
        <v>292260</v>
      </c>
      <c r="H108" s="701">
        <v>280696</v>
      </c>
      <c r="I108" s="701">
        <v>284431</v>
      </c>
      <c r="J108" s="701">
        <v>268606</v>
      </c>
      <c r="K108" s="701">
        <v>258165</v>
      </c>
      <c r="L108" s="701">
        <v>245312</v>
      </c>
      <c r="M108" s="701">
        <v>227276</v>
      </c>
      <c r="N108" s="701">
        <v>211988</v>
      </c>
      <c r="O108" s="701">
        <v>196554</v>
      </c>
      <c r="P108" s="701">
        <v>194695</v>
      </c>
      <c r="Q108" s="701">
        <v>206018</v>
      </c>
      <c r="R108" s="699" t="s">
        <v>169</v>
      </c>
      <c r="S108" s="699" t="s">
        <v>169</v>
      </c>
      <c r="T108" s="699" t="s">
        <v>169</v>
      </c>
      <c r="U108" s="699" t="s">
        <v>169</v>
      </c>
      <c r="V108" s="699" t="s">
        <v>169</v>
      </c>
      <c r="W108" s="699" t="s">
        <v>169</v>
      </c>
      <c r="X108" s="699" t="s">
        <v>169</v>
      </c>
      <c r="Y108" s="699" t="s">
        <v>169</v>
      </c>
      <c r="Z108" s="699" t="s">
        <v>169</v>
      </c>
      <c r="AA108" s="699" t="s">
        <v>169</v>
      </c>
      <c r="AB108" s="230" t="s">
        <v>169</v>
      </c>
    </row>
    <row r="109" spans="1:28" ht="16.5" customHeight="1" x14ac:dyDescent="0.25">
      <c r="A109" s="693"/>
      <c r="B109" s="787" t="s">
        <v>547</v>
      </c>
      <c r="C109" s="688" t="s">
        <v>169</v>
      </c>
      <c r="D109" s="686">
        <v>15716</v>
      </c>
      <c r="E109" s="686">
        <v>13258</v>
      </c>
      <c r="F109" s="686">
        <v>11552</v>
      </c>
      <c r="G109" s="686">
        <v>12750</v>
      </c>
      <c r="H109" s="686">
        <v>10058</v>
      </c>
      <c r="I109" s="686">
        <v>9092</v>
      </c>
      <c r="J109" s="686">
        <v>7658</v>
      </c>
      <c r="K109" s="686">
        <v>6023</v>
      </c>
      <c r="L109" s="686">
        <v>4835</v>
      </c>
      <c r="M109" s="686">
        <v>3562</v>
      </c>
      <c r="N109" s="686">
        <v>3036</v>
      </c>
      <c r="O109" s="695">
        <v>3319</v>
      </c>
      <c r="P109" s="695">
        <v>3233</v>
      </c>
      <c r="Q109" s="695">
        <v>3762</v>
      </c>
      <c r="R109" s="695" t="s">
        <v>169</v>
      </c>
      <c r="S109" s="695" t="s">
        <v>169</v>
      </c>
      <c r="T109" s="695" t="s">
        <v>169</v>
      </c>
      <c r="U109" s="695" t="s">
        <v>169</v>
      </c>
      <c r="V109" s="695" t="s">
        <v>169</v>
      </c>
      <c r="W109" s="695" t="s">
        <v>169</v>
      </c>
      <c r="X109" s="695" t="s">
        <v>169</v>
      </c>
      <c r="Y109" s="695" t="s">
        <v>169</v>
      </c>
      <c r="Z109" s="695" t="s">
        <v>169</v>
      </c>
      <c r="AA109" s="695" t="s">
        <v>169</v>
      </c>
      <c r="AB109" s="230" t="s">
        <v>169</v>
      </c>
    </row>
    <row r="110" spans="1:28" ht="19.5" customHeight="1" x14ac:dyDescent="0.25">
      <c r="A110" s="693"/>
      <c r="B110" s="787" t="s">
        <v>548</v>
      </c>
      <c r="C110" s="688" t="s">
        <v>169</v>
      </c>
      <c r="D110" s="688" t="s">
        <v>169</v>
      </c>
      <c r="E110" s="688" t="s">
        <v>169</v>
      </c>
      <c r="F110" s="688" t="s">
        <v>169</v>
      </c>
      <c r="G110" s="688" t="s">
        <v>169</v>
      </c>
      <c r="H110" s="688" t="s">
        <v>169</v>
      </c>
      <c r="I110" s="688" t="s">
        <v>169</v>
      </c>
      <c r="J110" s="688" t="s">
        <v>169</v>
      </c>
      <c r="K110" s="688" t="s">
        <v>169</v>
      </c>
      <c r="L110" s="688" t="s">
        <v>169</v>
      </c>
      <c r="M110" s="688" t="s">
        <v>169</v>
      </c>
      <c r="N110" s="688" t="s">
        <v>169</v>
      </c>
      <c r="O110" s="688" t="s">
        <v>169</v>
      </c>
      <c r="P110" s="688" t="s">
        <v>169</v>
      </c>
      <c r="Q110" s="688" t="s">
        <v>169</v>
      </c>
      <c r="R110" s="690">
        <v>309773</v>
      </c>
      <c r="S110" s="690">
        <v>295091</v>
      </c>
      <c r="T110" s="690">
        <v>268789</v>
      </c>
      <c r="U110" s="690">
        <v>195994</v>
      </c>
      <c r="V110" s="690">
        <v>191258</v>
      </c>
      <c r="W110" s="690">
        <v>190842</v>
      </c>
      <c r="X110" s="690">
        <v>182938</v>
      </c>
      <c r="Y110" s="690">
        <v>166401</v>
      </c>
      <c r="Z110" s="690">
        <v>181248</v>
      </c>
      <c r="AA110" s="690">
        <v>161375</v>
      </c>
      <c r="AB110" s="230">
        <v>-10.964534781073446</v>
      </c>
    </row>
    <row r="111" spans="1:28" ht="20.25" customHeight="1" x14ac:dyDescent="0.25">
      <c r="A111" s="693"/>
      <c r="B111" s="787" t="s">
        <v>549</v>
      </c>
      <c r="C111" s="688" t="s">
        <v>169</v>
      </c>
      <c r="D111" s="688" t="s">
        <v>169</v>
      </c>
      <c r="E111" s="688" t="s">
        <v>169</v>
      </c>
      <c r="F111" s="688" t="s">
        <v>169</v>
      </c>
      <c r="G111" s="688" t="s">
        <v>169</v>
      </c>
      <c r="H111" s="688" t="s">
        <v>169</v>
      </c>
      <c r="I111" s="688" t="s">
        <v>169</v>
      </c>
      <c r="J111" s="688" t="s">
        <v>169</v>
      </c>
      <c r="K111" s="688" t="s">
        <v>169</v>
      </c>
      <c r="L111" s="688" t="s">
        <v>169</v>
      </c>
      <c r="M111" s="688" t="s">
        <v>169</v>
      </c>
      <c r="N111" s="688" t="s">
        <v>169</v>
      </c>
      <c r="O111" s="688" t="s">
        <v>169</v>
      </c>
      <c r="P111" s="688" t="s">
        <v>169</v>
      </c>
      <c r="Q111" s="688" t="s">
        <v>169</v>
      </c>
      <c r="R111" s="690">
        <v>3227</v>
      </c>
      <c r="S111" s="690">
        <v>3008</v>
      </c>
      <c r="T111" s="690">
        <v>2894</v>
      </c>
      <c r="U111" s="690">
        <v>2030</v>
      </c>
      <c r="V111" s="690">
        <v>1811</v>
      </c>
      <c r="W111" s="690">
        <v>1155</v>
      </c>
      <c r="X111" s="690">
        <v>1320</v>
      </c>
      <c r="Y111" s="690">
        <v>1510</v>
      </c>
      <c r="Z111" s="690">
        <v>1405</v>
      </c>
      <c r="AA111" s="690">
        <v>1326</v>
      </c>
      <c r="AB111" s="230">
        <v>-5.622775800711743</v>
      </c>
    </row>
    <row r="112" spans="1:28" ht="20.25" customHeight="1" x14ac:dyDescent="0.25">
      <c r="A112" s="702"/>
      <c r="B112" s="788" t="s">
        <v>550</v>
      </c>
      <c r="C112" s="695" t="s">
        <v>169</v>
      </c>
      <c r="D112" s="695" t="s">
        <v>169</v>
      </c>
      <c r="E112" s="695" t="s">
        <v>169</v>
      </c>
      <c r="F112" s="695" t="s">
        <v>169</v>
      </c>
      <c r="G112" s="695" t="s">
        <v>169</v>
      </c>
      <c r="H112" s="695" t="s">
        <v>169</v>
      </c>
      <c r="I112" s="695" t="s">
        <v>169</v>
      </c>
      <c r="J112" s="695" t="s">
        <v>169</v>
      </c>
      <c r="K112" s="695" t="s">
        <v>169</v>
      </c>
      <c r="L112" s="695" t="s">
        <v>169</v>
      </c>
      <c r="M112" s="695" t="s">
        <v>169</v>
      </c>
      <c r="N112" s="695" t="s">
        <v>169</v>
      </c>
      <c r="O112" s="695" t="s">
        <v>169</v>
      </c>
      <c r="P112" s="695" t="s">
        <v>169</v>
      </c>
      <c r="Q112" s="695" t="s">
        <v>169</v>
      </c>
      <c r="R112" s="695" t="s">
        <v>169</v>
      </c>
      <c r="S112" s="695" t="s">
        <v>169</v>
      </c>
      <c r="T112" s="695" t="s">
        <v>169</v>
      </c>
      <c r="U112" s="695" t="s">
        <v>169</v>
      </c>
      <c r="V112" s="695" t="s">
        <v>169</v>
      </c>
      <c r="W112" s="695" t="s">
        <v>169</v>
      </c>
      <c r="X112" s="695">
        <v>135680</v>
      </c>
      <c r="Y112" s="695">
        <v>123649</v>
      </c>
      <c r="Z112" s="695">
        <v>135524</v>
      </c>
      <c r="AA112" s="695">
        <v>120356</v>
      </c>
      <c r="AB112" s="230">
        <v>-11.192113573979515</v>
      </c>
    </row>
    <row r="113" spans="1:28" ht="35.25" customHeight="1" x14ac:dyDescent="0.25">
      <c r="A113" s="702"/>
      <c r="B113" s="789" t="s">
        <v>551</v>
      </c>
      <c r="C113" s="695" t="s">
        <v>169</v>
      </c>
      <c r="D113" s="695" t="s">
        <v>169</v>
      </c>
      <c r="E113" s="695" t="s">
        <v>169</v>
      </c>
      <c r="F113" s="695" t="s">
        <v>169</v>
      </c>
      <c r="G113" s="695" t="s">
        <v>169</v>
      </c>
      <c r="H113" s="695" t="s">
        <v>169</v>
      </c>
      <c r="I113" s="695" t="s">
        <v>169</v>
      </c>
      <c r="J113" s="695" t="s">
        <v>169</v>
      </c>
      <c r="K113" s="695" t="s">
        <v>169</v>
      </c>
      <c r="L113" s="695" t="s">
        <v>169</v>
      </c>
      <c r="M113" s="695" t="s">
        <v>169</v>
      </c>
      <c r="N113" s="695" t="s">
        <v>169</v>
      </c>
      <c r="O113" s="695" t="s">
        <v>169</v>
      </c>
      <c r="P113" s="695" t="s">
        <v>169</v>
      </c>
      <c r="Q113" s="695" t="s">
        <v>169</v>
      </c>
      <c r="R113" s="695" t="s">
        <v>169</v>
      </c>
      <c r="S113" s="695" t="s">
        <v>169</v>
      </c>
      <c r="T113" s="695" t="s">
        <v>169</v>
      </c>
      <c r="U113" s="695" t="s">
        <v>169</v>
      </c>
      <c r="V113" s="695">
        <v>0</v>
      </c>
      <c r="W113" s="695">
        <v>0</v>
      </c>
      <c r="X113" s="695">
        <v>43615</v>
      </c>
      <c r="Y113" s="695">
        <v>41693</v>
      </c>
      <c r="Z113" s="695">
        <v>44660</v>
      </c>
      <c r="AA113" s="695">
        <v>39967</v>
      </c>
      <c r="AB113" s="230">
        <v>-10.508284818629646</v>
      </c>
    </row>
    <row r="114" spans="1:28" ht="18.75" customHeight="1" x14ac:dyDescent="0.25">
      <c r="A114" s="693"/>
      <c r="B114" s="787" t="s">
        <v>552</v>
      </c>
      <c r="C114" s="686">
        <v>452516</v>
      </c>
      <c r="D114" s="686">
        <v>417668</v>
      </c>
      <c r="E114" s="686">
        <v>358851</v>
      </c>
      <c r="F114" s="686">
        <v>344551</v>
      </c>
      <c r="G114" s="686">
        <v>329752</v>
      </c>
      <c r="H114" s="686">
        <v>303014</v>
      </c>
      <c r="I114" s="686">
        <v>297153</v>
      </c>
      <c r="J114" s="686">
        <v>272039</v>
      </c>
      <c r="K114" s="686">
        <v>264518</v>
      </c>
      <c r="L114" s="686">
        <v>255736</v>
      </c>
      <c r="M114" s="686">
        <v>232519</v>
      </c>
      <c r="N114" s="686">
        <v>231224</v>
      </c>
      <c r="O114" s="686">
        <v>214312</v>
      </c>
      <c r="P114" s="686">
        <v>207073</v>
      </c>
      <c r="Q114" s="686">
        <v>206206</v>
      </c>
      <c r="R114" s="690" t="s">
        <v>169</v>
      </c>
      <c r="S114" s="690" t="s">
        <v>169</v>
      </c>
      <c r="T114" s="690" t="s">
        <v>169</v>
      </c>
      <c r="U114" s="690" t="s">
        <v>169</v>
      </c>
      <c r="V114" s="690" t="s">
        <v>169</v>
      </c>
      <c r="W114" s="690" t="s">
        <v>169</v>
      </c>
      <c r="X114" s="690" t="s">
        <v>169</v>
      </c>
      <c r="Y114" s="690" t="s">
        <v>169</v>
      </c>
      <c r="Z114" s="690" t="s">
        <v>169</v>
      </c>
      <c r="AA114" s="690" t="s">
        <v>169</v>
      </c>
      <c r="AB114" s="690" t="s">
        <v>169</v>
      </c>
    </row>
    <row r="115" spans="1:28" ht="17.25" customHeight="1" x14ac:dyDescent="0.25">
      <c r="A115" s="693"/>
      <c r="B115" s="787" t="s">
        <v>553</v>
      </c>
      <c r="C115" s="690" t="s">
        <v>169</v>
      </c>
      <c r="D115" s="690" t="s">
        <v>169</v>
      </c>
      <c r="E115" s="690" t="s">
        <v>169</v>
      </c>
      <c r="F115" s="690" t="s">
        <v>169</v>
      </c>
      <c r="G115" s="690" t="s">
        <v>169</v>
      </c>
      <c r="H115" s="690" t="s">
        <v>169</v>
      </c>
      <c r="I115" s="690" t="s">
        <v>169</v>
      </c>
      <c r="J115" s="690" t="s">
        <v>169</v>
      </c>
      <c r="K115" s="690" t="s">
        <v>169</v>
      </c>
      <c r="L115" s="690" t="s">
        <v>169</v>
      </c>
      <c r="M115" s="690" t="s">
        <v>169</v>
      </c>
      <c r="N115" s="690" t="s">
        <v>169</v>
      </c>
      <c r="O115" s="690" t="s">
        <v>169</v>
      </c>
      <c r="P115" s="690" t="s">
        <v>169</v>
      </c>
      <c r="Q115" s="690" t="s">
        <v>169</v>
      </c>
      <c r="R115" s="690">
        <v>127770</v>
      </c>
      <c r="S115" s="690">
        <v>126109</v>
      </c>
      <c r="T115" s="690">
        <v>115225</v>
      </c>
      <c r="U115" s="690">
        <v>71585</v>
      </c>
      <c r="V115" s="690">
        <v>74372</v>
      </c>
      <c r="W115" s="690">
        <v>84756</v>
      </c>
      <c r="X115" s="690">
        <v>83204</v>
      </c>
      <c r="Y115" s="690">
        <v>78730</v>
      </c>
      <c r="Z115" s="690">
        <v>83240</v>
      </c>
      <c r="AA115" s="690">
        <v>75420</v>
      </c>
      <c r="AB115" s="230">
        <v>-9.3945218644882278</v>
      </c>
    </row>
    <row r="116" spans="1:28" ht="26.25" customHeight="1" x14ac:dyDescent="0.25">
      <c r="A116" s="693"/>
      <c r="B116" s="775" t="s">
        <v>554</v>
      </c>
      <c r="C116" s="229">
        <v>890099</v>
      </c>
      <c r="D116" s="229">
        <v>820013</v>
      </c>
      <c r="E116" s="229">
        <v>680358</v>
      </c>
      <c r="F116" s="229">
        <v>645068</v>
      </c>
      <c r="G116" s="229">
        <v>622012</v>
      </c>
      <c r="H116" s="229">
        <v>583710</v>
      </c>
      <c r="I116" s="229">
        <v>581584</v>
      </c>
      <c r="J116" s="229">
        <v>540645</v>
      </c>
      <c r="K116" s="229">
        <v>522683</v>
      </c>
      <c r="L116" s="229">
        <v>501048</v>
      </c>
      <c r="M116" s="229">
        <v>459795</v>
      </c>
      <c r="N116" s="229">
        <v>443212</v>
      </c>
      <c r="O116" s="229">
        <v>410866</v>
      </c>
      <c r="P116" s="229">
        <v>401768</v>
      </c>
      <c r="Q116" s="229">
        <v>412224</v>
      </c>
      <c r="R116" s="230">
        <v>437543</v>
      </c>
      <c r="S116" s="230">
        <v>421200</v>
      </c>
      <c r="T116" s="230">
        <v>384014</v>
      </c>
      <c r="U116" s="230">
        <v>267579</v>
      </c>
      <c r="V116" s="230">
        <v>265630</v>
      </c>
      <c r="W116" s="230">
        <v>275598</v>
      </c>
      <c r="X116" s="230">
        <v>266142</v>
      </c>
      <c r="Y116" s="230">
        <v>245131</v>
      </c>
      <c r="Z116" s="230">
        <v>264488</v>
      </c>
      <c r="AA116" s="230">
        <v>236795</v>
      </c>
      <c r="AB116" s="230">
        <v>-10.470418317655243</v>
      </c>
    </row>
    <row r="117" spans="1:28" ht="29.25" customHeight="1" x14ac:dyDescent="0.25">
      <c r="A117" s="693">
        <v>37.200000000000003</v>
      </c>
      <c r="B117" s="783" t="s">
        <v>555</v>
      </c>
      <c r="C117" s="696">
        <v>11560</v>
      </c>
      <c r="D117" s="696">
        <v>11570</v>
      </c>
      <c r="E117" s="696">
        <v>11409</v>
      </c>
      <c r="F117" s="696">
        <v>10943</v>
      </c>
      <c r="G117" s="696">
        <v>10920</v>
      </c>
      <c r="H117" s="696">
        <v>10334</v>
      </c>
      <c r="I117" s="696">
        <v>9730</v>
      </c>
      <c r="J117" s="696">
        <v>8000</v>
      </c>
      <c r="K117" s="696">
        <v>6954</v>
      </c>
      <c r="L117" s="696">
        <v>6253</v>
      </c>
      <c r="M117" s="696">
        <v>5652</v>
      </c>
      <c r="N117" s="696">
        <v>5255</v>
      </c>
      <c r="O117" s="695">
        <v>5424</v>
      </c>
      <c r="P117" s="686">
        <v>5829</v>
      </c>
      <c r="Q117" s="686">
        <v>5820</v>
      </c>
      <c r="R117" s="690">
        <v>5860</v>
      </c>
      <c r="S117" s="690">
        <v>5606</v>
      </c>
      <c r="T117" s="690">
        <v>5648</v>
      </c>
      <c r="U117" s="690">
        <v>4541</v>
      </c>
      <c r="V117" s="690">
        <v>4768</v>
      </c>
      <c r="W117" s="690">
        <v>4951</v>
      </c>
      <c r="X117" s="690">
        <v>4631</v>
      </c>
      <c r="Y117" s="686">
        <v>4338</v>
      </c>
      <c r="Z117" s="686">
        <v>4641</v>
      </c>
      <c r="AA117" s="686">
        <v>4124</v>
      </c>
      <c r="AB117" s="230">
        <v>-11.139840551605259</v>
      </c>
    </row>
    <row r="118" spans="1:28" ht="16.350000000000001" customHeight="1" x14ac:dyDescent="0.25">
      <c r="A118" s="693">
        <v>45</v>
      </c>
      <c r="B118" s="783" t="s">
        <v>556</v>
      </c>
      <c r="C118" s="696">
        <v>663679</v>
      </c>
      <c r="D118" s="696">
        <v>603256</v>
      </c>
      <c r="E118" s="696">
        <v>500360</v>
      </c>
      <c r="F118" s="696">
        <v>507239</v>
      </c>
      <c r="G118" s="696">
        <v>502651</v>
      </c>
      <c r="H118" s="696">
        <v>432412</v>
      </c>
      <c r="I118" s="696">
        <v>396976</v>
      </c>
      <c r="J118" s="696">
        <v>339170</v>
      </c>
      <c r="K118" s="696">
        <v>313467</v>
      </c>
      <c r="L118" s="696">
        <v>300377</v>
      </c>
      <c r="M118" s="696">
        <v>285047</v>
      </c>
      <c r="N118" s="696">
        <v>276366</v>
      </c>
      <c r="O118" s="695">
        <v>235823</v>
      </c>
      <c r="P118" s="686">
        <v>239237</v>
      </c>
      <c r="Q118" s="686">
        <v>258488</v>
      </c>
      <c r="R118" s="690">
        <v>280303</v>
      </c>
      <c r="S118" s="690">
        <v>282526</v>
      </c>
      <c r="T118" s="690">
        <v>285430</v>
      </c>
      <c r="U118" s="690">
        <v>193189</v>
      </c>
      <c r="V118" s="690">
        <v>200173</v>
      </c>
      <c r="W118" s="690">
        <v>218404</v>
      </c>
      <c r="X118" s="690">
        <v>192968</v>
      </c>
      <c r="Y118" s="686">
        <v>173743</v>
      </c>
      <c r="Z118" s="686">
        <v>192725</v>
      </c>
      <c r="AA118" s="686">
        <v>163574</v>
      </c>
      <c r="AB118" s="230">
        <v>-15.12569723699572</v>
      </c>
    </row>
    <row r="119" spans="1:28" ht="16.350000000000001" customHeight="1" x14ac:dyDescent="0.25">
      <c r="A119" s="693">
        <v>48</v>
      </c>
      <c r="B119" s="783" t="s">
        <v>557</v>
      </c>
      <c r="C119" s="696">
        <v>306947</v>
      </c>
      <c r="D119" s="696">
        <v>280288</v>
      </c>
      <c r="E119" s="696">
        <v>231323</v>
      </c>
      <c r="F119" s="696">
        <v>203239</v>
      </c>
      <c r="G119" s="696">
        <v>182464</v>
      </c>
      <c r="H119" s="696">
        <v>159704</v>
      </c>
      <c r="I119" s="696">
        <v>137508</v>
      </c>
      <c r="J119" s="696">
        <v>109684</v>
      </c>
      <c r="K119" s="696">
        <v>99208</v>
      </c>
      <c r="L119" s="696">
        <v>85803</v>
      </c>
      <c r="M119" s="696">
        <v>74168</v>
      </c>
      <c r="N119" s="696">
        <v>70053</v>
      </c>
      <c r="O119" s="695">
        <v>70216</v>
      </c>
      <c r="P119" s="686">
        <v>75943</v>
      </c>
      <c r="Q119" s="686">
        <v>90998</v>
      </c>
      <c r="R119" s="690">
        <v>105819</v>
      </c>
      <c r="S119" s="690">
        <v>113972</v>
      </c>
      <c r="T119" s="690">
        <v>113296</v>
      </c>
      <c r="U119" s="690">
        <v>89068</v>
      </c>
      <c r="V119" s="690">
        <v>107969</v>
      </c>
      <c r="W119" s="690">
        <v>130007</v>
      </c>
      <c r="X119" s="690">
        <v>128834</v>
      </c>
      <c r="Y119" s="686">
        <v>121589</v>
      </c>
      <c r="Z119" s="686">
        <v>128175</v>
      </c>
      <c r="AA119" s="686">
        <v>119040</v>
      </c>
      <c r="AB119" s="230">
        <v>-7.1269748390871861</v>
      </c>
    </row>
    <row r="120" spans="1:28" ht="14.25" customHeight="1" x14ac:dyDescent="0.25">
      <c r="A120" s="693">
        <v>126</v>
      </c>
      <c r="B120" s="783" t="s">
        <v>558</v>
      </c>
      <c r="C120" s="696">
        <v>92473</v>
      </c>
      <c r="D120" s="696">
        <v>89892</v>
      </c>
      <c r="E120" s="696">
        <v>77004</v>
      </c>
      <c r="F120" s="696">
        <v>71400</v>
      </c>
      <c r="G120" s="696">
        <v>68980</v>
      </c>
      <c r="H120" s="696">
        <v>54003</v>
      </c>
      <c r="I120" s="696">
        <v>47639</v>
      </c>
      <c r="J120" s="696">
        <v>38019</v>
      </c>
      <c r="K120" s="696">
        <v>29987</v>
      </c>
      <c r="L120" s="696">
        <v>25009</v>
      </c>
      <c r="M120" s="696">
        <v>22492</v>
      </c>
      <c r="N120" s="696">
        <v>20367</v>
      </c>
      <c r="O120" s="695">
        <v>38059</v>
      </c>
      <c r="P120" s="686">
        <v>45682</v>
      </c>
      <c r="Q120" s="686">
        <v>52209</v>
      </c>
      <c r="R120" s="690">
        <v>65059</v>
      </c>
      <c r="S120" s="690">
        <v>65133</v>
      </c>
      <c r="T120" s="690">
        <v>62301</v>
      </c>
      <c r="U120" s="690">
        <v>50022</v>
      </c>
      <c r="V120" s="690">
        <v>47769</v>
      </c>
      <c r="W120" s="690">
        <v>52270</v>
      </c>
      <c r="X120" s="690">
        <v>53400</v>
      </c>
      <c r="Y120" s="686">
        <v>50276</v>
      </c>
      <c r="Z120" s="686">
        <v>54433</v>
      </c>
      <c r="AA120" s="686">
        <v>47751</v>
      </c>
      <c r="AB120" s="230">
        <v>-12.275641614461815</v>
      </c>
    </row>
    <row r="121" spans="1:28" ht="16.5" customHeight="1" x14ac:dyDescent="0.25">
      <c r="A121" s="693"/>
      <c r="B121" s="779" t="s">
        <v>559</v>
      </c>
      <c r="C121" s="231">
        <v>1074659</v>
      </c>
      <c r="D121" s="231">
        <v>985006</v>
      </c>
      <c r="E121" s="231">
        <v>820096</v>
      </c>
      <c r="F121" s="231">
        <v>792821</v>
      </c>
      <c r="G121" s="231">
        <v>765015</v>
      </c>
      <c r="H121" s="231">
        <v>656453</v>
      </c>
      <c r="I121" s="231">
        <v>591853</v>
      </c>
      <c r="J121" s="231">
        <v>494873</v>
      </c>
      <c r="K121" s="231">
        <v>449616</v>
      </c>
      <c r="L121" s="231">
        <v>417442</v>
      </c>
      <c r="M121" s="231">
        <v>387359</v>
      </c>
      <c r="N121" s="231">
        <v>372041</v>
      </c>
      <c r="O121" s="231">
        <v>349522</v>
      </c>
      <c r="P121" s="231">
        <v>366691</v>
      </c>
      <c r="Q121" s="231">
        <v>407515</v>
      </c>
      <c r="R121" s="232">
        <v>457041</v>
      </c>
      <c r="S121" s="232">
        <v>467237</v>
      </c>
      <c r="T121" s="232">
        <v>466675</v>
      </c>
      <c r="U121" s="232">
        <v>336820</v>
      </c>
      <c r="V121" s="232">
        <v>360679</v>
      </c>
      <c r="W121" s="232">
        <v>405632</v>
      </c>
      <c r="X121" s="232">
        <v>379833</v>
      </c>
      <c r="Y121" s="231">
        <v>349946</v>
      </c>
      <c r="Z121" s="231">
        <v>379974</v>
      </c>
      <c r="AA121" s="231">
        <v>334489</v>
      </c>
      <c r="AB121" s="230">
        <v>-11.970555880139168</v>
      </c>
    </row>
    <row r="122" spans="1:28" ht="32.25" customHeight="1" x14ac:dyDescent="0.25">
      <c r="A122" s="693">
        <v>39</v>
      </c>
      <c r="B122" s="783" t="s">
        <v>272</v>
      </c>
      <c r="C122" s="696">
        <v>148488</v>
      </c>
      <c r="D122" s="696">
        <v>137154</v>
      </c>
      <c r="E122" s="696">
        <v>122081</v>
      </c>
      <c r="F122" s="696">
        <v>123867</v>
      </c>
      <c r="G122" s="696">
        <v>114852</v>
      </c>
      <c r="H122" s="696">
        <v>101660</v>
      </c>
      <c r="I122" s="696">
        <v>89652</v>
      </c>
      <c r="J122" s="696">
        <v>92247</v>
      </c>
      <c r="K122" s="696">
        <v>92902</v>
      </c>
      <c r="L122" s="696">
        <v>100588</v>
      </c>
      <c r="M122" s="696">
        <v>109757</v>
      </c>
      <c r="N122" s="696">
        <v>98282</v>
      </c>
      <c r="O122" s="695">
        <v>78434</v>
      </c>
      <c r="P122" s="686">
        <v>83325</v>
      </c>
      <c r="Q122" s="686">
        <v>88636</v>
      </c>
      <c r="R122" s="690">
        <v>99485</v>
      </c>
      <c r="S122" s="690">
        <v>103656</v>
      </c>
      <c r="T122" s="690">
        <v>113302</v>
      </c>
      <c r="U122" s="690">
        <v>49669</v>
      </c>
      <c r="V122" s="690">
        <v>87779</v>
      </c>
      <c r="W122" s="690">
        <v>112191</v>
      </c>
      <c r="X122" s="690">
        <v>131551</v>
      </c>
      <c r="Y122" s="686">
        <v>151115</v>
      </c>
      <c r="Z122" s="686">
        <v>139234</v>
      </c>
      <c r="AA122" s="686">
        <v>145860</v>
      </c>
      <c r="AB122" s="230">
        <v>4.7588950974618269</v>
      </c>
    </row>
    <row r="123" spans="1:28" ht="19.5" customHeight="1" x14ac:dyDescent="0.25">
      <c r="A123" s="693"/>
      <c r="B123" s="779" t="s">
        <v>272</v>
      </c>
      <c r="C123" s="231">
        <v>148488</v>
      </c>
      <c r="D123" s="231">
        <v>137154</v>
      </c>
      <c r="E123" s="231">
        <v>122081</v>
      </c>
      <c r="F123" s="231">
        <v>123867</v>
      </c>
      <c r="G123" s="231">
        <v>114852</v>
      </c>
      <c r="H123" s="231">
        <v>101660</v>
      </c>
      <c r="I123" s="231">
        <v>89652</v>
      </c>
      <c r="J123" s="231">
        <v>92247</v>
      </c>
      <c r="K123" s="231">
        <v>92902</v>
      </c>
      <c r="L123" s="231">
        <v>100588</v>
      </c>
      <c r="M123" s="231">
        <v>109757</v>
      </c>
      <c r="N123" s="231">
        <v>98282</v>
      </c>
      <c r="O123" s="231">
        <v>78434</v>
      </c>
      <c r="P123" s="231">
        <v>83325</v>
      </c>
      <c r="Q123" s="231">
        <v>88636</v>
      </c>
      <c r="R123" s="232">
        <v>99485</v>
      </c>
      <c r="S123" s="232">
        <v>103656</v>
      </c>
      <c r="T123" s="232">
        <v>113302</v>
      </c>
      <c r="U123" s="232">
        <v>49669</v>
      </c>
      <c r="V123" s="232">
        <v>87779</v>
      </c>
      <c r="W123" s="232">
        <v>112191</v>
      </c>
      <c r="X123" s="232">
        <v>131551</v>
      </c>
      <c r="Y123" s="231">
        <v>151115</v>
      </c>
      <c r="Z123" s="231">
        <v>139234</v>
      </c>
      <c r="AA123" s="231">
        <v>145860</v>
      </c>
      <c r="AB123" s="230">
        <v>4.7588950974618269</v>
      </c>
    </row>
    <row r="124" spans="1:28" ht="27.75" customHeight="1" x14ac:dyDescent="0.25">
      <c r="A124" s="693">
        <v>44</v>
      </c>
      <c r="B124" s="783" t="s">
        <v>560</v>
      </c>
      <c r="C124" s="696">
        <v>97755</v>
      </c>
      <c r="D124" s="696">
        <v>105467</v>
      </c>
      <c r="E124" s="696">
        <v>105953</v>
      </c>
      <c r="F124" s="696">
        <v>113192</v>
      </c>
      <c r="G124" s="696">
        <v>110526</v>
      </c>
      <c r="H124" s="696">
        <v>104000</v>
      </c>
      <c r="I124" s="696">
        <v>104169</v>
      </c>
      <c r="J124" s="696">
        <v>109847</v>
      </c>
      <c r="K124" s="696">
        <v>108962</v>
      </c>
      <c r="L124" s="696">
        <v>115902</v>
      </c>
      <c r="M124" s="696">
        <v>97286</v>
      </c>
      <c r="N124" s="696">
        <v>97686</v>
      </c>
      <c r="O124" s="695">
        <v>93327</v>
      </c>
      <c r="P124" s="686">
        <v>86734</v>
      </c>
      <c r="Q124" s="686">
        <v>94881</v>
      </c>
      <c r="R124" s="690">
        <v>100145</v>
      </c>
      <c r="S124" s="690">
        <v>98145</v>
      </c>
      <c r="T124" s="690">
        <v>88332</v>
      </c>
      <c r="U124" s="690">
        <v>77366</v>
      </c>
      <c r="V124" s="690">
        <v>77490</v>
      </c>
      <c r="W124" s="690">
        <v>77180</v>
      </c>
      <c r="X124" s="690">
        <v>66964</v>
      </c>
      <c r="Y124" s="686">
        <v>59899</v>
      </c>
      <c r="Z124" s="686">
        <v>65414</v>
      </c>
      <c r="AA124" s="686">
        <v>58968</v>
      </c>
      <c r="AB124" s="230">
        <v>-9.8541596600116179</v>
      </c>
    </row>
    <row r="125" spans="1:28" ht="15" customHeight="1" x14ac:dyDescent="0.25">
      <c r="A125" s="236"/>
      <c r="B125" s="779" t="s">
        <v>561</v>
      </c>
      <c r="C125" s="231">
        <v>97755</v>
      </c>
      <c r="D125" s="231">
        <v>105467</v>
      </c>
      <c r="E125" s="231">
        <v>105953</v>
      </c>
      <c r="F125" s="231">
        <v>113192</v>
      </c>
      <c r="G125" s="231">
        <v>110526</v>
      </c>
      <c r="H125" s="231">
        <v>104000</v>
      </c>
      <c r="I125" s="231">
        <v>104169</v>
      </c>
      <c r="J125" s="231">
        <v>109847</v>
      </c>
      <c r="K125" s="231">
        <v>108962</v>
      </c>
      <c r="L125" s="231">
        <v>115902</v>
      </c>
      <c r="M125" s="231">
        <v>97286</v>
      </c>
      <c r="N125" s="231">
        <v>97686</v>
      </c>
      <c r="O125" s="231">
        <v>93327</v>
      </c>
      <c r="P125" s="231">
        <v>86734</v>
      </c>
      <c r="Q125" s="231">
        <v>94881</v>
      </c>
      <c r="R125" s="232">
        <v>100145</v>
      </c>
      <c r="S125" s="232">
        <v>98145</v>
      </c>
      <c r="T125" s="232">
        <v>88332</v>
      </c>
      <c r="U125" s="232">
        <v>77366</v>
      </c>
      <c r="V125" s="232">
        <v>77490</v>
      </c>
      <c r="W125" s="232">
        <v>77180</v>
      </c>
      <c r="X125" s="232">
        <v>66964</v>
      </c>
      <c r="Y125" s="231">
        <v>59899</v>
      </c>
      <c r="Z125" s="231">
        <v>65414</v>
      </c>
      <c r="AA125" s="231">
        <v>58968</v>
      </c>
      <c r="AB125" s="230">
        <v>-9.8541596600116179</v>
      </c>
    </row>
    <row r="126" spans="1:28" ht="33" customHeight="1" x14ac:dyDescent="0.25">
      <c r="A126" s="693">
        <v>46</v>
      </c>
      <c r="B126" s="783" t="s">
        <v>562</v>
      </c>
      <c r="C126" s="696">
        <v>310881</v>
      </c>
      <c r="D126" s="696">
        <v>303235</v>
      </c>
      <c r="E126" s="696">
        <v>281127</v>
      </c>
      <c r="F126" s="696">
        <v>295999</v>
      </c>
      <c r="G126" s="696">
        <v>294282</v>
      </c>
      <c r="H126" s="696">
        <v>290653</v>
      </c>
      <c r="I126" s="696">
        <v>320739</v>
      </c>
      <c r="J126" s="696">
        <v>307823</v>
      </c>
      <c r="K126" s="696">
        <v>305896</v>
      </c>
      <c r="L126" s="696">
        <v>308326</v>
      </c>
      <c r="M126" s="696">
        <v>300623</v>
      </c>
      <c r="N126" s="696">
        <v>321065</v>
      </c>
      <c r="O126" s="695">
        <v>326053</v>
      </c>
      <c r="P126" s="686">
        <v>337263</v>
      </c>
      <c r="Q126" s="686">
        <v>370300</v>
      </c>
      <c r="R126" s="690">
        <v>382662</v>
      </c>
      <c r="S126" s="690">
        <v>374808</v>
      </c>
      <c r="T126" s="690">
        <v>359260</v>
      </c>
      <c r="U126" s="690">
        <v>228108</v>
      </c>
      <c r="V126" s="690">
        <v>274931</v>
      </c>
      <c r="W126" s="690">
        <v>342394</v>
      </c>
      <c r="X126" s="690">
        <v>444124</v>
      </c>
      <c r="Y126" s="686">
        <v>530439</v>
      </c>
      <c r="Z126" s="686">
        <v>469698</v>
      </c>
      <c r="AA126" s="686">
        <v>529994</v>
      </c>
      <c r="AB126" s="230">
        <v>12.837184744239917</v>
      </c>
    </row>
    <row r="127" spans="1:28" ht="15.75" customHeight="1" x14ac:dyDescent="0.25">
      <c r="A127" s="693"/>
      <c r="B127" s="779" t="s">
        <v>562</v>
      </c>
      <c r="C127" s="231">
        <v>310881</v>
      </c>
      <c r="D127" s="231">
        <v>303235</v>
      </c>
      <c r="E127" s="231">
        <v>281127</v>
      </c>
      <c r="F127" s="231">
        <v>295999</v>
      </c>
      <c r="G127" s="231">
        <v>294282</v>
      </c>
      <c r="H127" s="231">
        <v>290653</v>
      </c>
      <c r="I127" s="231">
        <v>320739</v>
      </c>
      <c r="J127" s="231">
        <v>307823</v>
      </c>
      <c r="K127" s="231">
        <v>305896</v>
      </c>
      <c r="L127" s="231">
        <v>308326</v>
      </c>
      <c r="M127" s="231">
        <v>300623</v>
      </c>
      <c r="N127" s="231">
        <v>321065</v>
      </c>
      <c r="O127" s="231">
        <v>326053</v>
      </c>
      <c r="P127" s="231">
        <v>337263</v>
      </c>
      <c r="Q127" s="231">
        <v>370300</v>
      </c>
      <c r="R127" s="232">
        <v>382662</v>
      </c>
      <c r="S127" s="232">
        <v>374808</v>
      </c>
      <c r="T127" s="232">
        <v>359260</v>
      </c>
      <c r="U127" s="232">
        <v>228108</v>
      </c>
      <c r="V127" s="232">
        <v>274931</v>
      </c>
      <c r="W127" s="232">
        <v>342394</v>
      </c>
      <c r="X127" s="232">
        <v>444124</v>
      </c>
      <c r="Y127" s="231">
        <v>530439</v>
      </c>
      <c r="Z127" s="231">
        <v>469698</v>
      </c>
      <c r="AA127" s="231">
        <v>529994</v>
      </c>
      <c r="AB127" s="230">
        <v>12.837184744239917</v>
      </c>
    </row>
    <row r="128" spans="1:28" ht="26.25" customHeight="1" x14ac:dyDescent="0.25">
      <c r="A128" s="693">
        <v>35</v>
      </c>
      <c r="B128" s="783" t="s">
        <v>563</v>
      </c>
      <c r="C128" s="696">
        <v>1331</v>
      </c>
      <c r="D128" s="696">
        <v>1497</v>
      </c>
      <c r="E128" s="696">
        <v>1465</v>
      </c>
      <c r="F128" s="696">
        <v>1645</v>
      </c>
      <c r="G128" s="696">
        <v>2481</v>
      </c>
      <c r="H128" s="696">
        <v>1201</v>
      </c>
      <c r="I128" s="696">
        <v>1363</v>
      </c>
      <c r="J128" s="696">
        <v>1450</v>
      </c>
      <c r="K128" s="696">
        <v>1491</v>
      </c>
      <c r="L128" s="696">
        <v>1369</v>
      </c>
      <c r="M128" s="696">
        <v>1497</v>
      </c>
      <c r="N128" s="696">
        <v>2134</v>
      </c>
      <c r="O128" s="695">
        <v>3507</v>
      </c>
      <c r="P128" s="686">
        <v>5916</v>
      </c>
      <c r="Q128" s="686">
        <v>7353</v>
      </c>
      <c r="R128" s="690">
        <v>8261</v>
      </c>
      <c r="S128" s="690">
        <v>13840</v>
      </c>
      <c r="T128" s="690">
        <v>11004</v>
      </c>
      <c r="U128" s="690">
        <v>16063</v>
      </c>
      <c r="V128" s="690">
        <v>21965</v>
      </c>
      <c r="W128" s="690">
        <v>31308</v>
      </c>
      <c r="X128" s="690">
        <v>37896</v>
      </c>
      <c r="Y128" s="686">
        <v>30764</v>
      </c>
      <c r="Z128" s="686">
        <v>35289</v>
      </c>
      <c r="AA128" s="686">
        <v>30364</v>
      </c>
      <c r="AB128" s="230">
        <v>-13.956190314262235</v>
      </c>
    </row>
    <row r="129" spans="1:28" ht="16.350000000000001" customHeight="1" x14ac:dyDescent="0.25">
      <c r="A129" s="693">
        <v>40</v>
      </c>
      <c r="B129" s="783" t="s">
        <v>564</v>
      </c>
      <c r="C129" s="696">
        <v>56444</v>
      </c>
      <c r="D129" s="696">
        <v>61099</v>
      </c>
      <c r="E129" s="696">
        <v>57713</v>
      </c>
      <c r="F129" s="696">
        <v>54757</v>
      </c>
      <c r="G129" s="696">
        <v>54471</v>
      </c>
      <c r="H129" s="696">
        <v>51336</v>
      </c>
      <c r="I129" s="696">
        <v>51220</v>
      </c>
      <c r="J129" s="696">
        <v>53338</v>
      </c>
      <c r="K129" s="696">
        <v>54798</v>
      </c>
      <c r="L129" s="696">
        <v>54518</v>
      </c>
      <c r="M129" s="696">
        <v>52384</v>
      </c>
      <c r="N129" s="696">
        <v>50513</v>
      </c>
      <c r="O129" s="695">
        <v>50808</v>
      </c>
      <c r="P129" s="686">
        <v>51318</v>
      </c>
      <c r="Q129" s="686">
        <v>52304</v>
      </c>
      <c r="R129" s="690">
        <v>53831</v>
      </c>
      <c r="S129" s="690">
        <v>53636</v>
      </c>
      <c r="T129" s="690">
        <v>49170</v>
      </c>
      <c r="U129" s="690">
        <v>39785</v>
      </c>
      <c r="V129" s="690">
        <v>40065</v>
      </c>
      <c r="W129" s="690">
        <v>40518</v>
      </c>
      <c r="X129" s="690">
        <v>39147</v>
      </c>
      <c r="Y129" s="686">
        <v>36769</v>
      </c>
      <c r="Z129" s="686">
        <v>39366</v>
      </c>
      <c r="AA129" s="686">
        <v>35875</v>
      </c>
      <c r="AB129" s="230">
        <v>-8.8680587308845187</v>
      </c>
    </row>
    <row r="130" spans="1:28" ht="16.350000000000001" customHeight="1" x14ac:dyDescent="0.25">
      <c r="A130" s="693">
        <v>41</v>
      </c>
      <c r="B130" s="783" t="s">
        <v>565</v>
      </c>
      <c r="C130" s="696">
        <v>17530</v>
      </c>
      <c r="D130" s="696">
        <v>17700</v>
      </c>
      <c r="E130" s="696">
        <v>17251</v>
      </c>
      <c r="F130" s="696">
        <v>17048</v>
      </c>
      <c r="G130" s="696">
        <v>16323</v>
      </c>
      <c r="H130" s="696">
        <v>15864</v>
      </c>
      <c r="I130" s="696">
        <v>15467</v>
      </c>
      <c r="J130" s="696">
        <v>13169</v>
      </c>
      <c r="K130" s="696">
        <v>12141</v>
      </c>
      <c r="L130" s="696">
        <v>11589</v>
      </c>
      <c r="M130" s="696">
        <v>10446</v>
      </c>
      <c r="N130" s="696">
        <v>10320</v>
      </c>
      <c r="O130" s="695">
        <v>10755</v>
      </c>
      <c r="P130" s="686">
        <v>10757</v>
      </c>
      <c r="Q130" s="686">
        <v>10441</v>
      </c>
      <c r="R130" s="690">
        <v>10503</v>
      </c>
      <c r="S130" s="690">
        <v>9876</v>
      </c>
      <c r="T130" s="690">
        <v>8939</v>
      </c>
      <c r="U130" s="690">
        <v>5129</v>
      </c>
      <c r="V130" s="690">
        <v>5628</v>
      </c>
      <c r="W130" s="690">
        <v>6553</v>
      </c>
      <c r="X130" s="690">
        <v>6245</v>
      </c>
      <c r="Y130" s="686">
        <v>5376</v>
      </c>
      <c r="Z130" s="686">
        <v>6125</v>
      </c>
      <c r="AA130" s="686">
        <v>5177</v>
      </c>
      <c r="AB130" s="230">
        <v>-15.477551020408164</v>
      </c>
    </row>
    <row r="131" spans="1:28" ht="16.350000000000001" customHeight="1" x14ac:dyDescent="0.25">
      <c r="A131" s="693">
        <v>42</v>
      </c>
      <c r="B131" s="783" t="s">
        <v>566</v>
      </c>
      <c r="C131" s="696">
        <v>13458</v>
      </c>
      <c r="D131" s="696">
        <v>20537</v>
      </c>
      <c r="E131" s="696">
        <v>22509</v>
      </c>
      <c r="F131" s="696">
        <v>9351</v>
      </c>
      <c r="G131" s="696">
        <v>4740</v>
      </c>
      <c r="H131" s="696">
        <v>3051</v>
      </c>
      <c r="I131" s="696">
        <v>3724</v>
      </c>
      <c r="J131" s="696">
        <v>3098</v>
      </c>
      <c r="K131" s="696">
        <v>2792</v>
      </c>
      <c r="L131" s="696">
        <v>2447</v>
      </c>
      <c r="M131" s="696">
        <v>2878</v>
      </c>
      <c r="N131" s="696">
        <v>2163</v>
      </c>
      <c r="O131" s="695">
        <v>1996</v>
      </c>
      <c r="P131" s="686">
        <v>2350</v>
      </c>
      <c r="Q131" s="686">
        <v>2560</v>
      </c>
      <c r="R131" s="690">
        <v>2594</v>
      </c>
      <c r="S131" s="690">
        <v>3009</v>
      </c>
      <c r="T131" s="690">
        <v>2614</v>
      </c>
      <c r="U131" s="690">
        <v>3927</v>
      </c>
      <c r="V131" s="690">
        <v>6646</v>
      </c>
      <c r="W131" s="690">
        <v>8725</v>
      </c>
      <c r="X131" s="690">
        <v>5957</v>
      </c>
      <c r="Y131" s="686">
        <v>8825</v>
      </c>
      <c r="Z131" s="686">
        <v>6292</v>
      </c>
      <c r="AA131" s="686">
        <v>9039</v>
      </c>
      <c r="AB131" s="230">
        <v>43.658614113159565</v>
      </c>
    </row>
    <row r="132" spans="1:28" ht="16.350000000000001" customHeight="1" x14ac:dyDescent="0.25">
      <c r="A132" s="693">
        <v>43</v>
      </c>
      <c r="B132" s="783" t="s">
        <v>567</v>
      </c>
      <c r="C132" s="696">
        <v>1413</v>
      </c>
      <c r="D132" s="696">
        <v>1309</v>
      </c>
      <c r="E132" s="696">
        <v>1296</v>
      </c>
      <c r="F132" s="696">
        <v>1299</v>
      </c>
      <c r="G132" s="696">
        <v>1497</v>
      </c>
      <c r="H132" s="696">
        <v>2024</v>
      </c>
      <c r="I132" s="696">
        <v>1785</v>
      </c>
      <c r="J132" s="696">
        <v>1736</v>
      </c>
      <c r="K132" s="696">
        <v>1860</v>
      </c>
      <c r="L132" s="696">
        <v>1948</v>
      </c>
      <c r="M132" s="696">
        <v>2007</v>
      </c>
      <c r="N132" s="696">
        <v>2229</v>
      </c>
      <c r="O132" s="695">
        <v>2550</v>
      </c>
      <c r="P132" s="686">
        <v>2500</v>
      </c>
      <c r="Q132" s="686">
        <v>2185</v>
      </c>
      <c r="R132" s="690">
        <v>2084</v>
      </c>
      <c r="S132" s="690">
        <v>1968</v>
      </c>
      <c r="T132" s="690">
        <v>2278</v>
      </c>
      <c r="U132" s="690">
        <v>3164</v>
      </c>
      <c r="V132" s="690">
        <v>3594</v>
      </c>
      <c r="W132" s="690">
        <v>3532</v>
      </c>
      <c r="X132" s="690">
        <v>3096</v>
      </c>
      <c r="Y132" s="686">
        <v>2435</v>
      </c>
      <c r="Z132" s="686">
        <v>2860</v>
      </c>
      <c r="AA132" s="686">
        <v>2288</v>
      </c>
      <c r="AB132" s="230">
        <v>-20</v>
      </c>
    </row>
    <row r="133" spans="1:28" ht="16.350000000000001" customHeight="1" x14ac:dyDescent="0.25">
      <c r="A133" s="693">
        <v>47</v>
      </c>
      <c r="B133" s="783" t="s">
        <v>568</v>
      </c>
      <c r="C133" s="696">
        <v>24311</v>
      </c>
      <c r="D133" s="696">
        <v>29515</v>
      </c>
      <c r="E133" s="696">
        <v>35918</v>
      </c>
      <c r="F133" s="696">
        <v>42049</v>
      </c>
      <c r="G133" s="696">
        <v>33721</v>
      </c>
      <c r="H133" s="696">
        <v>11932</v>
      </c>
      <c r="I133" s="696">
        <v>7651</v>
      </c>
      <c r="J133" s="696">
        <v>7753</v>
      </c>
      <c r="K133" s="696">
        <v>6215</v>
      </c>
      <c r="L133" s="696">
        <v>6692</v>
      </c>
      <c r="M133" s="696">
        <v>6394</v>
      </c>
      <c r="N133" s="696">
        <v>4950</v>
      </c>
      <c r="O133" s="695">
        <v>4213</v>
      </c>
      <c r="P133" s="686">
        <v>3951</v>
      </c>
      <c r="Q133" s="686">
        <v>3710</v>
      </c>
      <c r="R133" s="690">
        <v>4623</v>
      </c>
      <c r="S133" s="690">
        <v>4067</v>
      </c>
      <c r="T133" s="690">
        <v>3806</v>
      </c>
      <c r="U133" s="690">
        <v>1478</v>
      </c>
      <c r="V133" s="690">
        <v>1695</v>
      </c>
      <c r="W133" s="690">
        <v>1737</v>
      </c>
      <c r="X133" s="690">
        <v>1294</v>
      </c>
      <c r="Y133" s="686">
        <v>1297</v>
      </c>
      <c r="Z133" s="686">
        <v>1369</v>
      </c>
      <c r="AA133" s="686">
        <v>1136</v>
      </c>
      <c r="AB133" s="230">
        <v>-17.019722425127831</v>
      </c>
    </row>
    <row r="134" spans="1:28" ht="16.350000000000001" customHeight="1" x14ac:dyDescent="0.25">
      <c r="A134" s="693">
        <v>49</v>
      </c>
      <c r="B134" s="783" t="s">
        <v>569</v>
      </c>
      <c r="C134" s="696">
        <v>647827</v>
      </c>
      <c r="D134" s="696">
        <v>634491</v>
      </c>
      <c r="E134" s="696">
        <v>589189</v>
      </c>
      <c r="F134" s="696">
        <v>554368</v>
      </c>
      <c r="G134" s="696">
        <v>536603</v>
      </c>
      <c r="H134" s="696">
        <v>526949</v>
      </c>
      <c r="I134" s="696">
        <v>472325</v>
      </c>
      <c r="J134" s="696">
        <v>436244</v>
      </c>
      <c r="K134" s="696">
        <v>481585</v>
      </c>
      <c r="L134" s="696">
        <v>491559</v>
      </c>
      <c r="M134" s="696">
        <v>419685</v>
      </c>
      <c r="N134" s="696">
        <v>389024</v>
      </c>
      <c r="O134" s="695">
        <v>359183</v>
      </c>
      <c r="P134" s="686">
        <v>345636</v>
      </c>
      <c r="Q134" s="686">
        <v>351270</v>
      </c>
      <c r="R134" s="690">
        <v>367252</v>
      </c>
      <c r="S134" s="690">
        <v>379217</v>
      </c>
      <c r="T134" s="690">
        <v>369566</v>
      </c>
      <c r="U134" s="690">
        <v>232565</v>
      </c>
      <c r="V134" s="690">
        <v>299455</v>
      </c>
      <c r="W134" s="690">
        <v>356162</v>
      </c>
      <c r="X134" s="690">
        <v>348130</v>
      </c>
      <c r="Y134" s="686">
        <v>316737</v>
      </c>
      <c r="Z134" s="686">
        <v>341033</v>
      </c>
      <c r="AA134" s="686">
        <v>313257</v>
      </c>
      <c r="AB134" s="230">
        <v>-8.1446663519366158</v>
      </c>
    </row>
    <row r="135" spans="1:28" ht="16.5" customHeight="1" x14ac:dyDescent="0.25">
      <c r="A135" s="693" t="s">
        <v>570</v>
      </c>
      <c r="B135" s="783" t="s">
        <v>571</v>
      </c>
      <c r="C135" s="695">
        <v>129123</v>
      </c>
      <c r="D135" s="695">
        <v>132624</v>
      </c>
      <c r="E135" s="695">
        <v>102906</v>
      </c>
      <c r="F135" s="695">
        <v>87767</v>
      </c>
      <c r="G135" s="695">
        <v>82261</v>
      </c>
      <c r="H135" s="695">
        <v>73895</v>
      </c>
      <c r="I135" s="695">
        <v>80048</v>
      </c>
      <c r="J135" s="695">
        <v>70397</v>
      </c>
      <c r="K135" s="695">
        <v>66505</v>
      </c>
      <c r="L135" s="695">
        <v>61351</v>
      </c>
      <c r="M135" s="696">
        <v>50833</v>
      </c>
      <c r="N135" s="696">
        <v>51550</v>
      </c>
      <c r="O135" s="695">
        <v>59393</v>
      </c>
      <c r="P135" s="686">
        <v>64760</v>
      </c>
      <c r="Q135" s="686">
        <v>77970</v>
      </c>
      <c r="R135" s="690">
        <v>86518</v>
      </c>
      <c r="S135" s="690">
        <v>82994</v>
      </c>
      <c r="T135" s="690">
        <v>69420</v>
      </c>
      <c r="U135" s="690">
        <v>39779</v>
      </c>
      <c r="V135" s="690">
        <v>51414</v>
      </c>
      <c r="W135" s="690">
        <v>61164</v>
      </c>
      <c r="X135" s="690">
        <v>50028</v>
      </c>
      <c r="Y135" s="686">
        <v>39251</v>
      </c>
      <c r="Z135" s="686">
        <v>49895</v>
      </c>
      <c r="AA135" s="686">
        <v>33732</v>
      </c>
      <c r="AB135" s="230">
        <v>-32.394027457661089</v>
      </c>
    </row>
    <row r="136" spans="1:28" ht="25.5" customHeight="1" x14ac:dyDescent="0.25">
      <c r="A136" s="693"/>
      <c r="B136" s="779" t="s">
        <v>572</v>
      </c>
      <c r="C136" s="229">
        <v>891437</v>
      </c>
      <c r="D136" s="229">
        <v>898772</v>
      </c>
      <c r="E136" s="229">
        <v>828247</v>
      </c>
      <c r="F136" s="229">
        <v>768284</v>
      </c>
      <c r="G136" s="229">
        <v>732097</v>
      </c>
      <c r="H136" s="229">
        <v>686252</v>
      </c>
      <c r="I136" s="229">
        <v>633583</v>
      </c>
      <c r="J136" s="229">
        <v>587185</v>
      </c>
      <c r="K136" s="229">
        <v>627387</v>
      </c>
      <c r="L136" s="229">
        <v>631473</v>
      </c>
      <c r="M136" s="229">
        <v>546124</v>
      </c>
      <c r="N136" s="229">
        <v>512883</v>
      </c>
      <c r="O136" s="234">
        <v>492405</v>
      </c>
      <c r="P136" s="229">
        <v>487188</v>
      </c>
      <c r="Q136" s="229">
        <v>507793</v>
      </c>
      <c r="R136" s="230">
        <v>535666</v>
      </c>
      <c r="S136" s="230">
        <v>548607</v>
      </c>
      <c r="T136" s="230">
        <v>516797</v>
      </c>
      <c r="U136" s="230">
        <v>341890</v>
      </c>
      <c r="V136" s="230">
        <v>430462</v>
      </c>
      <c r="W136" s="230">
        <v>509699</v>
      </c>
      <c r="X136" s="230">
        <v>491793</v>
      </c>
      <c r="Y136" s="229">
        <v>441454</v>
      </c>
      <c r="Z136" s="229">
        <v>482229</v>
      </c>
      <c r="AA136" s="229">
        <v>430868</v>
      </c>
      <c r="AB136" s="230">
        <v>-10.65074891804516</v>
      </c>
    </row>
    <row r="137" spans="1:28" ht="24.75" customHeight="1" x14ac:dyDescent="0.25">
      <c r="A137" s="700"/>
      <c r="B137" s="780" t="s">
        <v>573</v>
      </c>
      <c r="C137" s="237">
        <v>3413319</v>
      </c>
      <c r="D137" s="237">
        <v>3249647</v>
      </c>
      <c r="E137" s="237">
        <v>2837862</v>
      </c>
      <c r="F137" s="237">
        <v>2739231</v>
      </c>
      <c r="G137" s="237">
        <v>2638784</v>
      </c>
      <c r="H137" s="237">
        <v>2422728</v>
      </c>
      <c r="I137" s="237">
        <v>2321580</v>
      </c>
      <c r="J137" s="237">
        <v>2132620</v>
      </c>
      <c r="K137" s="237">
        <v>2107446</v>
      </c>
      <c r="L137" s="237">
        <v>2074779</v>
      </c>
      <c r="M137" s="237">
        <v>1900944</v>
      </c>
      <c r="N137" s="237">
        <v>1845169</v>
      </c>
      <c r="O137" s="237">
        <v>1750607</v>
      </c>
      <c r="P137" s="237">
        <v>1762969</v>
      </c>
      <c r="Q137" s="237">
        <v>1881349</v>
      </c>
      <c r="R137" s="238">
        <v>2012542</v>
      </c>
      <c r="S137" s="238">
        <v>2013653</v>
      </c>
      <c r="T137" s="238">
        <v>1928380</v>
      </c>
      <c r="U137" s="238">
        <v>1301432</v>
      </c>
      <c r="V137" s="238">
        <v>1496971</v>
      </c>
      <c r="W137" s="238">
        <v>1722694</v>
      </c>
      <c r="X137" s="238">
        <v>1780407</v>
      </c>
      <c r="Y137" s="237">
        <v>1777984</v>
      </c>
      <c r="Z137" s="237">
        <v>1801037</v>
      </c>
      <c r="AA137" s="237">
        <v>1736974</v>
      </c>
      <c r="AB137" s="238">
        <v>-3.5570063246896093</v>
      </c>
    </row>
    <row r="138" spans="1:28" ht="27.75" customHeight="1" x14ac:dyDescent="0.25">
      <c r="A138" s="693">
        <v>56</v>
      </c>
      <c r="B138" s="783" t="s">
        <v>574</v>
      </c>
      <c r="C138" s="696">
        <v>53552</v>
      </c>
      <c r="D138" s="696">
        <v>57546</v>
      </c>
      <c r="E138" s="696">
        <v>48368</v>
      </c>
      <c r="F138" s="696">
        <v>45731</v>
      </c>
      <c r="G138" s="696">
        <v>43100</v>
      </c>
      <c r="H138" s="696">
        <v>39327</v>
      </c>
      <c r="I138" s="703" t="s">
        <v>169</v>
      </c>
      <c r="J138" s="703" t="s">
        <v>169</v>
      </c>
      <c r="K138" s="703" t="s">
        <v>169</v>
      </c>
      <c r="L138" s="704" t="s">
        <v>169</v>
      </c>
      <c r="M138" s="704" t="s">
        <v>169</v>
      </c>
      <c r="N138" s="704" t="s">
        <v>169</v>
      </c>
      <c r="O138" s="695" t="s">
        <v>169</v>
      </c>
      <c r="P138" s="704" t="s">
        <v>169</v>
      </c>
      <c r="Q138" s="704" t="s">
        <v>169</v>
      </c>
      <c r="R138" s="704" t="s">
        <v>169</v>
      </c>
      <c r="S138" s="690" t="s">
        <v>169</v>
      </c>
      <c r="T138" s="690" t="s">
        <v>169</v>
      </c>
      <c r="U138" s="695" t="s">
        <v>169</v>
      </c>
      <c r="V138" s="695" t="s">
        <v>169</v>
      </c>
      <c r="W138" s="695" t="s">
        <v>169</v>
      </c>
      <c r="X138" s="695" t="s">
        <v>169</v>
      </c>
      <c r="Y138" s="704" t="s">
        <v>169</v>
      </c>
      <c r="Z138" s="704" t="s">
        <v>169</v>
      </c>
      <c r="AA138" s="704" t="s">
        <v>169</v>
      </c>
      <c r="AB138" s="690" t="s">
        <v>169</v>
      </c>
    </row>
    <row r="139" spans="1:28" ht="16.350000000000001" customHeight="1" x14ac:dyDescent="0.25">
      <c r="A139" s="693" t="s">
        <v>575</v>
      </c>
      <c r="B139" s="783" t="s">
        <v>576</v>
      </c>
      <c r="C139" s="695" t="s">
        <v>169</v>
      </c>
      <c r="D139" s="695" t="s">
        <v>169</v>
      </c>
      <c r="E139" s="695" t="s">
        <v>169</v>
      </c>
      <c r="F139" s="695" t="s">
        <v>169</v>
      </c>
      <c r="G139" s="695" t="s">
        <v>169</v>
      </c>
      <c r="H139" s="695" t="s">
        <v>169</v>
      </c>
      <c r="I139" s="696">
        <v>3629</v>
      </c>
      <c r="J139" s="696">
        <v>3623</v>
      </c>
      <c r="K139" s="696">
        <v>3325</v>
      </c>
      <c r="L139" s="696">
        <v>3100</v>
      </c>
      <c r="M139" s="696">
        <v>2588</v>
      </c>
      <c r="N139" s="696">
        <v>2574</v>
      </c>
      <c r="O139" s="695">
        <v>2807</v>
      </c>
      <c r="P139" s="686">
        <v>3288</v>
      </c>
      <c r="Q139" s="686">
        <v>3518</v>
      </c>
      <c r="R139" s="690">
        <v>4117</v>
      </c>
      <c r="S139" s="690">
        <v>4166</v>
      </c>
      <c r="T139" s="690">
        <v>4026</v>
      </c>
      <c r="U139" s="690">
        <v>3950</v>
      </c>
      <c r="V139" s="690">
        <v>4097</v>
      </c>
      <c r="W139" s="690">
        <v>4166</v>
      </c>
      <c r="X139" s="690">
        <v>4060</v>
      </c>
      <c r="Y139" s="686">
        <v>3969</v>
      </c>
      <c r="Z139" s="686">
        <v>3967</v>
      </c>
      <c r="AA139" s="686">
        <v>4119</v>
      </c>
      <c r="AB139" s="230">
        <v>3.8316107890093272</v>
      </c>
    </row>
    <row r="140" spans="1:28" ht="16.5" customHeight="1" x14ac:dyDescent="0.25">
      <c r="A140" s="693" t="s">
        <v>577</v>
      </c>
      <c r="B140" s="783" t="s">
        <v>578</v>
      </c>
      <c r="C140" s="695" t="s">
        <v>169</v>
      </c>
      <c r="D140" s="695" t="s">
        <v>169</v>
      </c>
      <c r="E140" s="695" t="s">
        <v>169</v>
      </c>
      <c r="F140" s="695" t="s">
        <v>169</v>
      </c>
      <c r="G140" s="695" t="s">
        <v>169</v>
      </c>
      <c r="H140" s="695" t="s">
        <v>169</v>
      </c>
      <c r="I140" s="696">
        <v>31198</v>
      </c>
      <c r="J140" s="696">
        <v>28957</v>
      </c>
      <c r="K140" s="696">
        <v>25791</v>
      </c>
      <c r="L140" s="696">
        <v>24119</v>
      </c>
      <c r="M140" s="696">
        <v>16717</v>
      </c>
      <c r="N140" s="696">
        <v>16008</v>
      </c>
      <c r="O140" s="695">
        <v>16772</v>
      </c>
      <c r="P140" s="686">
        <v>18755</v>
      </c>
      <c r="Q140" s="686">
        <v>20639</v>
      </c>
      <c r="R140" s="690">
        <v>22781</v>
      </c>
      <c r="S140" s="690">
        <v>22568</v>
      </c>
      <c r="T140" s="690">
        <v>22139</v>
      </c>
      <c r="U140" s="690">
        <v>19275</v>
      </c>
      <c r="V140" s="690">
        <v>20682</v>
      </c>
      <c r="W140" s="690">
        <v>23651</v>
      </c>
      <c r="X140" s="690">
        <v>19558</v>
      </c>
      <c r="Y140" s="686">
        <v>19094</v>
      </c>
      <c r="Z140" s="686">
        <v>18572</v>
      </c>
      <c r="AA140" s="686">
        <v>20575</v>
      </c>
      <c r="AB140" s="230">
        <v>10.785052767607151</v>
      </c>
    </row>
    <row r="141" spans="1:28" ht="18" customHeight="1" x14ac:dyDescent="0.25">
      <c r="A141" s="693"/>
      <c r="B141" s="779" t="s">
        <v>579</v>
      </c>
      <c r="C141" s="229">
        <v>53552</v>
      </c>
      <c r="D141" s="229">
        <v>57546</v>
      </c>
      <c r="E141" s="229">
        <v>48368</v>
      </c>
      <c r="F141" s="229">
        <v>45731</v>
      </c>
      <c r="G141" s="229">
        <v>43100</v>
      </c>
      <c r="H141" s="229">
        <v>39327</v>
      </c>
      <c r="I141" s="229">
        <v>34827</v>
      </c>
      <c r="J141" s="229">
        <v>32580</v>
      </c>
      <c r="K141" s="229">
        <v>29116</v>
      </c>
      <c r="L141" s="229">
        <v>27219</v>
      </c>
      <c r="M141" s="229">
        <v>19305</v>
      </c>
      <c r="N141" s="229">
        <v>18582</v>
      </c>
      <c r="O141" s="234">
        <v>19579</v>
      </c>
      <c r="P141" s="229">
        <v>22043</v>
      </c>
      <c r="Q141" s="229">
        <v>24157</v>
      </c>
      <c r="R141" s="230">
        <v>26898</v>
      </c>
      <c r="S141" s="230">
        <v>26734</v>
      </c>
      <c r="T141" s="230">
        <v>26165</v>
      </c>
      <c r="U141" s="230">
        <v>23225</v>
      </c>
      <c r="V141" s="230">
        <v>24779</v>
      </c>
      <c r="W141" s="230">
        <v>27817</v>
      </c>
      <c r="X141" s="230">
        <v>23618</v>
      </c>
      <c r="Y141" s="229">
        <v>23063</v>
      </c>
      <c r="Z141" s="229">
        <v>22539</v>
      </c>
      <c r="AA141" s="229">
        <v>24694</v>
      </c>
      <c r="AB141" s="230">
        <v>9.5612050224056091</v>
      </c>
    </row>
    <row r="142" spans="1:28" ht="29.25" customHeight="1" x14ac:dyDescent="0.25">
      <c r="A142" s="693" t="s">
        <v>580</v>
      </c>
      <c r="B142" s="783" t="s">
        <v>581</v>
      </c>
      <c r="C142" s="696">
        <v>291999</v>
      </c>
      <c r="D142" s="696">
        <v>321613</v>
      </c>
      <c r="E142" s="696">
        <v>308973</v>
      </c>
      <c r="F142" s="696">
        <v>297579</v>
      </c>
      <c r="G142" s="696">
        <v>288285</v>
      </c>
      <c r="H142" s="696">
        <v>256804</v>
      </c>
      <c r="I142" s="696">
        <v>235424</v>
      </c>
      <c r="J142" s="696">
        <v>198623</v>
      </c>
      <c r="K142" s="696">
        <v>172916</v>
      </c>
      <c r="L142" s="696">
        <v>155982</v>
      </c>
      <c r="M142" s="696">
        <v>131157</v>
      </c>
      <c r="N142" s="696">
        <v>121525</v>
      </c>
      <c r="O142" s="695">
        <v>117969</v>
      </c>
      <c r="P142" s="686">
        <v>125700</v>
      </c>
      <c r="Q142" s="686">
        <v>132189</v>
      </c>
      <c r="R142" s="690">
        <v>142074</v>
      </c>
      <c r="S142" s="690">
        <v>140250</v>
      </c>
      <c r="T142" s="690">
        <v>139207</v>
      </c>
      <c r="U142" s="690">
        <v>121210</v>
      </c>
      <c r="V142" s="690">
        <v>141506</v>
      </c>
      <c r="W142" s="690">
        <v>142973</v>
      </c>
      <c r="X142" s="690">
        <v>133668</v>
      </c>
      <c r="Y142" s="686">
        <v>121051</v>
      </c>
      <c r="Z142" s="686">
        <v>130444</v>
      </c>
      <c r="AA142" s="686">
        <v>118341</v>
      </c>
      <c r="AB142" s="230">
        <v>-9.2783109993560462</v>
      </c>
    </row>
    <row r="143" spans="1:28" ht="16.350000000000001" customHeight="1" x14ac:dyDescent="0.25">
      <c r="A143" s="693" t="s">
        <v>582</v>
      </c>
      <c r="B143" s="783" t="s">
        <v>583</v>
      </c>
      <c r="C143" s="696">
        <v>176702</v>
      </c>
      <c r="D143" s="696">
        <v>186784</v>
      </c>
      <c r="E143" s="696">
        <v>174489</v>
      </c>
      <c r="F143" s="696">
        <v>161436</v>
      </c>
      <c r="G143" s="696">
        <v>160207</v>
      </c>
      <c r="H143" s="696">
        <v>131146</v>
      </c>
      <c r="I143" s="696">
        <v>109440</v>
      </c>
      <c r="J143" s="696">
        <v>88687</v>
      </c>
      <c r="K143" s="696">
        <v>75677</v>
      </c>
      <c r="L143" s="696">
        <v>67329</v>
      </c>
      <c r="M143" s="696">
        <v>57631</v>
      </c>
      <c r="N143" s="696">
        <v>52599</v>
      </c>
      <c r="O143" s="695">
        <v>50555</v>
      </c>
      <c r="P143" s="686">
        <v>52217</v>
      </c>
      <c r="Q143" s="686">
        <v>53984</v>
      </c>
      <c r="R143" s="690">
        <v>53677</v>
      </c>
      <c r="S143" s="690">
        <v>48597</v>
      </c>
      <c r="T143" s="690">
        <v>46603</v>
      </c>
      <c r="U143" s="690">
        <v>34153</v>
      </c>
      <c r="V143" s="690">
        <v>51048</v>
      </c>
      <c r="W143" s="690">
        <v>54877</v>
      </c>
      <c r="X143" s="690">
        <v>55410</v>
      </c>
      <c r="Y143" s="686">
        <v>53812</v>
      </c>
      <c r="Z143" s="686">
        <v>55298</v>
      </c>
      <c r="AA143" s="686">
        <v>51988</v>
      </c>
      <c r="AB143" s="230">
        <v>-5.9857499367065721</v>
      </c>
    </row>
    <row r="144" spans="1:28" ht="16.350000000000001" customHeight="1" x14ac:dyDescent="0.25">
      <c r="A144" s="693" t="s">
        <v>584</v>
      </c>
      <c r="B144" s="783" t="s">
        <v>289</v>
      </c>
      <c r="C144" s="696">
        <v>434270</v>
      </c>
      <c r="D144" s="696">
        <v>457950</v>
      </c>
      <c r="E144" s="696">
        <v>461346</v>
      </c>
      <c r="F144" s="696">
        <v>468143</v>
      </c>
      <c r="G144" s="696">
        <v>483237</v>
      </c>
      <c r="H144" s="696">
        <v>425632</v>
      </c>
      <c r="I144" s="696">
        <v>389719</v>
      </c>
      <c r="J144" s="696">
        <v>336927</v>
      </c>
      <c r="K144" s="696">
        <v>289045</v>
      </c>
      <c r="L144" s="696">
        <v>259871</v>
      </c>
      <c r="M144" s="696">
        <v>222770</v>
      </c>
      <c r="N144" s="696">
        <v>217994</v>
      </c>
      <c r="O144" s="695">
        <v>214760</v>
      </c>
      <c r="P144" s="686">
        <v>227743</v>
      </c>
      <c r="Q144" s="686">
        <v>232410</v>
      </c>
      <c r="R144" s="690">
        <v>232929</v>
      </c>
      <c r="S144" s="690">
        <v>216715</v>
      </c>
      <c r="T144" s="690">
        <v>204370</v>
      </c>
      <c r="U144" s="690">
        <v>155258</v>
      </c>
      <c r="V144" s="690">
        <v>170299</v>
      </c>
      <c r="W144" s="690">
        <v>161549</v>
      </c>
      <c r="X144" s="690">
        <v>149650</v>
      </c>
      <c r="Y144" s="686">
        <v>139233</v>
      </c>
      <c r="Z144" s="686">
        <v>147387</v>
      </c>
      <c r="AA144" s="686">
        <v>136171</v>
      </c>
      <c r="AB144" s="230">
        <v>-7.6098977521762441</v>
      </c>
    </row>
    <row r="145" spans="1:28" ht="16.350000000000001" customHeight="1" x14ac:dyDescent="0.25">
      <c r="A145" s="693" t="s">
        <v>585</v>
      </c>
      <c r="B145" s="783" t="s">
        <v>586</v>
      </c>
      <c r="C145" s="696">
        <v>152440</v>
      </c>
      <c r="D145" s="696">
        <v>180411</v>
      </c>
      <c r="E145" s="696">
        <v>188842</v>
      </c>
      <c r="F145" s="696">
        <v>195069</v>
      </c>
      <c r="G145" s="696">
        <v>197036</v>
      </c>
      <c r="H145" s="696">
        <v>173127</v>
      </c>
      <c r="I145" s="696">
        <v>157109</v>
      </c>
      <c r="J145" s="696">
        <v>140575</v>
      </c>
      <c r="K145" s="696">
        <v>125751</v>
      </c>
      <c r="L145" s="696">
        <v>113478</v>
      </c>
      <c r="M145" s="696">
        <v>97008</v>
      </c>
      <c r="N145" s="696">
        <v>93438</v>
      </c>
      <c r="O145" s="695">
        <v>98586</v>
      </c>
      <c r="P145" s="686">
        <v>111073</v>
      </c>
      <c r="Q145" s="686">
        <v>120113</v>
      </c>
      <c r="R145" s="690">
        <v>133049</v>
      </c>
      <c r="S145" s="690">
        <v>138766</v>
      </c>
      <c r="T145" s="690">
        <v>141807</v>
      </c>
      <c r="U145" s="690">
        <v>135422</v>
      </c>
      <c r="V145" s="690">
        <v>144263</v>
      </c>
      <c r="W145" s="690">
        <v>140613</v>
      </c>
      <c r="X145" s="690">
        <v>131270</v>
      </c>
      <c r="Y145" s="686">
        <v>123570</v>
      </c>
      <c r="Z145" s="686">
        <v>127264</v>
      </c>
      <c r="AA145" s="686">
        <v>125886</v>
      </c>
      <c r="AB145" s="230">
        <v>-1.0827885340709078</v>
      </c>
    </row>
    <row r="146" spans="1:28" ht="16.350000000000001" customHeight="1" x14ac:dyDescent="0.25">
      <c r="A146" s="693" t="s">
        <v>587</v>
      </c>
      <c r="B146" s="783" t="s">
        <v>588</v>
      </c>
      <c r="C146" s="696">
        <v>2044</v>
      </c>
      <c r="D146" s="696">
        <v>1982</v>
      </c>
      <c r="E146" s="696">
        <v>1845</v>
      </c>
      <c r="F146" s="696">
        <v>1742</v>
      </c>
      <c r="G146" s="696">
        <v>1543</v>
      </c>
      <c r="H146" s="696">
        <v>1150</v>
      </c>
      <c r="I146" s="696">
        <v>999</v>
      </c>
      <c r="J146" s="696">
        <v>849</v>
      </c>
      <c r="K146" s="696">
        <v>639</v>
      </c>
      <c r="L146" s="696">
        <v>499</v>
      </c>
      <c r="M146" s="705" t="s">
        <v>169</v>
      </c>
      <c r="N146" s="705" t="s">
        <v>169</v>
      </c>
      <c r="O146" s="695" t="s">
        <v>169</v>
      </c>
      <c r="P146" s="705" t="s">
        <v>169</v>
      </c>
      <c r="Q146" s="705" t="s">
        <v>169</v>
      </c>
      <c r="R146" s="705" t="s">
        <v>169</v>
      </c>
      <c r="S146" s="690" t="s">
        <v>169</v>
      </c>
      <c r="T146" s="690" t="s">
        <v>169</v>
      </c>
      <c r="U146" s="695" t="s">
        <v>169</v>
      </c>
      <c r="V146" s="695" t="s">
        <v>169</v>
      </c>
      <c r="W146" s="695" t="s">
        <v>169</v>
      </c>
      <c r="X146" s="695" t="s">
        <v>169</v>
      </c>
      <c r="Y146" s="705" t="s">
        <v>169</v>
      </c>
      <c r="Z146" s="705" t="s">
        <v>169</v>
      </c>
      <c r="AA146" s="705" t="s">
        <v>169</v>
      </c>
      <c r="AB146" s="690" t="s">
        <v>169</v>
      </c>
    </row>
    <row r="147" spans="1:28" ht="16.350000000000001" customHeight="1" x14ac:dyDescent="0.25">
      <c r="A147" s="693" t="s">
        <v>589</v>
      </c>
      <c r="B147" s="783" t="s">
        <v>590</v>
      </c>
      <c r="C147" s="696">
        <v>1160</v>
      </c>
      <c r="D147" s="696">
        <v>1185</v>
      </c>
      <c r="E147" s="696">
        <v>1137</v>
      </c>
      <c r="F147" s="696">
        <v>1274</v>
      </c>
      <c r="G147" s="696">
        <v>1079</v>
      </c>
      <c r="H147" s="696">
        <v>833</v>
      </c>
      <c r="I147" s="696">
        <v>778</v>
      </c>
      <c r="J147" s="696">
        <v>663</v>
      </c>
      <c r="K147" s="696">
        <v>534</v>
      </c>
      <c r="L147" s="696">
        <v>431</v>
      </c>
      <c r="M147" s="705" t="s">
        <v>169</v>
      </c>
      <c r="N147" s="705" t="s">
        <v>169</v>
      </c>
      <c r="O147" s="695" t="s">
        <v>169</v>
      </c>
      <c r="P147" s="705" t="s">
        <v>169</v>
      </c>
      <c r="Q147" s="705" t="s">
        <v>169</v>
      </c>
      <c r="R147" s="705" t="s">
        <v>169</v>
      </c>
      <c r="S147" s="690" t="s">
        <v>169</v>
      </c>
      <c r="T147" s="690" t="s">
        <v>169</v>
      </c>
      <c r="U147" s="695" t="s">
        <v>169</v>
      </c>
      <c r="V147" s="695" t="s">
        <v>169</v>
      </c>
      <c r="W147" s="695" t="s">
        <v>169</v>
      </c>
      <c r="X147" s="695" t="s">
        <v>169</v>
      </c>
      <c r="Y147" s="705" t="s">
        <v>169</v>
      </c>
      <c r="Z147" s="705" t="s">
        <v>169</v>
      </c>
      <c r="AA147" s="705" t="s">
        <v>169</v>
      </c>
      <c r="AB147" s="690" t="s">
        <v>169</v>
      </c>
    </row>
    <row r="148" spans="1:28" ht="16.350000000000001" customHeight="1" x14ac:dyDescent="0.25">
      <c r="A148" s="693" t="s">
        <v>591</v>
      </c>
      <c r="B148" s="783" t="s">
        <v>592</v>
      </c>
      <c r="C148" s="696">
        <v>1525</v>
      </c>
      <c r="D148" s="696">
        <v>1603</v>
      </c>
      <c r="E148" s="696">
        <v>1640</v>
      </c>
      <c r="F148" s="696">
        <v>1899</v>
      </c>
      <c r="G148" s="696">
        <v>1711</v>
      </c>
      <c r="H148" s="696">
        <v>1338</v>
      </c>
      <c r="I148" s="696">
        <v>1304</v>
      </c>
      <c r="J148" s="696">
        <v>1135</v>
      </c>
      <c r="K148" s="696">
        <v>869</v>
      </c>
      <c r="L148" s="696">
        <v>788</v>
      </c>
      <c r="M148" s="705" t="s">
        <v>169</v>
      </c>
      <c r="N148" s="705" t="s">
        <v>169</v>
      </c>
      <c r="O148" s="695" t="s">
        <v>169</v>
      </c>
      <c r="P148" s="705" t="s">
        <v>169</v>
      </c>
      <c r="Q148" s="705" t="s">
        <v>169</v>
      </c>
      <c r="R148" s="705" t="s">
        <v>169</v>
      </c>
      <c r="S148" s="690" t="s">
        <v>169</v>
      </c>
      <c r="T148" s="690" t="s">
        <v>169</v>
      </c>
      <c r="U148" s="695" t="s">
        <v>169</v>
      </c>
      <c r="V148" s="695" t="s">
        <v>169</v>
      </c>
      <c r="W148" s="695" t="s">
        <v>169</v>
      </c>
      <c r="X148" s="695" t="s">
        <v>169</v>
      </c>
      <c r="Y148" s="705" t="s">
        <v>169</v>
      </c>
      <c r="Z148" s="705" t="s">
        <v>169</v>
      </c>
      <c r="AA148" s="705" t="s">
        <v>169</v>
      </c>
      <c r="AB148" s="690" t="s">
        <v>169</v>
      </c>
    </row>
    <row r="149" spans="1:28" ht="16.350000000000001" customHeight="1" x14ac:dyDescent="0.25">
      <c r="A149" s="693" t="s">
        <v>593</v>
      </c>
      <c r="B149" s="783" t="s">
        <v>594</v>
      </c>
      <c r="C149" s="696">
        <v>780</v>
      </c>
      <c r="D149" s="696">
        <v>838</v>
      </c>
      <c r="E149" s="696">
        <v>837</v>
      </c>
      <c r="F149" s="696">
        <v>975</v>
      </c>
      <c r="G149" s="696">
        <v>953</v>
      </c>
      <c r="H149" s="696">
        <v>681</v>
      </c>
      <c r="I149" s="696">
        <v>727</v>
      </c>
      <c r="J149" s="696">
        <v>606</v>
      </c>
      <c r="K149" s="696">
        <v>537</v>
      </c>
      <c r="L149" s="696">
        <v>411</v>
      </c>
      <c r="M149" s="705" t="s">
        <v>169</v>
      </c>
      <c r="N149" s="705" t="s">
        <v>169</v>
      </c>
      <c r="O149" s="695" t="s">
        <v>169</v>
      </c>
      <c r="P149" s="705" t="s">
        <v>169</v>
      </c>
      <c r="Q149" s="705" t="s">
        <v>169</v>
      </c>
      <c r="R149" s="705" t="s">
        <v>169</v>
      </c>
      <c r="S149" s="690" t="s">
        <v>169</v>
      </c>
      <c r="T149" s="690" t="s">
        <v>169</v>
      </c>
      <c r="U149" s="695" t="s">
        <v>169</v>
      </c>
      <c r="V149" s="695" t="s">
        <v>169</v>
      </c>
      <c r="W149" s="695" t="s">
        <v>169</v>
      </c>
      <c r="X149" s="695" t="s">
        <v>169</v>
      </c>
      <c r="Y149" s="705" t="s">
        <v>169</v>
      </c>
      <c r="Z149" s="705" t="s">
        <v>169</v>
      </c>
      <c r="AA149" s="705" t="s">
        <v>169</v>
      </c>
      <c r="AB149" s="690" t="s">
        <v>169</v>
      </c>
    </row>
    <row r="150" spans="1:28" ht="17.25" customHeight="1" x14ac:dyDescent="0.25">
      <c r="A150" s="693" t="s">
        <v>595</v>
      </c>
      <c r="B150" s="783" t="s">
        <v>596</v>
      </c>
      <c r="C150" s="704" t="s">
        <v>169</v>
      </c>
      <c r="D150" s="704" t="s">
        <v>169</v>
      </c>
      <c r="E150" s="704" t="s">
        <v>169</v>
      </c>
      <c r="F150" s="704" t="s">
        <v>169</v>
      </c>
      <c r="G150" s="704" t="s">
        <v>169</v>
      </c>
      <c r="H150" s="704" t="s">
        <v>169</v>
      </c>
      <c r="I150" s="704" t="s">
        <v>169</v>
      </c>
      <c r="J150" s="704" t="s">
        <v>169</v>
      </c>
      <c r="K150" s="704" t="s">
        <v>169</v>
      </c>
      <c r="L150" s="704" t="s">
        <v>169</v>
      </c>
      <c r="M150" s="696">
        <v>1841</v>
      </c>
      <c r="N150" s="696">
        <v>1874</v>
      </c>
      <c r="O150" s="695">
        <v>1810</v>
      </c>
      <c r="P150" s="686">
        <v>2050</v>
      </c>
      <c r="Q150" s="686">
        <v>2232</v>
      </c>
      <c r="R150" s="690">
        <v>2366</v>
      </c>
      <c r="S150" s="690">
        <v>2167</v>
      </c>
      <c r="T150" s="690">
        <v>2329</v>
      </c>
      <c r="U150" s="690">
        <v>2094</v>
      </c>
      <c r="V150" s="690">
        <v>2699</v>
      </c>
      <c r="W150" s="690">
        <v>2559</v>
      </c>
      <c r="X150" s="690">
        <v>2728</v>
      </c>
      <c r="Y150" s="686">
        <v>2560</v>
      </c>
      <c r="Z150" s="686">
        <v>2767</v>
      </c>
      <c r="AA150" s="686">
        <v>2687</v>
      </c>
      <c r="AB150" s="230">
        <v>-2.8912179255511381</v>
      </c>
    </row>
    <row r="151" spans="1:28" ht="24.75" customHeight="1" x14ac:dyDescent="0.25">
      <c r="A151" s="693"/>
      <c r="B151" s="779" t="s">
        <v>597</v>
      </c>
      <c r="C151" s="229">
        <v>1060920</v>
      </c>
      <c r="D151" s="229">
        <v>1152366</v>
      </c>
      <c r="E151" s="229">
        <v>1139109</v>
      </c>
      <c r="F151" s="229">
        <v>1128117</v>
      </c>
      <c r="G151" s="229">
        <v>1134051</v>
      </c>
      <c r="H151" s="229">
        <v>990711</v>
      </c>
      <c r="I151" s="229">
        <v>895500</v>
      </c>
      <c r="J151" s="229">
        <v>768065</v>
      </c>
      <c r="K151" s="229">
        <v>665968</v>
      </c>
      <c r="L151" s="229">
        <v>598789</v>
      </c>
      <c r="M151" s="229">
        <v>510407</v>
      </c>
      <c r="N151" s="229">
        <v>487430</v>
      </c>
      <c r="O151" s="234">
        <v>483680</v>
      </c>
      <c r="P151" s="229">
        <v>518783</v>
      </c>
      <c r="Q151" s="229">
        <v>540928</v>
      </c>
      <c r="R151" s="230">
        <v>564095</v>
      </c>
      <c r="S151" s="230">
        <v>546495</v>
      </c>
      <c r="T151" s="230">
        <v>534316</v>
      </c>
      <c r="U151" s="230">
        <v>448137</v>
      </c>
      <c r="V151" s="230">
        <v>509815</v>
      </c>
      <c r="W151" s="230">
        <v>502571</v>
      </c>
      <c r="X151" s="230">
        <v>472726</v>
      </c>
      <c r="Y151" s="229">
        <v>440226</v>
      </c>
      <c r="Z151" s="229">
        <v>463160</v>
      </c>
      <c r="AA151" s="229">
        <v>435073</v>
      </c>
      <c r="AB151" s="230">
        <v>-6.0642110717678559</v>
      </c>
    </row>
    <row r="152" spans="1:28" ht="29.25" customHeight="1" x14ac:dyDescent="0.25">
      <c r="A152" s="700"/>
      <c r="B152" s="780" t="s">
        <v>598</v>
      </c>
      <c r="C152" s="237">
        <v>1114472</v>
      </c>
      <c r="D152" s="237">
        <v>1209912</v>
      </c>
      <c r="E152" s="237">
        <v>1187477</v>
      </c>
      <c r="F152" s="237">
        <v>1173848</v>
      </c>
      <c r="G152" s="237">
        <v>1177151</v>
      </c>
      <c r="H152" s="237">
        <v>1030038</v>
      </c>
      <c r="I152" s="237">
        <v>930327</v>
      </c>
      <c r="J152" s="237">
        <v>800645</v>
      </c>
      <c r="K152" s="237">
        <v>695084</v>
      </c>
      <c r="L152" s="237">
        <v>626008</v>
      </c>
      <c r="M152" s="237">
        <v>529712</v>
      </c>
      <c r="N152" s="237">
        <v>506012</v>
      </c>
      <c r="O152" s="239">
        <v>503259</v>
      </c>
      <c r="P152" s="237">
        <v>540826</v>
      </c>
      <c r="Q152" s="237">
        <v>565085</v>
      </c>
      <c r="R152" s="238">
        <v>590993</v>
      </c>
      <c r="S152" s="238">
        <v>573229</v>
      </c>
      <c r="T152" s="238">
        <v>560481</v>
      </c>
      <c r="U152" s="238">
        <v>471362</v>
      </c>
      <c r="V152" s="238">
        <v>534594</v>
      </c>
      <c r="W152" s="238">
        <v>530388</v>
      </c>
      <c r="X152" s="238">
        <v>496344</v>
      </c>
      <c r="Y152" s="237">
        <v>463289</v>
      </c>
      <c r="Z152" s="237">
        <v>485699</v>
      </c>
      <c r="AA152" s="237">
        <v>459767</v>
      </c>
      <c r="AB152" s="238">
        <v>-5.3391092013778083</v>
      </c>
    </row>
    <row r="153" spans="1:28" ht="28.5" customHeight="1" x14ac:dyDescent="0.25">
      <c r="A153" s="693"/>
      <c r="B153" s="224" t="s">
        <v>599</v>
      </c>
      <c r="C153" s="229">
        <v>387821</v>
      </c>
      <c r="D153" s="229">
        <v>420595</v>
      </c>
      <c r="E153" s="229">
        <v>453825</v>
      </c>
      <c r="F153" s="229">
        <v>515453</v>
      </c>
      <c r="G153" s="229">
        <v>534159</v>
      </c>
      <c r="H153" s="229">
        <v>542656</v>
      </c>
      <c r="I153" s="229">
        <v>539153</v>
      </c>
      <c r="J153" s="229">
        <v>504649</v>
      </c>
      <c r="K153" s="229">
        <v>480330</v>
      </c>
      <c r="L153" s="229">
        <v>448626</v>
      </c>
      <c r="M153" s="229">
        <v>402617</v>
      </c>
      <c r="N153" s="229">
        <v>398679</v>
      </c>
      <c r="O153" s="234">
        <v>403758</v>
      </c>
      <c r="P153" s="229">
        <v>444627</v>
      </c>
      <c r="Q153" s="229">
        <v>534630</v>
      </c>
      <c r="R153" s="230">
        <v>659065</v>
      </c>
      <c r="S153" s="230">
        <v>755470</v>
      </c>
      <c r="T153" s="230">
        <v>798858</v>
      </c>
      <c r="U153" s="230">
        <v>850659</v>
      </c>
      <c r="V153" s="230">
        <v>941893</v>
      </c>
      <c r="W153" s="230">
        <v>946817</v>
      </c>
      <c r="X153" s="230">
        <v>841803</v>
      </c>
      <c r="Y153" s="229">
        <v>839070</v>
      </c>
      <c r="Z153" s="229">
        <v>821393</v>
      </c>
      <c r="AA153" s="229">
        <v>854221</v>
      </c>
      <c r="AB153" s="230">
        <v>3.9966252451627904</v>
      </c>
    </row>
    <row r="154" spans="1:28" ht="22.5" customHeight="1" x14ac:dyDescent="0.25">
      <c r="A154" s="693" t="s">
        <v>600</v>
      </c>
      <c r="B154" s="783" t="s">
        <v>601</v>
      </c>
      <c r="C154" s="696">
        <v>22435</v>
      </c>
      <c r="D154" s="696">
        <v>24628</v>
      </c>
      <c r="E154" s="696">
        <v>24190</v>
      </c>
      <c r="F154" s="696">
        <v>25276</v>
      </c>
      <c r="G154" s="696">
        <v>26550</v>
      </c>
      <c r="H154" s="696">
        <v>28323</v>
      </c>
      <c r="I154" s="696">
        <v>29885</v>
      </c>
      <c r="J154" s="696">
        <v>33223</v>
      </c>
      <c r="K154" s="696">
        <v>32336</v>
      </c>
      <c r="L154" s="696">
        <v>31316</v>
      </c>
      <c r="M154" s="696">
        <v>29746</v>
      </c>
      <c r="N154" s="696">
        <v>29348</v>
      </c>
      <c r="O154" s="695">
        <v>27368</v>
      </c>
      <c r="P154" s="686">
        <v>26077</v>
      </c>
      <c r="Q154" s="686">
        <v>25939</v>
      </c>
      <c r="R154" s="690">
        <v>27138</v>
      </c>
      <c r="S154" s="690">
        <v>30477</v>
      </c>
      <c r="T154" s="690">
        <v>34669</v>
      </c>
      <c r="U154" s="690">
        <v>42919</v>
      </c>
      <c r="V154" s="690">
        <v>39380</v>
      </c>
      <c r="W154" s="690">
        <v>43854</v>
      </c>
      <c r="X154" s="690">
        <v>52298</v>
      </c>
      <c r="Y154" s="686">
        <v>66598</v>
      </c>
      <c r="Z154" s="686">
        <v>52582</v>
      </c>
      <c r="AA154" s="686">
        <v>73074</v>
      </c>
      <c r="AB154" s="230">
        <v>38.971511163516034</v>
      </c>
    </row>
    <row r="155" spans="1:28" ht="15.75" customHeight="1" x14ac:dyDescent="0.25">
      <c r="A155" s="693"/>
      <c r="B155" s="776" t="s">
        <v>602</v>
      </c>
      <c r="C155" s="231">
        <v>22435</v>
      </c>
      <c r="D155" s="231">
        <v>24628</v>
      </c>
      <c r="E155" s="231">
        <v>24190</v>
      </c>
      <c r="F155" s="231">
        <v>25276</v>
      </c>
      <c r="G155" s="231">
        <v>26550</v>
      </c>
      <c r="H155" s="231">
        <v>28323</v>
      </c>
      <c r="I155" s="231">
        <v>29885</v>
      </c>
      <c r="J155" s="231">
        <v>33223</v>
      </c>
      <c r="K155" s="231">
        <v>32336</v>
      </c>
      <c r="L155" s="231">
        <v>31316</v>
      </c>
      <c r="M155" s="231">
        <v>29746</v>
      </c>
      <c r="N155" s="231">
        <v>29348</v>
      </c>
      <c r="O155" s="234">
        <v>27368</v>
      </c>
      <c r="P155" s="231">
        <v>26077</v>
      </c>
      <c r="Q155" s="231">
        <v>25939</v>
      </c>
      <c r="R155" s="232">
        <v>27138</v>
      </c>
      <c r="S155" s="232">
        <v>30477</v>
      </c>
      <c r="T155" s="232">
        <v>34669</v>
      </c>
      <c r="U155" s="232">
        <v>42919</v>
      </c>
      <c r="V155" s="232">
        <v>39380</v>
      </c>
      <c r="W155" s="232">
        <v>43854</v>
      </c>
      <c r="X155" s="232">
        <v>52298</v>
      </c>
      <c r="Y155" s="231">
        <v>66598</v>
      </c>
      <c r="Z155" s="231">
        <v>52582</v>
      </c>
      <c r="AA155" s="231">
        <v>73074</v>
      </c>
      <c r="AB155" s="230">
        <v>38.971511163516034</v>
      </c>
    </row>
    <row r="156" spans="1:28" ht="30.75" customHeight="1" x14ac:dyDescent="0.25">
      <c r="A156" s="693" t="s">
        <v>603</v>
      </c>
      <c r="B156" s="783" t="s">
        <v>604</v>
      </c>
      <c r="C156" s="696">
        <v>119896</v>
      </c>
      <c r="D156" s="696">
        <v>118006</v>
      </c>
      <c r="E156" s="703" t="s">
        <v>169</v>
      </c>
      <c r="F156" s="703" t="s">
        <v>169</v>
      </c>
      <c r="G156" s="703" t="s">
        <v>169</v>
      </c>
      <c r="H156" s="703" t="s">
        <v>169</v>
      </c>
      <c r="I156" s="706" t="s">
        <v>169</v>
      </c>
      <c r="J156" s="695" t="s">
        <v>169</v>
      </c>
      <c r="K156" s="695" t="s">
        <v>169</v>
      </c>
      <c r="L156" s="695" t="s">
        <v>169</v>
      </c>
      <c r="M156" s="705" t="s">
        <v>169</v>
      </c>
      <c r="N156" s="690" t="s">
        <v>169</v>
      </c>
      <c r="O156" s="695" t="s">
        <v>169</v>
      </c>
      <c r="P156" s="690" t="s">
        <v>169</v>
      </c>
      <c r="Q156" s="690" t="s">
        <v>169</v>
      </c>
      <c r="R156" s="690" t="s">
        <v>169</v>
      </c>
      <c r="S156" s="690" t="s">
        <v>169</v>
      </c>
      <c r="T156" s="690" t="s">
        <v>169</v>
      </c>
      <c r="U156" s="695" t="s">
        <v>169</v>
      </c>
      <c r="V156" s="695" t="s">
        <v>169</v>
      </c>
      <c r="W156" s="695" t="s">
        <v>169</v>
      </c>
      <c r="X156" s="695" t="s">
        <v>169</v>
      </c>
      <c r="Y156" s="690" t="s">
        <v>169</v>
      </c>
      <c r="Z156" s="690" t="s">
        <v>169</v>
      </c>
      <c r="AA156" s="690" t="s">
        <v>169</v>
      </c>
      <c r="AB156" s="690" t="s">
        <v>169</v>
      </c>
    </row>
    <row r="157" spans="1:28" ht="16.350000000000001" customHeight="1" x14ac:dyDescent="0.25">
      <c r="A157" s="693" t="s">
        <v>605</v>
      </c>
      <c r="B157" s="783" t="s">
        <v>606</v>
      </c>
      <c r="C157" s="696">
        <v>989</v>
      </c>
      <c r="D157" s="696">
        <v>877</v>
      </c>
      <c r="E157" s="696">
        <v>781</v>
      </c>
      <c r="F157" s="696">
        <v>601</v>
      </c>
      <c r="G157" s="696">
        <v>680</v>
      </c>
      <c r="H157" s="696">
        <v>817</v>
      </c>
      <c r="I157" s="696">
        <v>1123</v>
      </c>
      <c r="J157" s="696">
        <v>1122</v>
      </c>
      <c r="K157" s="696">
        <v>1142</v>
      </c>
      <c r="L157" s="696">
        <v>1127</v>
      </c>
      <c r="M157" s="696">
        <v>1034</v>
      </c>
      <c r="N157" s="696">
        <v>1198</v>
      </c>
      <c r="O157" s="695">
        <v>779</v>
      </c>
      <c r="P157" s="686">
        <v>599</v>
      </c>
      <c r="Q157" s="686">
        <v>1083</v>
      </c>
      <c r="R157" s="690">
        <v>802</v>
      </c>
      <c r="S157" s="690">
        <v>805</v>
      </c>
      <c r="T157" s="690">
        <v>790</v>
      </c>
      <c r="U157" s="690">
        <v>1025</v>
      </c>
      <c r="V157" s="690">
        <v>706</v>
      </c>
      <c r="W157" s="690">
        <v>747</v>
      </c>
      <c r="X157" s="690">
        <v>626</v>
      </c>
      <c r="Y157" s="686">
        <v>510</v>
      </c>
      <c r="Z157" s="686">
        <v>591</v>
      </c>
      <c r="AA157" s="686">
        <v>562</v>
      </c>
      <c r="AB157" s="230">
        <v>-4.9069373942470387</v>
      </c>
    </row>
    <row r="158" spans="1:28" ht="16.350000000000001" customHeight="1" x14ac:dyDescent="0.25">
      <c r="A158" s="693" t="s">
        <v>607</v>
      </c>
      <c r="B158" s="783" t="s">
        <v>608</v>
      </c>
      <c r="C158" s="704" t="s">
        <v>169</v>
      </c>
      <c r="D158" s="704" t="s">
        <v>169</v>
      </c>
      <c r="E158" s="696">
        <v>32603</v>
      </c>
      <c r="F158" s="696">
        <v>32685</v>
      </c>
      <c r="G158" s="696">
        <v>36608</v>
      </c>
      <c r="H158" s="696">
        <v>42519</v>
      </c>
      <c r="I158" s="696">
        <v>44578</v>
      </c>
      <c r="J158" s="696">
        <v>38439</v>
      </c>
      <c r="K158" s="696">
        <v>38711</v>
      </c>
      <c r="L158" s="696">
        <v>36453</v>
      </c>
      <c r="M158" s="696">
        <v>34596</v>
      </c>
      <c r="N158" s="696">
        <v>34066</v>
      </c>
      <c r="O158" s="695">
        <v>32245</v>
      </c>
      <c r="P158" s="686">
        <v>29414</v>
      </c>
      <c r="Q158" s="686">
        <v>27441</v>
      </c>
      <c r="R158" s="690">
        <v>27830</v>
      </c>
      <c r="S158" s="690">
        <v>31215</v>
      </c>
      <c r="T158" s="690">
        <v>34669</v>
      </c>
      <c r="U158" s="690">
        <v>32666</v>
      </c>
      <c r="V158" s="690">
        <v>31923</v>
      </c>
      <c r="W158" s="690">
        <v>33412</v>
      </c>
      <c r="X158" s="690">
        <v>37138</v>
      </c>
      <c r="Y158" s="686">
        <v>41977</v>
      </c>
      <c r="Z158" s="686">
        <v>38280</v>
      </c>
      <c r="AA158" s="686">
        <v>44032</v>
      </c>
      <c r="AB158" s="230">
        <v>15.02612330198537</v>
      </c>
    </row>
    <row r="159" spans="1:28" ht="14.25" customHeight="1" x14ac:dyDescent="0.25">
      <c r="A159" s="693" t="s">
        <v>609</v>
      </c>
      <c r="B159" s="783" t="s">
        <v>610</v>
      </c>
      <c r="C159" s="704" t="s">
        <v>169</v>
      </c>
      <c r="D159" s="704" t="s">
        <v>169</v>
      </c>
      <c r="E159" s="696">
        <v>88263</v>
      </c>
      <c r="F159" s="696">
        <v>119917</v>
      </c>
      <c r="G159" s="696">
        <v>130395</v>
      </c>
      <c r="H159" s="696">
        <v>158254</v>
      </c>
      <c r="I159" s="696">
        <v>167950</v>
      </c>
      <c r="J159" s="696">
        <v>162800</v>
      </c>
      <c r="K159" s="696">
        <v>160733</v>
      </c>
      <c r="L159" s="696">
        <v>160203</v>
      </c>
      <c r="M159" s="696">
        <v>142627</v>
      </c>
      <c r="N159" s="696">
        <v>133604</v>
      </c>
      <c r="O159" s="695">
        <v>110297</v>
      </c>
      <c r="P159" s="686">
        <v>93635</v>
      </c>
      <c r="Q159" s="686">
        <v>84759</v>
      </c>
      <c r="R159" s="690">
        <v>82750</v>
      </c>
      <c r="S159" s="690">
        <v>91880</v>
      </c>
      <c r="T159" s="690">
        <v>113777</v>
      </c>
      <c r="U159" s="690">
        <v>134512</v>
      </c>
      <c r="V159" s="690">
        <v>107518</v>
      </c>
      <c r="W159" s="690">
        <v>101816</v>
      </c>
      <c r="X159" s="690">
        <v>92611</v>
      </c>
      <c r="Y159" s="686">
        <v>95579</v>
      </c>
      <c r="Z159" s="686">
        <v>91499</v>
      </c>
      <c r="AA159" s="686">
        <v>99126</v>
      </c>
      <c r="AB159" s="230">
        <v>8.335610225248363</v>
      </c>
    </row>
    <row r="160" spans="1:28" ht="18" customHeight="1" x14ac:dyDescent="0.25">
      <c r="A160" s="693"/>
      <c r="B160" s="776" t="s">
        <v>611</v>
      </c>
      <c r="C160" s="229">
        <v>120885</v>
      </c>
      <c r="D160" s="229">
        <v>118883</v>
      </c>
      <c r="E160" s="229">
        <v>121647</v>
      </c>
      <c r="F160" s="229">
        <v>153203</v>
      </c>
      <c r="G160" s="229">
        <v>167683</v>
      </c>
      <c r="H160" s="229">
        <v>201590</v>
      </c>
      <c r="I160" s="229">
        <v>213651</v>
      </c>
      <c r="J160" s="229">
        <v>202361</v>
      </c>
      <c r="K160" s="229">
        <v>200586</v>
      </c>
      <c r="L160" s="229">
        <v>197783</v>
      </c>
      <c r="M160" s="229">
        <v>178257</v>
      </c>
      <c r="N160" s="229">
        <v>168868</v>
      </c>
      <c r="O160" s="234">
        <v>143321</v>
      </c>
      <c r="P160" s="229">
        <v>123648</v>
      </c>
      <c r="Q160" s="229">
        <v>113283</v>
      </c>
      <c r="R160" s="230">
        <v>111382</v>
      </c>
      <c r="S160" s="230">
        <v>123900</v>
      </c>
      <c r="T160" s="230">
        <v>149236</v>
      </c>
      <c r="U160" s="230">
        <v>168203</v>
      </c>
      <c r="V160" s="230">
        <v>140147</v>
      </c>
      <c r="W160" s="230">
        <v>135975</v>
      </c>
      <c r="X160" s="230">
        <v>130375</v>
      </c>
      <c r="Y160" s="229">
        <v>138066</v>
      </c>
      <c r="Z160" s="229">
        <v>130370</v>
      </c>
      <c r="AA160" s="229">
        <v>143720</v>
      </c>
      <c r="AB160" s="230">
        <v>10.240085909334971</v>
      </c>
    </row>
    <row r="161" spans="1:28" ht="28.5" customHeight="1" x14ac:dyDescent="0.25">
      <c r="A161" s="700"/>
      <c r="B161" s="778" t="s">
        <v>612</v>
      </c>
      <c r="C161" s="237">
        <v>143320</v>
      </c>
      <c r="D161" s="237">
        <v>143511</v>
      </c>
      <c r="E161" s="237">
        <v>145837</v>
      </c>
      <c r="F161" s="237">
        <v>178479</v>
      </c>
      <c r="G161" s="237">
        <v>194233</v>
      </c>
      <c r="H161" s="237">
        <v>229913</v>
      </c>
      <c r="I161" s="237">
        <v>243536</v>
      </c>
      <c r="J161" s="237">
        <v>235584</v>
      </c>
      <c r="K161" s="237">
        <v>232922</v>
      </c>
      <c r="L161" s="237">
        <v>229099</v>
      </c>
      <c r="M161" s="237">
        <v>208003</v>
      </c>
      <c r="N161" s="237">
        <v>198216</v>
      </c>
      <c r="O161" s="239">
        <v>170689</v>
      </c>
      <c r="P161" s="237">
        <v>149725</v>
      </c>
      <c r="Q161" s="237">
        <v>139222</v>
      </c>
      <c r="R161" s="238">
        <v>138520</v>
      </c>
      <c r="S161" s="238">
        <v>154377</v>
      </c>
      <c r="T161" s="238">
        <v>183905</v>
      </c>
      <c r="U161" s="238">
        <v>211122</v>
      </c>
      <c r="V161" s="238">
        <v>179527</v>
      </c>
      <c r="W161" s="238">
        <v>179829</v>
      </c>
      <c r="X161" s="238">
        <v>182673</v>
      </c>
      <c r="Y161" s="237">
        <v>204664</v>
      </c>
      <c r="Z161" s="237">
        <v>182952</v>
      </c>
      <c r="AA161" s="237">
        <v>216794</v>
      </c>
      <c r="AB161" s="238">
        <v>18.497748043202588</v>
      </c>
    </row>
    <row r="162" spans="1:28" ht="33.75" customHeight="1" x14ac:dyDescent="0.25">
      <c r="A162" s="693" t="s">
        <v>613</v>
      </c>
      <c r="B162" s="783" t="s">
        <v>614</v>
      </c>
      <c r="C162" s="696">
        <v>32816</v>
      </c>
      <c r="D162" s="696">
        <v>35669</v>
      </c>
      <c r="E162" s="696">
        <v>36374</v>
      </c>
      <c r="F162" s="696">
        <v>35590</v>
      </c>
      <c r="G162" s="696">
        <v>34689</v>
      </c>
      <c r="H162" s="696">
        <v>32513</v>
      </c>
      <c r="I162" s="703" t="s">
        <v>169</v>
      </c>
      <c r="J162" s="703" t="s">
        <v>169</v>
      </c>
      <c r="K162" s="703" t="s">
        <v>169</v>
      </c>
      <c r="L162" s="704" t="s">
        <v>169</v>
      </c>
      <c r="M162" s="704" t="s">
        <v>169</v>
      </c>
      <c r="N162" s="704" t="s">
        <v>169</v>
      </c>
      <c r="O162" s="695" t="s">
        <v>169</v>
      </c>
      <c r="P162" s="704" t="s">
        <v>169</v>
      </c>
      <c r="Q162" s="704" t="s">
        <v>169</v>
      </c>
      <c r="R162" s="704" t="s">
        <v>169</v>
      </c>
      <c r="S162" s="690" t="s">
        <v>169</v>
      </c>
      <c r="T162" s="690" t="s">
        <v>169</v>
      </c>
      <c r="U162" s="690" t="s">
        <v>169</v>
      </c>
      <c r="V162" s="690" t="s">
        <v>169</v>
      </c>
      <c r="W162" s="690" t="s">
        <v>169</v>
      </c>
      <c r="X162" s="690" t="s">
        <v>169</v>
      </c>
      <c r="Y162" s="704" t="s">
        <v>169</v>
      </c>
      <c r="Z162" s="704" t="s">
        <v>169</v>
      </c>
      <c r="AA162" s="704" t="s">
        <v>169</v>
      </c>
      <c r="AB162" s="690" t="s">
        <v>169</v>
      </c>
    </row>
    <row r="163" spans="1:28" ht="16.350000000000001" customHeight="1" x14ac:dyDescent="0.25">
      <c r="A163" s="693" t="s">
        <v>615</v>
      </c>
      <c r="B163" s="783" t="s">
        <v>616</v>
      </c>
      <c r="C163" s="695" t="s">
        <v>169</v>
      </c>
      <c r="D163" s="695" t="s">
        <v>169</v>
      </c>
      <c r="E163" s="695" t="s">
        <v>169</v>
      </c>
      <c r="F163" s="695" t="s">
        <v>169</v>
      </c>
      <c r="G163" s="695" t="s">
        <v>169</v>
      </c>
      <c r="H163" s="695" t="s">
        <v>169</v>
      </c>
      <c r="I163" s="696">
        <v>1973</v>
      </c>
      <c r="J163" s="696">
        <v>1587</v>
      </c>
      <c r="K163" s="696">
        <v>1385</v>
      </c>
      <c r="L163" s="696">
        <v>1151</v>
      </c>
      <c r="M163" s="696">
        <v>998</v>
      </c>
      <c r="N163" s="696">
        <v>1077</v>
      </c>
      <c r="O163" s="695">
        <v>1284</v>
      </c>
      <c r="P163" s="686">
        <v>1539</v>
      </c>
      <c r="Q163" s="686">
        <v>2086</v>
      </c>
      <c r="R163" s="690">
        <v>2353</v>
      </c>
      <c r="S163" s="690">
        <v>2613</v>
      </c>
      <c r="T163" s="690">
        <v>2597</v>
      </c>
      <c r="U163" s="690">
        <v>2528</v>
      </c>
      <c r="V163" s="690">
        <v>2721</v>
      </c>
      <c r="W163" s="690">
        <v>2965</v>
      </c>
      <c r="X163" s="690">
        <v>2749</v>
      </c>
      <c r="Y163" s="686">
        <v>2545</v>
      </c>
      <c r="Z163" s="686">
        <v>2679</v>
      </c>
      <c r="AA163" s="686">
        <v>2514</v>
      </c>
      <c r="AB163" s="230">
        <v>-6.1590145576707727</v>
      </c>
    </row>
    <row r="164" spans="1:28" ht="16.350000000000001" customHeight="1" x14ac:dyDescent="0.25">
      <c r="A164" s="693" t="s">
        <v>617</v>
      </c>
      <c r="B164" s="783" t="s">
        <v>618</v>
      </c>
      <c r="C164" s="706" t="s">
        <v>169</v>
      </c>
      <c r="D164" s="706" t="s">
        <v>169</v>
      </c>
      <c r="E164" s="706" t="s">
        <v>169</v>
      </c>
      <c r="F164" s="706" t="s">
        <v>169</v>
      </c>
      <c r="G164" s="706" t="s">
        <v>169</v>
      </c>
      <c r="H164" s="706" t="s">
        <v>169</v>
      </c>
      <c r="I164" s="696">
        <v>4460</v>
      </c>
      <c r="J164" s="696">
        <v>4070</v>
      </c>
      <c r="K164" s="696">
        <v>3650</v>
      </c>
      <c r="L164" s="696">
        <v>3402</v>
      </c>
      <c r="M164" s="696">
        <v>3052</v>
      </c>
      <c r="N164" s="696">
        <v>2929</v>
      </c>
      <c r="O164" s="695">
        <v>3051</v>
      </c>
      <c r="P164" s="686">
        <v>3283</v>
      </c>
      <c r="Q164" s="686">
        <v>3536</v>
      </c>
      <c r="R164" s="690">
        <v>3820</v>
      </c>
      <c r="S164" s="690">
        <v>4174</v>
      </c>
      <c r="T164" s="690">
        <v>4061</v>
      </c>
      <c r="U164" s="690">
        <v>3658</v>
      </c>
      <c r="V164" s="690">
        <v>3445</v>
      </c>
      <c r="W164" s="690">
        <v>3560</v>
      </c>
      <c r="X164" s="690">
        <v>3598</v>
      </c>
      <c r="Y164" s="686">
        <v>3214</v>
      </c>
      <c r="Z164" s="686">
        <v>3561</v>
      </c>
      <c r="AA164" s="686">
        <v>3078</v>
      </c>
      <c r="AB164" s="230">
        <v>-13.563605728727884</v>
      </c>
    </row>
    <row r="165" spans="1:28" ht="16.350000000000001" customHeight="1" x14ac:dyDescent="0.25">
      <c r="A165" s="693" t="s">
        <v>619</v>
      </c>
      <c r="B165" s="783" t="s">
        <v>620</v>
      </c>
      <c r="C165" s="695" t="s">
        <v>169</v>
      </c>
      <c r="D165" s="695" t="s">
        <v>169</v>
      </c>
      <c r="E165" s="695" t="s">
        <v>169</v>
      </c>
      <c r="F165" s="695" t="s">
        <v>169</v>
      </c>
      <c r="G165" s="695" t="s">
        <v>169</v>
      </c>
      <c r="H165" s="695" t="s">
        <v>169</v>
      </c>
      <c r="I165" s="696">
        <v>14944</v>
      </c>
      <c r="J165" s="696">
        <v>11950</v>
      </c>
      <c r="K165" s="696">
        <v>10564</v>
      </c>
      <c r="L165" s="696">
        <v>9138</v>
      </c>
      <c r="M165" s="696">
        <v>7274</v>
      </c>
      <c r="N165" s="696">
        <v>7328</v>
      </c>
      <c r="O165" s="695">
        <v>7474</v>
      </c>
      <c r="P165" s="686">
        <v>9127</v>
      </c>
      <c r="Q165" s="686">
        <v>10949</v>
      </c>
      <c r="R165" s="690">
        <v>13444</v>
      </c>
      <c r="S165" s="690">
        <v>15585</v>
      </c>
      <c r="T165" s="690">
        <v>15451</v>
      </c>
      <c r="U165" s="690">
        <v>14453</v>
      </c>
      <c r="V165" s="690">
        <v>16129</v>
      </c>
      <c r="W165" s="690">
        <v>20594</v>
      </c>
      <c r="X165" s="690">
        <v>21432</v>
      </c>
      <c r="Y165" s="686">
        <v>22095</v>
      </c>
      <c r="Z165" s="686">
        <v>21216</v>
      </c>
      <c r="AA165" s="686">
        <v>23222</v>
      </c>
      <c r="AB165" s="230">
        <v>9.4551282051282044</v>
      </c>
    </row>
    <row r="166" spans="1:28" ht="16.350000000000001" customHeight="1" x14ac:dyDescent="0.25">
      <c r="A166" s="693" t="s">
        <v>621</v>
      </c>
      <c r="B166" s="783" t="s">
        <v>622</v>
      </c>
      <c r="C166" s="695" t="s">
        <v>169</v>
      </c>
      <c r="D166" s="695" t="s">
        <v>169</v>
      </c>
      <c r="E166" s="695" t="s">
        <v>169</v>
      </c>
      <c r="F166" s="695" t="s">
        <v>169</v>
      </c>
      <c r="G166" s="695" t="s">
        <v>169</v>
      </c>
      <c r="H166" s="695" t="s">
        <v>169</v>
      </c>
      <c r="I166" s="696">
        <v>13985</v>
      </c>
      <c r="J166" s="696">
        <v>10885</v>
      </c>
      <c r="K166" s="696">
        <v>10474</v>
      </c>
      <c r="L166" s="696">
        <v>9762</v>
      </c>
      <c r="M166" s="696">
        <v>8425</v>
      </c>
      <c r="N166" s="696">
        <v>9050</v>
      </c>
      <c r="O166" s="695">
        <v>9889</v>
      </c>
      <c r="P166" s="686">
        <v>11631</v>
      </c>
      <c r="Q166" s="686">
        <v>14453</v>
      </c>
      <c r="R166" s="690">
        <v>18469</v>
      </c>
      <c r="S166" s="690">
        <v>22302</v>
      </c>
      <c r="T166" s="690">
        <v>23265</v>
      </c>
      <c r="U166" s="690">
        <v>20749</v>
      </c>
      <c r="V166" s="690">
        <v>24812</v>
      </c>
      <c r="W166" s="690">
        <v>28498</v>
      </c>
      <c r="X166" s="690">
        <v>27654</v>
      </c>
      <c r="Y166" s="686">
        <v>28485</v>
      </c>
      <c r="Z166" s="686">
        <v>27760</v>
      </c>
      <c r="AA166" s="686">
        <v>28499</v>
      </c>
      <c r="AB166" s="230">
        <v>2.6621037463976944</v>
      </c>
    </row>
    <row r="167" spans="1:28" ht="19.5" customHeight="1" x14ac:dyDescent="0.25">
      <c r="A167" s="693">
        <v>81</v>
      </c>
      <c r="B167" s="885" t="s">
        <v>1520</v>
      </c>
      <c r="C167" s="696">
        <v>3522</v>
      </c>
      <c r="D167" s="696">
        <v>3322</v>
      </c>
      <c r="E167" s="696">
        <v>4210</v>
      </c>
      <c r="F167" s="696">
        <v>4106</v>
      </c>
      <c r="G167" s="696">
        <v>4239</v>
      </c>
      <c r="H167" s="696">
        <v>4560</v>
      </c>
      <c r="I167" s="696">
        <v>293</v>
      </c>
      <c r="J167" s="696">
        <v>253</v>
      </c>
      <c r="K167" s="696">
        <v>254</v>
      </c>
      <c r="L167" s="696">
        <v>229</v>
      </c>
      <c r="M167" s="696">
        <v>160</v>
      </c>
      <c r="N167" s="696">
        <v>237</v>
      </c>
      <c r="O167" s="695">
        <v>191</v>
      </c>
      <c r="P167" s="686">
        <v>251</v>
      </c>
      <c r="Q167" s="686">
        <v>292</v>
      </c>
      <c r="R167" s="690">
        <v>968</v>
      </c>
      <c r="S167" s="690">
        <v>1818</v>
      </c>
      <c r="T167" s="690">
        <v>2308</v>
      </c>
      <c r="U167" s="690">
        <v>3303</v>
      </c>
      <c r="V167" s="690">
        <v>2003</v>
      </c>
      <c r="W167" s="690">
        <v>1983</v>
      </c>
      <c r="X167" s="690">
        <v>2721</v>
      </c>
      <c r="Y167" s="686">
        <v>1112</v>
      </c>
      <c r="Z167" s="686">
        <v>2412</v>
      </c>
      <c r="AA167" s="686">
        <v>1236</v>
      </c>
      <c r="AB167" s="230">
        <v>-48.756218905472636</v>
      </c>
    </row>
    <row r="168" spans="1:28" ht="17.25" customHeight="1" x14ac:dyDescent="0.25">
      <c r="A168" s="693">
        <v>90</v>
      </c>
      <c r="B168" s="783" t="s">
        <v>623</v>
      </c>
      <c r="C168" s="696">
        <v>41</v>
      </c>
      <c r="D168" s="696">
        <v>30</v>
      </c>
      <c r="E168" s="696">
        <v>21</v>
      </c>
      <c r="F168" s="696">
        <v>15</v>
      </c>
      <c r="G168" s="696">
        <v>9</v>
      </c>
      <c r="H168" s="696">
        <v>6</v>
      </c>
      <c r="I168" s="696">
        <v>7</v>
      </c>
      <c r="J168" s="696">
        <v>13</v>
      </c>
      <c r="K168" s="696">
        <v>0</v>
      </c>
      <c r="L168" s="696">
        <v>6</v>
      </c>
      <c r="M168" s="696">
        <v>1</v>
      </c>
      <c r="N168" s="696">
        <v>2</v>
      </c>
      <c r="O168" s="695">
        <v>1</v>
      </c>
      <c r="P168" s="686">
        <v>4</v>
      </c>
      <c r="Q168" s="686">
        <v>2</v>
      </c>
      <c r="R168" s="690">
        <v>3</v>
      </c>
      <c r="S168" s="690">
        <v>2</v>
      </c>
      <c r="T168" s="690">
        <v>3</v>
      </c>
      <c r="U168" s="690">
        <v>7</v>
      </c>
      <c r="V168" s="690" t="s">
        <v>169</v>
      </c>
      <c r="W168" s="690" t="s">
        <v>169</v>
      </c>
      <c r="X168" s="690" t="s">
        <v>169</v>
      </c>
      <c r="Y168" s="690" t="s">
        <v>169</v>
      </c>
      <c r="Z168" s="690" t="s">
        <v>169</v>
      </c>
      <c r="AA168" s="690" t="s">
        <v>169</v>
      </c>
      <c r="AB168" s="690" t="s">
        <v>169</v>
      </c>
    </row>
    <row r="169" spans="1:28" ht="22.5" customHeight="1" x14ac:dyDescent="0.25">
      <c r="A169" s="700"/>
      <c r="B169" s="778" t="s">
        <v>624</v>
      </c>
      <c r="C169" s="237">
        <v>36379</v>
      </c>
      <c r="D169" s="237">
        <v>39021</v>
      </c>
      <c r="E169" s="237">
        <v>40605</v>
      </c>
      <c r="F169" s="237">
        <v>39711</v>
      </c>
      <c r="G169" s="237">
        <v>38937</v>
      </c>
      <c r="H169" s="237">
        <v>37079</v>
      </c>
      <c r="I169" s="237">
        <v>35662</v>
      </c>
      <c r="J169" s="237">
        <v>28758</v>
      </c>
      <c r="K169" s="237">
        <v>26327</v>
      </c>
      <c r="L169" s="237">
        <v>23688</v>
      </c>
      <c r="M169" s="237">
        <v>19910</v>
      </c>
      <c r="N169" s="237">
        <v>20623</v>
      </c>
      <c r="O169" s="239">
        <v>21890</v>
      </c>
      <c r="P169" s="237">
        <v>25835</v>
      </c>
      <c r="Q169" s="237">
        <v>31318</v>
      </c>
      <c r="R169" s="238">
        <v>39057</v>
      </c>
      <c r="S169" s="238">
        <v>46494</v>
      </c>
      <c r="T169" s="238">
        <v>47685</v>
      </c>
      <c r="U169" s="238">
        <v>44698</v>
      </c>
      <c r="V169" s="238">
        <v>49110</v>
      </c>
      <c r="W169" s="238">
        <v>57600</v>
      </c>
      <c r="X169" s="238">
        <v>58154</v>
      </c>
      <c r="Y169" s="237">
        <v>57451</v>
      </c>
      <c r="Z169" s="237">
        <v>57628</v>
      </c>
      <c r="AA169" s="237">
        <v>58549</v>
      </c>
      <c r="AB169" s="238">
        <v>1.598181439577983</v>
      </c>
    </row>
    <row r="170" spans="1:28" ht="36" customHeight="1" x14ac:dyDescent="0.25">
      <c r="A170" s="693" t="s">
        <v>625</v>
      </c>
      <c r="B170" s="783" t="s">
        <v>626</v>
      </c>
      <c r="C170" s="695">
        <v>91561</v>
      </c>
      <c r="D170" s="695">
        <v>116566</v>
      </c>
      <c r="E170" s="695">
        <v>147801</v>
      </c>
      <c r="F170" s="695">
        <v>164061</v>
      </c>
      <c r="G170" s="695">
        <v>173152</v>
      </c>
      <c r="H170" s="695">
        <v>158045</v>
      </c>
      <c r="I170" s="696">
        <v>142246</v>
      </c>
      <c r="J170" s="696">
        <v>126597</v>
      </c>
      <c r="K170" s="696">
        <v>114781</v>
      </c>
      <c r="L170" s="696">
        <v>97085</v>
      </c>
      <c r="M170" s="696">
        <v>81139</v>
      </c>
      <c r="N170" s="696">
        <v>79601</v>
      </c>
      <c r="O170" s="695">
        <v>96007</v>
      </c>
      <c r="P170" s="686">
        <v>135233</v>
      </c>
      <c r="Q170" s="686">
        <v>199942</v>
      </c>
      <c r="R170" s="690">
        <v>285924</v>
      </c>
      <c r="S170" s="690">
        <v>338114</v>
      </c>
      <c r="T170" s="690">
        <v>348239</v>
      </c>
      <c r="U170" s="690">
        <v>371316</v>
      </c>
      <c r="V170" s="690">
        <v>471342</v>
      </c>
      <c r="W170" s="690">
        <v>468534</v>
      </c>
      <c r="X170" s="690">
        <v>368049</v>
      </c>
      <c r="Y170" s="686">
        <v>329396</v>
      </c>
      <c r="Z170" s="686">
        <v>347877</v>
      </c>
      <c r="AA170" s="686">
        <v>326940</v>
      </c>
      <c r="AB170" s="230">
        <v>-6.0185065411050465</v>
      </c>
    </row>
    <row r="171" spans="1:28" ht="16.350000000000001" customHeight="1" x14ac:dyDescent="0.25">
      <c r="A171" s="693" t="s">
        <v>627</v>
      </c>
      <c r="B171" s="783" t="s">
        <v>628</v>
      </c>
      <c r="C171" s="695">
        <v>15157</v>
      </c>
      <c r="D171" s="695">
        <v>18887</v>
      </c>
      <c r="E171" s="695">
        <v>21061</v>
      </c>
      <c r="F171" s="695">
        <v>24057</v>
      </c>
      <c r="G171" s="695">
        <v>25828</v>
      </c>
      <c r="H171" s="695">
        <v>24086</v>
      </c>
      <c r="I171" s="696">
        <v>23355</v>
      </c>
      <c r="J171" s="696">
        <v>23226</v>
      </c>
      <c r="K171" s="696">
        <v>20967</v>
      </c>
      <c r="L171" s="696">
        <v>20188</v>
      </c>
      <c r="M171" s="696">
        <v>20420</v>
      </c>
      <c r="N171" s="696">
        <v>21685</v>
      </c>
      <c r="O171" s="695">
        <v>26318</v>
      </c>
      <c r="P171" s="686">
        <v>29391</v>
      </c>
      <c r="Q171" s="686">
        <v>36004</v>
      </c>
      <c r="R171" s="690">
        <v>41376</v>
      </c>
      <c r="S171" s="690">
        <v>44389</v>
      </c>
      <c r="T171" s="690">
        <v>45731</v>
      </c>
      <c r="U171" s="690">
        <v>47964</v>
      </c>
      <c r="V171" s="690">
        <v>56089</v>
      </c>
      <c r="W171" s="690">
        <v>52052</v>
      </c>
      <c r="X171" s="690">
        <v>52097</v>
      </c>
      <c r="Y171" s="686">
        <v>56801</v>
      </c>
      <c r="Z171" s="686">
        <v>52566</v>
      </c>
      <c r="AA171" s="686">
        <v>57847</v>
      </c>
      <c r="AB171" s="230">
        <v>10.046417836624434</v>
      </c>
    </row>
    <row r="172" spans="1:28" ht="16.350000000000001" customHeight="1" x14ac:dyDescent="0.25">
      <c r="A172" s="693">
        <v>62</v>
      </c>
      <c r="B172" s="783" t="s">
        <v>629</v>
      </c>
      <c r="C172" s="696">
        <v>0</v>
      </c>
      <c r="D172" s="696">
        <v>1</v>
      </c>
      <c r="E172" s="696">
        <v>0</v>
      </c>
      <c r="F172" s="696">
        <v>0</v>
      </c>
      <c r="G172" s="696">
        <v>0</v>
      </c>
      <c r="H172" s="696">
        <v>0</v>
      </c>
      <c r="I172" s="696">
        <v>0</v>
      </c>
      <c r="J172" s="696">
        <v>0</v>
      </c>
      <c r="K172" s="696">
        <v>0</v>
      </c>
      <c r="L172" s="696">
        <v>0</v>
      </c>
      <c r="M172" s="705" t="s">
        <v>169</v>
      </c>
      <c r="N172" s="690" t="s">
        <v>169</v>
      </c>
      <c r="O172" s="695" t="s">
        <v>169</v>
      </c>
      <c r="P172" s="690" t="s">
        <v>169</v>
      </c>
      <c r="Q172" s="690" t="s">
        <v>169</v>
      </c>
      <c r="R172" s="690" t="s">
        <v>169</v>
      </c>
      <c r="S172" s="690" t="s">
        <v>169</v>
      </c>
      <c r="T172" s="690" t="s">
        <v>169</v>
      </c>
      <c r="U172" s="695" t="s">
        <v>169</v>
      </c>
      <c r="V172" s="695" t="s">
        <v>169</v>
      </c>
      <c r="W172" s="695" t="s">
        <v>169</v>
      </c>
      <c r="X172" s="695" t="s">
        <v>169</v>
      </c>
      <c r="Y172" s="690" t="s">
        <v>169</v>
      </c>
      <c r="Z172" s="690" t="s">
        <v>169</v>
      </c>
      <c r="AA172" s="690" t="s">
        <v>169</v>
      </c>
      <c r="AB172" s="690" t="s">
        <v>169</v>
      </c>
    </row>
    <row r="173" spans="1:28" ht="16.350000000000001" customHeight="1" x14ac:dyDescent="0.25">
      <c r="A173" s="693" t="s">
        <v>630</v>
      </c>
      <c r="B173" s="783" t="s">
        <v>631</v>
      </c>
      <c r="C173" s="704" t="s">
        <v>169</v>
      </c>
      <c r="D173" s="704" t="s">
        <v>169</v>
      </c>
      <c r="E173" s="704" t="s">
        <v>169</v>
      </c>
      <c r="F173" s="704" t="s">
        <v>169</v>
      </c>
      <c r="G173" s="704" t="s">
        <v>169</v>
      </c>
      <c r="H173" s="704" t="s">
        <v>169</v>
      </c>
      <c r="I173" s="704" t="s">
        <v>169</v>
      </c>
      <c r="J173" s="704" t="s">
        <v>169</v>
      </c>
      <c r="K173" s="704" t="s">
        <v>169</v>
      </c>
      <c r="L173" s="704" t="s">
        <v>169</v>
      </c>
      <c r="M173" s="696">
        <v>656</v>
      </c>
      <c r="N173" s="696">
        <v>640</v>
      </c>
      <c r="O173" s="695">
        <v>766</v>
      </c>
      <c r="P173" s="686">
        <v>990</v>
      </c>
      <c r="Q173" s="686">
        <v>1152</v>
      </c>
      <c r="R173" s="690">
        <v>1329</v>
      </c>
      <c r="S173" s="690">
        <v>1405</v>
      </c>
      <c r="T173" s="690">
        <v>1279</v>
      </c>
      <c r="U173" s="690">
        <v>1190</v>
      </c>
      <c r="V173" s="690">
        <v>1862</v>
      </c>
      <c r="W173" s="690">
        <v>1855</v>
      </c>
      <c r="X173" s="690">
        <v>1575</v>
      </c>
      <c r="Y173" s="686">
        <v>1538</v>
      </c>
      <c r="Z173" s="686">
        <v>1567</v>
      </c>
      <c r="AA173" s="686">
        <v>1445</v>
      </c>
      <c r="AB173" s="230">
        <v>-7.7855775366943201</v>
      </c>
    </row>
    <row r="174" spans="1:28" ht="16.350000000000001" customHeight="1" x14ac:dyDescent="0.25">
      <c r="A174" s="693">
        <v>63</v>
      </c>
      <c r="B174" s="783" t="s">
        <v>632</v>
      </c>
      <c r="C174" s="696">
        <v>0</v>
      </c>
      <c r="D174" s="696">
        <v>0</v>
      </c>
      <c r="E174" s="696">
        <v>0</v>
      </c>
      <c r="F174" s="696">
        <v>0</v>
      </c>
      <c r="G174" s="696">
        <v>0</v>
      </c>
      <c r="H174" s="696">
        <v>0</v>
      </c>
      <c r="I174" s="696">
        <v>0</v>
      </c>
      <c r="J174" s="696">
        <v>0</v>
      </c>
      <c r="K174" s="696">
        <v>0</v>
      </c>
      <c r="L174" s="696">
        <v>0</v>
      </c>
      <c r="M174" s="695" t="s">
        <v>169</v>
      </c>
      <c r="N174" s="695" t="s">
        <v>169</v>
      </c>
      <c r="O174" s="695" t="s">
        <v>169</v>
      </c>
      <c r="P174" s="695" t="s">
        <v>169</v>
      </c>
      <c r="Q174" s="695" t="s">
        <v>169</v>
      </c>
      <c r="R174" s="695" t="s">
        <v>169</v>
      </c>
      <c r="S174" s="690" t="s">
        <v>169</v>
      </c>
      <c r="T174" s="690" t="s">
        <v>169</v>
      </c>
      <c r="U174" s="695" t="s">
        <v>169</v>
      </c>
      <c r="V174" s="695" t="s">
        <v>169</v>
      </c>
      <c r="W174" s="695" t="s">
        <v>169</v>
      </c>
      <c r="X174" s="695" t="s">
        <v>169</v>
      </c>
      <c r="Y174" s="695" t="s">
        <v>169</v>
      </c>
      <c r="Z174" s="695" t="s">
        <v>169</v>
      </c>
      <c r="AA174" s="695" t="s">
        <v>169</v>
      </c>
      <c r="AB174" s="690" t="s">
        <v>169</v>
      </c>
    </row>
    <row r="175" spans="1:28" ht="16.350000000000001" customHeight="1" x14ac:dyDescent="0.25">
      <c r="A175" s="693">
        <v>64</v>
      </c>
      <c r="B175" s="783" t="s">
        <v>633</v>
      </c>
      <c r="C175" s="696">
        <v>8</v>
      </c>
      <c r="D175" s="696">
        <v>8</v>
      </c>
      <c r="E175" s="696">
        <v>4</v>
      </c>
      <c r="F175" s="696">
        <v>7</v>
      </c>
      <c r="G175" s="696">
        <v>4</v>
      </c>
      <c r="H175" s="696">
        <v>2</v>
      </c>
      <c r="I175" s="696">
        <v>3</v>
      </c>
      <c r="J175" s="696">
        <v>0</v>
      </c>
      <c r="K175" s="696">
        <v>2</v>
      </c>
      <c r="L175" s="696">
        <v>3</v>
      </c>
      <c r="M175" s="705" t="s">
        <v>169</v>
      </c>
      <c r="N175" s="705" t="s">
        <v>169</v>
      </c>
      <c r="O175" s="695" t="s">
        <v>169</v>
      </c>
      <c r="P175" s="705" t="s">
        <v>169</v>
      </c>
      <c r="Q175" s="705" t="s">
        <v>169</v>
      </c>
      <c r="R175" s="705" t="s">
        <v>169</v>
      </c>
      <c r="S175" s="690" t="s">
        <v>169</v>
      </c>
      <c r="T175" s="690" t="s">
        <v>169</v>
      </c>
      <c r="U175" s="695" t="s">
        <v>169</v>
      </c>
      <c r="V175" s="695" t="s">
        <v>169</v>
      </c>
      <c r="W175" s="695" t="s">
        <v>169</v>
      </c>
      <c r="X175" s="695" t="s">
        <v>169</v>
      </c>
      <c r="Y175" s="705" t="s">
        <v>169</v>
      </c>
      <c r="Z175" s="705" t="s">
        <v>169</v>
      </c>
      <c r="AA175" s="705" t="s">
        <v>169</v>
      </c>
      <c r="AB175" s="690" t="s">
        <v>169</v>
      </c>
    </row>
    <row r="176" spans="1:28" ht="18.75" customHeight="1" x14ac:dyDescent="0.25">
      <c r="A176" s="693">
        <v>65</v>
      </c>
      <c r="B176" s="783" t="s">
        <v>631</v>
      </c>
      <c r="C176" s="696">
        <v>2856</v>
      </c>
      <c r="D176" s="696">
        <v>2790</v>
      </c>
      <c r="E176" s="696">
        <v>2636</v>
      </c>
      <c r="F176" s="696">
        <v>2457</v>
      </c>
      <c r="G176" s="696">
        <v>1742</v>
      </c>
      <c r="H176" s="696">
        <v>1180</v>
      </c>
      <c r="I176" s="696">
        <v>1022</v>
      </c>
      <c r="J176" s="696">
        <v>859</v>
      </c>
      <c r="K176" s="696">
        <v>751</v>
      </c>
      <c r="L176" s="696">
        <v>696</v>
      </c>
      <c r="M176" s="705" t="s">
        <v>169</v>
      </c>
      <c r="N176" s="705" t="s">
        <v>169</v>
      </c>
      <c r="O176" s="695" t="s">
        <v>169</v>
      </c>
      <c r="P176" s="705" t="s">
        <v>169</v>
      </c>
      <c r="Q176" s="705" t="s">
        <v>169</v>
      </c>
      <c r="R176" s="705" t="s">
        <v>169</v>
      </c>
      <c r="S176" s="690" t="s">
        <v>169</v>
      </c>
      <c r="T176" s="690" t="s">
        <v>169</v>
      </c>
      <c r="U176" s="695" t="s">
        <v>169</v>
      </c>
      <c r="V176" s="695" t="s">
        <v>169</v>
      </c>
      <c r="W176" s="695" t="s">
        <v>169</v>
      </c>
      <c r="X176" s="695" t="s">
        <v>169</v>
      </c>
      <c r="Y176" s="705" t="s">
        <v>169</v>
      </c>
      <c r="Z176" s="705" t="s">
        <v>169</v>
      </c>
      <c r="AA176" s="705" t="s">
        <v>169</v>
      </c>
      <c r="AB176" s="690" t="s">
        <v>169</v>
      </c>
    </row>
    <row r="177" spans="1:28" ht="17.25" customHeight="1" x14ac:dyDescent="0.25">
      <c r="A177" s="693">
        <v>66</v>
      </c>
      <c r="B177" s="783" t="s">
        <v>634</v>
      </c>
      <c r="C177" s="696">
        <v>19935</v>
      </c>
      <c r="D177" s="696">
        <v>19926</v>
      </c>
      <c r="E177" s="696">
        <v>20370</v>
      </c>
      <c r="F177" s="696">
        <v>31999</v>
      </c>
      <c r="G177" s="696">
        <v>35935</v>
      </c>
      <c r="H177" s="696">
        <v>35067</v>
      </c>
      <c r="I177" s="696">
        <v>37663</v>
      </c>
      <c r="J177" s="696">
        <v>37572</v>
      </c>
      <c r="K177" s="696">
        <v>36580</v>
      </c>
      <c r="L177" s="696">
        <v>32886</v>
      </c>
      <c r="M177" s="696">
        <v>29990</v>
      </c>
      <c r="N177" s="696">
        <v>32474</v>
      </c>
      <c r="O177" s="695">
        <v>36126</v>
      </c>
      <c r="P177" s="686">
        <v>39633</v>
      </c>
      <c r="Q177" s="686">
        <v>47479</v>
      </c>
      <c r="R177" s="690">
        <v>58037</v>
      </c>
      <c r="S177" s="690">
        <v>65448</v>
      </c>
      <c r="T177" s="690">
        <v>65306</v>
      </c>
      <c r="U177" s="690">
        <v>62825</v>
      </c>
      <c r="V177" s="690">
        <v>69853</v>
      </c>
      <c r="W177" s="690">
        <v>67991</v>
      </c>
      <c r="X177" s="690">
        <v>64671</v>
      </c>
      <c r="Y177" s="686">
        <v>65616</v>
      </c>
      <c r="Z177" s="686">
        <v>64323</v>
      </c>
      <c r="AA177" s="686">
        <v>66385</v>
      </c>
      <c r="AB177" s="230">
        <v>3.2056962517295529</v>
      </c>
    </row>
    <row r="178" spans="1:28" ht="24" customHeight="1" x14ac:dyDescent="0.25">
      <c r="A178" s="700"/>
      <c r="B178" s="780" t="s">
        <v>635</v>
      </c>
      <c r="C178" s="237">
        <v>129517</v>
      </c>
      <c r="D178" s="237">
        <v>158178</v>
      </c>
      <c r="E178" s="237">
        <v>191872</v>
      </c>
      <c r="F178" s="237">
        <v>222581</v>
      </c>
      <c r="G178" s="237">
        <v>236661</v>
      </c>
      <c r="H178" s="237">
        <v>218380</v>
      </c>
      <c r="I178" s="237">
        <v>204289</v>
      </c>
      <c r="J178" s="237">
        <v>188254</v>
      </c>
      <c r="K178" s="237">
        <v>173081</v>
      </c>
      <c r="L178" s="237">
        <v>150858</v>
      </c>
      <c r="M178" s="237">
        <v>132205</v>
      </c>
      <c r="N178" s="237">
        <v>134400</v>
      </c>
      <c r="O178" s="239">
        <v>159217</v>
      </c>
      <c r="P178" s="237">
        <v>205247</v>
      </c>
      <c r="Q178" s="237">
        <v>284577</v>
      </c>
      <c r="R178" s="238">
        <v>386666</v>
      </c>
      <c r="S178" s="238">
        <v>449356</v>
      </c>
      <c r="T178" s="238">
        <v>460555</v>
      </c>
      <c r="U178" s="238">
        <v>483295</v>
      </c>
      <c r="V178" s="238">
        <v>599146</v>
      </c>
      <c r="W178" s="238">
        <v>590432</v>
      </c>
      <c r="X178" s="238">
        <v>486392</v>
      </c>
      <c r="Y178" s="237">
        <v>453351</v>
      </c>
      <c r="Z178" s="237">
        <v>466333</v>
      </c>
      <c r="AA178" s="237">
        <v>452617</v>
      </c>
      <c r="AB178" s="238">
        <v>-2.9412458479241228</v>
      </c>
    </row>
    <row r="179" spans="1:28" ht="32.25" customHeight="1" x14ac:dyDescent="0.25">
      <c r="A179" s="693">
        <v>15</v>
      </c>
      <c r="B179" s="783" t="s">
        <v>636</v>
      </c>
      <c r="C179" s="696">
        <v>7</v>
      </c>
      <c r="D179" s="696">
        <v>6</v>
      </c>
      <c r="E179" s="696">
        <v>6</v>
      </c>
      <c r="F179" s="696">
        <v>8</v>
      </c>
      <c r="G179" s="696">
        <v>4</v>
      </c>
      <c r="H179" s="696">
        <v>8</v>
      </c>
      <c r="I179" s="696">
        <v>8</v>
      </c>
      <c r="J179" s="696">
        <v>6</v>
      </c>
      <c r="K179" s="696">
        <v>9</v>
      </c>
      <c r="L179" s="696">
        <v>5</v>
      </c>
      <c r="M179" s="696">
        <v>2</v>
      </c>
      <c r="N179" s="695">
        <v>2</v>
      </c>
      <c r="O179" s="695">
        <v>5</v>
      </c>
      <c r="P179" s="686">
        <v>4</v>
      </c>
      <c r="Q179" s="686">
        <v>9</v>
      </c>
      <c r="R179" s="690">
        <v>12</v>
      </c>
      <c r="S179" s="690">
        <v>19</v>
      </c>
      <c r="T179" s="690">
        <v>7</v>
      </c>
      <c r="U179" s="690">
        <v>9</v>
      </c>
      <c r="V179" s="690">
        <v>6</v>
      </c>
      <c r="W179" s="690">
        <v>7</v>
      </c>
      <c r="X179" s="690">
        <v>8</v>
      </c>
      <c r="Y179" s="686">
        <v>8</v>
      </c>
      <c r="Z179" s="686">
        <v>6</v>
      </c>
      <c r="AA179" s="686">
        <v>10</v>
      </c>
      <c r="AB179" s="690" t="s">
        <v>403</v>
      </c>
    </row>
    <row r="180" spans="1:28" ht="16.350000000000001" customHeight="1" x14ac:dyDescent="0.25">
      <c r="A180" s="693">
        <v>24</v>
      </c>
      <c r="B180" s="783" t="s">
        <v>637</v>
      </c>
      <c r="C180" s="696">
        <v>127</v>
      </c>
      <c r="D180" s="696">
        <v>186</v>
      </c>
      <c r="E180" s="696">
        <v>117</v>
      </c>
      <c r="F180" s="696">
        <v>153</v>
      </c>
      <c r="G180" s="696">
        <v>190</v>
      </c>
      <c r="H180" s="696">
        <v>184</v>
      </c>
      <c r="I180" s="696">
        <v>173</v>
      </c>
      <c r="J180" s="696">
        <v>148</v>
      </c>
      <c r="K180" s="696">
        <v>153</v>
      </c>
      <c r="L180" s="696">
        <v>110</v>
      </c>
      <c r="M180" s="696">
        <v>120</v>
      </c>
      <c r="N180" s="695">
        <v>124</v>
      </c>
      <c r="O180" s="695">
        <v>154</v>
      </c>
      <c r="P180" s="686">
        <v>178</v>
      </c>
      <c r="Q180" s="686">
        <v>215</v>
      </c>
      <c r="R180" s="690">
        <v>239</v>
      </c>
      <c r="S180" s="690">
        <v>237</v>
      </c>
      <c r="T180" s="690">
        <v>239</v>
      </c>
      <c r="U180" s="690">
        <v>270</v>
      </c>
      <c r="V180" s="690">
        <v>251</v>
      </c>
      <c r="W180" s="690">
        <v>195</v>
      </c>
      <c r="X180" s="690">
        <v>209</v>
      </c>
      <c r="Y180" s="686">
        <v>262</v>
      </c>
      <c r="Z180" s="686">
        <v>235</v>
      </c>
      <c r="AA180" s="686">
        <v>270</v>
      </c>
      <c r="AB180" s="230">
        <v>14.893617021276595</v>
      </c>
    </row>
    <row r="181" spans="1:28" ht="16.350000000000001" customHeight="1" x14ac:dyDescent="0.25">
      <c r="A181" s="693">
        <v>26</v>
      </c>
      <c r="B181" s="783" t="s">
        <v>638</v>
      </c>
      <c r="C181" s="696">
        <v>88</v>
      </c>
      <c r="D181" s="696">
        <v>71</v>
      </c>
      <c r="E181" s="696">
        <v>104</v>
      </c>
      <c r="F181" s="696">
        <v>101</v>
      </c>
      <c r="G181" s="696">
        <v>61</v>
      </c>
      <c r="H181" s="696">
        <v>74</v>
      </c>
      <c r="I181" s="696">
        <v>64</v>
      </c>
      <c r="J181" s="696">
        <v>60</v>
      </c>
      <c r="K181" s="696">
        <v>44</v>
      </c>
      <c r="L181" s="696">
        <v>31</v>
      </c>
      <c r="M181" s="696">
        <v>39</v>
      </c>
      <c r="N181" s="695">
        <v>40</v>
      </c>
      <c r="O181" s="695">
        <v>46</v>
      </c>
      <c r="P181" s="686">
        <v>71</v>
      </c>
      <c r="Q181" s="686">
        <v>58</v>
      </c>
      <c r="R181" s="690">
        <v>71</v>
      </c>
      <c r="S181" s="690">
        <v>82</v>
      </c>
      <c r="T181" s="690">
        <v>79</v>
      </c>
      <c r="U181" s="690">
        <v>65</v>
      </c>
      <c r="V181" s="690">
        <v>47</v>
      </c>
      <c r="W181" s="690">
        <v>57</v>
      </c>
      <c r="X181" s="690">
        <v>69</v>
      </c>
      <c r="Y181" s="686">
        <v>55</v>
      </c>
      <c r="Z181" s="686">
        <v>69</v>
      </c>
      <c r="AA181" s="686">
        <v>52</v>
      </c>
      <c r="AB181" s="230">
        <v>-24.637681159420293</v>
      </c>
    </row>
    <row r="182" spans="1:28" ht="16.350000000000001" customHeight="1" x14ac:dyDescent="0.25">
      <c r="A182" s="693">
        <v>27</v>
      </c>
      <c r="B182" s="783" t="s">
        <v>639</v>
      </c>
      <c r="C182" s="696">
        <v>2111</v>
      </c>
      <c r="D182" s="696">
        <v>1944</v>
      </c>
      <c r="E182" s="696">
        <v>1821</v>
      </c>
      <c r="F182" s="696">
        <v>1640</v>
      </c>
      <c r="G182" s="696">
        <v>1290</v>
      </c>
      <c r="H182" s="696">
        <v>1216</v>
      </c>
      <c r="I182" s="696">
        <v>1071</v>
      </c>
      <c r="J182" s="696">
        <v>1190</v>
      </c>
      <c r="K182" s="696">
        <v>826</v>
      </c>
      <c r="L182" s="696">
        <v>797</v>
      </c>
      <c r="M182" s="696">
        <v>883</v>
      </c>
      <c r="N182" s="695">
        <v>750</v>
      </c>
      <c r="O182" s="695">
        <v>870</v>
      </c>
      <c r="P182" s="686">
        <v>599</v>
      </c>
      <c r="Q182" s="686">
        <v>437</v>
      </c>
      <c r="R182" s="690">
        <v>400</v>
      </c>
      <c r="S182" s="690">
        <v>409</v>
      </c>
      <c r="T182" s="690">
        <v>375</v>
      </c>
      <c r="U182" s="690">
        <v>301</v>
      </c>
      <c r="V182" s="690">
        <v>362</v>
      </c>
      <c r="W182" s="690">
        <v>301</v>
      </c>
      <c r="X182" s="690">
        <v>187</v>
      </c>
      <c r="Y182" s="686">
        <v>150</v>
      </c>
      <c r="Z182" s="686">
        <v>154</v>
      </c>
      <c r="AA182" s="686">
        <v>156</v>
      </c>
      <c r="AB182" s="230">
        <v>1.2987012987012987</v>
      </c>
    </row>
    <row r="183" spans="1:28" ht="16.350000000000001" customHeight="1" x14ac:dyDescent="0.25">
      <c r="A183" s="693">
        <v>33</v>
      </c>
      <c r="B183" s="783" t="s">
        <v>640</v>
      </c>
      <c r="C183" s="696">
        <v>5792</v>
      </c>
      <c r="D183" s="696">
        <v>5706</v>
      </c>
      <c r="E183" s="696">
        <v>4567</v>
      </c>
      <c r="F183" s="696">
        <v>4382</v>
      </c>
      <c r="G183" s="696">
        <v>4253</v>
      </c>
      <c r="H183" s="696">
        <v>3781</v>
      </c>
      <c r="I183" s="696">
        <v>3791</v>
      </c>
      <c r="J183" s="696">
        <v>3647</v>
      </c>
      <c r="K183" s="696">
        <v>4129</v>
      </c>
      <c r="L183" s="696">
        <v>3765</v>
      </c>
      <c r="M183" s="696">
        <v>3473</v>
      </c>
      <c r="N183" s="695">
        <v>3472</v>
      </c>
      <c r="O183" s="695">
        <v>3044</v>
      </c>
      <c r="P183" s="686">
        <v>2674</v>
      </c>
      <c r="Q183" s="686">
        <v>2650</v>
      </c>
      <c r="R183" s="690">
        <v>2726</v>
      </c>
      <c r="S183" s="690">
        <v>2966</v>
      </c>
      <c r="T183" s="690">
        <v>3140</v>
      </c>
      <c r="U183" s="690">
        <v>2533</v>
      </c>
      <c r="V183" s="690">
        <v>2444</v>
      </c>
      <c r="W183" s="690">
        <v>2939</v>
      </c>
      <c r="X183" s="690">
        <v>2636</v>
      </c>
      <c r="Y183" s="686">
        <v>2444</v>
      </c>
      <c r="Z183" s="686">
        <v>2576</v>
      </c>
      <c r="AA183" s="686">
        <v>2462</v>
      </c>
      <c r="AB183" s="230">
        <v>-4.4254658385093171</v>
      </c>
    </row>
    <row r="184" spans="1:28" ht="16.350000000000001" customHeight="1" x14ac:dyDescent="0.25">
      <c r="A184" s="693" t="s">
        <v>641</v>
      </c>
      <c r="B184" s="783" t="s">
        <v>642</v>
      </c>
      <c r="C184" s="695" t="s">
        <v>169</v>
      </c>
      <c r="D184" s="695" t="s">
        <v>169</v>
      </c>
      <c r="E184" s="695" t="s">
        <v>169</v>
      </c>
      <c r="F184" s="695" t="s">
        <v>169</v>
      </c>
      <c r="G184" s="695" t="s">
        <v>169</v>
      </c>
      <c r="H184" s="695" t="s">
        <v>169</v>
      </c>
      <c r="I184" s="695" t="s">
        <v>169</v>
      </c>
      <c r="J184" s="695" t="s">
        <v>169</v>
      </c>
      <c r="K184" s="695" t="s">
        <v>169</v>
      </c>
      <c r="L184" s="695" t="s">
        <v>169</v>
      </c>
      <c r="M184" s="695" t="s">
        <v>169</v>
      </c>
      <c r="N184" s="695">
        <v>2927</v>
      </c>
      <c r="O184" s="695">
        <v>2448</v>
      </c>
      <c r="P184" s="686">
        <v>2640</v>
      </c>
      <c r="Q184" s="686">
        <v>2280</v>
      </c>
      <c r="R184" s="690">
        <v>1849</v>
      </c>
      <c r="S184" s="690">
        <v>1829</v>
      </c>
      <c r="T184" s="690">
        <v>1759</v>
      </c>
      <c r="U184" s="690">
        <v>1305</v>
      </c>
      <c r="V184" s="690">
        <v>1192</v>
      </c>
      <c r="W184" s="690">
        <v>1158</v>
      </c>
      <c r="X184" s="690">
        <v>1216</v>
      </c>
      <c r="Y184" s="686">
        <v>1225</v>
      </c>
      <c r="Z184" s="686">
        <v>1178</v>
      </c>
      <c r="AA184" s="686">
        <v>1233</v>
      </c>
      <c r="AB184" s="230">
        <v>4.6689303904923607</v>
      </c>
    </row>
    <row r="185" spans="1:28" ht="16.350000000000001" customHeight="1" x14ac:dyDescent="0.25">
      <c r="A185" s="693">
        <v>38</v>
      </c>
      <c r="B185" s="783" t="s">
        <v>643</v>
      </c>
      <c r="C185" s="704" t="s">
        <v>169</v>
      </c>
      <c r="D185" s="696">
        <v>69</v>
      </c>
      <c r="E185" s="696">
        <v>438</v>
      </c>
      <c r="F185" s="696">
        <v>1548</v>
      </c>
      <c r="G185" s="696">
        <v>1961</v>
      </c>
      <c r="H185" s="696">
        <v>2382</v>
      </c>
      <c r="I185" s="696">
        <v>2505</v>
      </c>
      <c r="J185" s="696">
        <v>2609</v>
      </c>
      <c r="K185" s="696">
        <v>2344</v>
      </c>
      <c r="L185" s="696">
        <v>1779</v>
      </c>
      <c r="M185" s="696">
        <v>1427</v>
      </c>
      <c r="N185" s="695">
        <v>1485</v>
      </c>
      <c r="O185" s="695">
        <v>1509</v>
      </c>
      <c r="P185" s="686">
        <v>1670</v>
      </c>
      <c r="Q185" s="686">
        <v>1952</v>
      </c>
      <c r="R185" s="690">
        <v>2080</v>
      </c>
      <c r="S185" s="690">
        <v>2250</v>
      </c>
      <c r="T185" s="690">
        <v>2783</v>
      </c>
      <c r="U185" s="690">
        <v>3733</v>
      </c>
      <c r="V185" s="690">
        <v>3064</v>
      </c>
      <c r="W185" s="690">
        <v>2948</v>
      </c>
      <c r="X185" s="690">
        <v>2683</v>
      </c>
      <c r="Y185" s="686">
        <v>2739</v>
      </c>
      <c r="Z185" s="686">
        <v>2621</v>
      </c>
      <c r="AA185" s="686">
        <v>2950</v>
      </c>
      <c r="AB185" s="230">
        <v>12.552460892789011</v>
      </c>
    </row>
    <row r="186" spans="1:28" ht="16.350000000000001" customHeight="1" x14ac:dyDescent="0.25">
      <c r="A186" s="693" t="s">
        <v>644</v>
      </c>
      <c r="B186" s="783" t="s">
        <v>645</v>
      </c>
      <c r="C186" s="704" t="s">
        <v>169</v>
      </c>
      <c r="D186" s="704" t="s">
        <v>169</v>
      </c>
      <c r="E186" s="704" t="s">
        <v>169</v>
      </c>
      <c r="F186" s="704" t="s">
        <v>169</v>
      </c>
      <c r="G186" s="704" t="s">
        <v>169</v>
      </c>
      <c r="H186" s="696">
        <v>183</v>
      </c>
      <c r="I186" s="696">
        <v>611</v>
      </c>
      <c r="J186" s="696">
        <v>862</v>
      </c>
      <c r="K186" s="696">
        <v>975</v>
      </c>
      <c r="L186" s="696">
        <v>1301</v>
      </c>
      <c r="M186" s="696">
        <v>1384</v>
      </c>
      <c r="N186" s="695" t="s">
        <v>169</v>
      </c>
      <c r="O186" s="695" t="s">
        <v>169</v>
      </c>
      <c r="P186" s="695" t="s">
        <v>169</v>
      </c>
      <c r="Q186" s="695" t="s">
        <v>169</v>
      </c>
      <c r="R186" s="695" t="s">
        <v>169</v>
      </c>
      <c r="S186" s="690" t="s">
        <v>169</v>
      </c>
      <c r="T186" s="690" t="s">
        <v>169</v>
      </c>
      <c r="U186" s="695" t="s">
        <v>169</v>
      </c>
      <c r="V186" s="695" t="s">
        <v>169</v>
      </c>
      <c r="W186" s="695" t="s">
        <v>169</v>
      </c>
      <c r="X186" s="695" t="s">
        <v>169</v>
      </c>
      <c r="Y186" s="695" t="s">
        <v>169</v>
      </c>
      <c r="Z186" s="695" t="s">
        <v>169</v>
      </c>
      <c r="AA186" s="695" t="s">
        <v>169</v>
      </c>
      <c r="AB186" s="690" t="s">
        <v>169</v>
      </c>
    </row>
    <row r="187" spans="1:28" ht="16.350000000000001" customHeight="1" x14ac:dyDescent="0.25">
      <c r="A187" s="693" t="s">
        <v>646</v>
      </c>
      <c r="B187" s="783" t="s">
        <v>647</v>
      </c>
      <c r="C187" s="704" t="s">
        <v>169</v>
      </c>
      <c r="D187" s="704" t="s">
        <v>169</v>
      </c>
      <c r="E187" s="704" t="s">
        <v>169</v>
      </c>
      <c r="F187" s="704" t="s">
        <v>169</v>
      </c>
      <c r="G187" s="704" t="s">
        <v>169</v>
      </c>
      <c r="H187" s="696">
        <v>1108</v>
      </c>
      <c r="I187" s="696">
        <v>1466</v>
      </c>
      <c r="J187" s="696">
        <v>1564</v>
      </c>
      <c r="K187" s="696">
        <v>1559</v>
      </c>
      <c r="L187" s="696">
        <v>1366</v>
      </c>
      <c r="M187" s="696">
        <v>1287</v>
      </c>
      <c r="N187" s="695" t="s">
        <v>169</v>
      </c>
      <c r="O187" s="695" t="s">
        <v>169</v>
      </c>
      <c r="P187" s="695" t="s">
        <v>169</v>
      </c>
      <c r="Q187" s="695" t="s">
        <v>169</v>
      </c>
      <c r="R187" s="695" t="s">
        <v>169</v>
      </c>
      <c r="S187" s="690" t="s">
        <v>169</v>
      </c>
      <c r="T187" s="690" t="s">
        <v>169</v>
      </c>
      <c r="U187" s="695" t="s">
        <v>169</v>
      </c>
      <c r="V187" s="695" t="s">
        <v>169</v>
      </c>
      <c r="W187" s="695" t="s">
        <v>169</v>
      </c>
      <c r="X187" s="695" t="s">
        <v>169</v>
      </c>
      <c r="Y187" s="695" t="s">
        <v>169</v>
      </c>
      <c r="Z187" s="695" t="s">
        <v>169</v>
      </c>
      <c r="AA187" s="695" t="s">
        <v>169</v>
      </c>
      <c r="AB187" s="690" t="s">
        <v>169</v>
      </c>
    </row>
    <row r="188" spans="1:28" ht="16.350000000000001" customHeight="1" x14ac:dyDescent="0.25">
      <c r="A188" s="693">
        <v>54</v>
      </c>
      <c r="B188" s="783" t="s">
        <v>648</v>
      </c>
      <c r="C188" s="696">
        <v>18817</v>
      </c>
      <c r="D188" s="696">
        <v>17308</v>
      </c>
      <c r="E188" s="696">
        <v>14157</v>
      </c>
      <c r="F188" s="696">
        <v>12714</v>
      </c>
      <c r="G188" s="696">
        <v>11826</v>
      </c>
      <c r="H188" s="696">
        <v>11335</v>
      </c>
      <c r="I188" s="696">
        <v>10766</v>
      </c>
      <c r="J188" s="696">
        <v>9448</v>
      </c>
      <c r="K188" s="696">
        <v>9184</v>
      </c>
      <c r="L188" s="696">
        <v>9769</v>
      </c>
      <c r="M188" s="696">
        <v>8134</v>
      </c>
      <c r="N188" s="695">
        <v>8526</v>
      </c>
      <c r="O188" s="695">
        <v>6583</v>
      </c>
      <c r="P188" s="686">
        <v>5336</v>
      </c>
      <c r="Q188" s="686">
        <v>4340</v>
      </c>
      <c r="R188" s="690">
        <v>3788</v>
      </c>
      <c r="S188" s="690">
        <v>3709</v>
      </c>
      <c r="T188" s="690">
        <v>3586</v>
      </c>
      <c r="U188" s="690">
        <v>3122</v>
      </c>
      <c r="V188" s="690">
        <v>2670</v>
      </c>
      <c r="W188" s="690">
        <v>3023</v>
      </c>
      <c r="X188" s="690">
        <v>3193</v>
      </c>
      <c r="Y188" s="686">
        <v>3406</v>
      </c>
      <c r="Z188" s="686">
        <v>3165</v>
      </c>
      <c r="AA188" s="686">
        <v>3599</v>
      </c>
      <c r="AB188" s="230">
        <v>13.712480252764614</v>
      </c>
    </row>
    <row r="189" spans="1:28" ht="16.350000000000001" customHeight="1" x14ac:dyDescent="0.25">
      <c r="A189" s="693">
        <v>59</v>
      </c>
      <c r="B189" s="783" t="s">
        <v>649</v>
      </c>
      <c r="C189" s="696">
        <v>6138</v>
      </c>
      <c r="D189" s="696">
        <v>8612</v>
      </c>
      <c r="E189" s="696">
        <v>10066</v>
      </c>
      <c r="F189" s="696">
        <v>10501</v>
      </c>
      <c r="G189" s="696">
        <v>7889</v>
      </c>
      <c r="H189" s="696">
        <v>6318</v>
      </c>
      <c r="I189" s="696">
        <v>6034</v>
      </c>
      <c r="J189" s="696">
        <v>5996</v>
      </c>
      <c r="K189" s="696">
        <v>5916</v>
      </c>
      <c r="L189" s="696">
        <v>5214</v>
      </c>
      <c r="M189" s="696">
        <v>4950</v>
      </c>
      <c r="N189" s="695">
        <v>5790</v>
      </c>
      <c r="O189" s="695">
        <v>8998</v>
      </c>
      <c r="P189" s="686">
        <v>12850</v>
      </c>
      <c r="Q189" s="686">
        <v>18682</v>
      </c>
      <c r="R189" s="690">
        <v>27007</v>
      </c>
      <c r="S189" s="690">
        <v>34203</v>
      </c>
      <c r="T189" s="690">
        <v>35080</v>
      </c>
      <c r="U189" s="690">
        <v>38604</v>
      </c>
      <c r="V189" s="690">
        <v>39755</v>
      </c>
      <c r="W189" s="690">
        <v>37983</v>
      </c>
      <c r="X189" s="690">
        <v>35549</v>
      </c>
      <c r="Y189" s="686">
        <v>39385</v>
      </c>
      <c r="Z189" s="686">
        <v>35767</v>
      </c>
      <c r="AA189" s="686">
        <v>39976</v>
      </c>
      <c r="AB189" s="230">
        <v>11.767830681913495</v>
      </c>
    </row>
    <row r="190" spans="1:28" ht="16.350000000000001" customHeight="1" x14ac:dyDescent="0.25">
      <c r="A190" s="693">
        <v>60</v>
      </c>
      <c r="B190" s="783" t="s">
        <v>650</v>
      </c>
      <c r="C190" s="696">
        <v>881</v>
      </c>
      <c r="D190" s="696">
        <v>805</v>
      </c>
      <c r="E190" s="696">
        <v>747</v>
      </c>
      <c r="F190" s="696">
        <v>693</v>
      </c>
      <c r="G190" s="696">
        <v>593</v>
      </c>
      <c r="H190" s="696">
        <v>440</v>
      </c>
      <c r="I190" s="696">
        <v>446</v>
      </c>
      <c r="J190" s="696">
        <v>343</v>
      </c>
      <c r="K190" s="696">
        <v>298</v>
      </c>
      <c r="L190" s="696">
        <v>361</v>
      </c>
      <c r="M190" s="696">
        <v>379</v>
      </c>
      <c r="N190" s="695">
        <v>416</v>
      </c>
      <c r="O190" s="695">
        <v>422</v>
      </c>
      <c r="P190" s="686">
        <v>399</v>
      </c>
      <c r="Q190" s="686">
        <v>346</v>
      </c>
      <c r="R190" s="690">
        <v>377</v>
      </c>
      <c r="S190" s="690">
        <v>366</v>
      </c>
      <c r="T190" s="690">
        <v>258</v>
      </c>
      <c r="U190" s="690">
        <v>186</v>
      </c>
      <c r="V190" s="690">
        <v>192</v>
      </c>
      <c r="W190" s="690">
        <v>276</v>
      </c>
      <c r="X190" s="690">
        <v>167</v>
      </c>
      <c r="Y190" s="686">
        <v>146</v>
      </c>
      <c r="Z190" s="686">
        <v>143</v>
      </c>
      <c r="AA190" s="686">
        <v>150</v>
      </c>
      <c r="AB190" s="230">
        <v>4.895104895104895</v>
      </c>
    </row>
    <row r="191" spans="1:28" ht="16.350000000000001" customHeight="1" x14ac:dyDescent="0.25">
      <c r="A191" s="693">
        <v>61</v>
      </c>
      <c r="B191" s="783" t="s">
        <v>651</v>
      </c>
      <c r="C191" s="696">
        <v>8793</v>
      </c>
      <c r="D191" s="696">
        <v>7992</v>
      </c>
      <c r="E191" s="696">
        <v>10249</v>
      </c>
      <c r="F191" s="696">
        <v>10627</v>
      </c>
      <c r="G191" s="696">
        <v>8479</v>
      </c>
      <c r="H191" s="696">
        <v>4211</v>
      </c>
      <c r="I191" s="696">
        <v>4241</v>
      </c>
      <c r="J191" s="696">
        <v>2526</v>
      </c>
      <c r="K191" s="696">
        <v>1632</v>
      </c>
      <c r="L191" s="696">
        <v>2124</v>
      </c>
      <c r="M191" s="696">
        <v>2984</v>
      </c>
      <c r="N191" s="695">
        <v>2864</v>
      </c>
      <c r="O191" s="695">
        <v>2290</v>
      </c>
      <c r="P191" s="686">
        <v>2917</v>
      </c>
      <c r="Q191" s="686">
        <v>4431</v>
      </c>
      <c r="R191" s="690">
        <v>5739</v>
      </c>
      <c r="S191" s="690">
        <v>6487</v>
      </c>
      <c r="T191" s="690">
        <v>5427</v>
      </c>
      <c r="U191" s="690">
        <v>2911</v>
      </c>
      <c r="V191" s="690">
        <v>3192</v>
      </c>
      <c r="W191" s="690">
        <v>3249</v>
      </c>
      <c r="X191" s="690">
        <v>2210</v>
      </c>
      <c r="Y191" s="686">
        <v>3124</v>
      </c>
      <c r="Z191" s="686">
        <v>2070</v>
      </c>
      <c r="AA191" s="686">
        <v>3555</v>
      </c>
      <c r="AB191" s="230">
        <v>71.739130434782609</v>
      </c>
    </row>
    <row r="192" spans="1:28" ht="16.350000000000001" customHeight="1" x14ac:dyDescent="0.25">
      <c r="A192" s="693" t="s">
        <v>652</v>
      </c>
      <c r="B192" s="783" t="s">
        <v>653</v>
      </c>
      <c r="C192" s="695" t="s">
        <v>169</v>
      </c>
      <c r="D192" s="695" t="s">
        <v>169</v>
      </c>
      <c r="E192" s="695" t="s">
        <v>169</v>
      </c>
      <c r="F192" s="695" t="s">
        <v>169</v>
      </c>
      <c r="G192" s="695" t="s">
        <v>169</v>
      </c>
      <c r="H192" s="696">
        <v>2301</v>
      </c>
      <c r="I192" s="696">
        <v>2646</v>
      </c>
      <c r="J192" s="696">
        <v>2263</v>
      </c>
      <c r="K192" s="696">
        <v>1770</v>
      </c>
      <c r="L192" s="696">
        <v>1378</v>
      </c>
      <c r="M192" s="696">
        <v>962</v>
      </c>
      <c r="N192" s="695">
        <v>934</v>
      </c>
      <c r="O192" s="695">
        <v>987</v>
      </c>
      <c r="P192" s="686">
        <v>1051</v>
      </c>
      <c r="Q192" s="686">
        <v>881</v>
      </c>
      <c r="R192" s="690">
        <v>856</v>
      </c>
      <c r="S192" s="690">
        <v>868</v>
      </c>
      <c r="T192" s="690">
        <v>858</v>
      </c>
      <c r="U192" s="690">
        <v>580</v>
      </c>
      <c r="V192" s="690">
        <v>563</v>
      </c>
      <c r="W192" s="690">
        <v>600</v>
      </c>
      <c r="X192" s="690">
        <v>530</v>
      </c>
      <c r="Y192" s="686">
        <v>392</v>
      </c>
      <c r="Z192" s="686">
        <v>498</v>
      </c>
      <c r="AA192" s="686">
        <v>372</v>
      </c>
      <c r="AB192" s="230">
        <v>-25.301204819277107</v>
      </c>
    </row>
    <row r="193" spans="1:28" ht="16.350000000000001" customHeight="1" x14ac:dyDescent="0.25">
      <c r="A193" s="693">
        <v>67</v>
      </c>
      <c r="B193" s="783" t="s">
        <v>654</v>
      </c>
      <c r="C193" s="696">
        <v>186</v>
      </c>
      <c r="D193" s="696">
        <v>206</v>
      </c>
      <c r="E193" s="696">
        <v>265</v>
      </c>
      <c r="F193" s="696">
        <v>245</v>
      </c>
      <c r="G193" s="696">
        <v>197</v>
      </c>
      <c r="H193" s="696">
        <v>193</v>
      </c>
      <c r="I193" s="696">
        <v>177</v>
      </c>
      <c r="J193" s="696">
        <v>184</v>
      </c>
      <c r="K193" s="696">
        <v>339</v>
      </c>
      <c r="L193" s="696">
        <v>151</v>
      </c>
      <c r="M193" s="696">
        <v>134</v>
      </c>
      <c r="N193" s="695">
        <v>96</v>
      </c>
      <c r="O193" s="695">
        <v>92</v>
      </c>
      <c r="P193" s="686">
        <v>124</v>
      </c>
      <c r="Q193" s="686">
        <v>118</v>
      </c>
      <c r="R193" s="690">
        <v>119</v>
      </c>
      <c r="S193" s="690">
        <v>106</v>
      </c>
      <c r="T193" s="690">
        <v>88</v>
      </c>
      <c r="U193" s="690">
        <v>71</v>
      </c>
      <c r="V193" s="690">
        <v>87</v>
      </c>
      <c r="W193" s="690">
        <v>81</v>
      </c>
      <c r="X193" s="690">
        <v>92</v>
      </c>
      <c r="Y193" s="686">
        <v>76</v>
      </c>
      <c r="Z193" s="686">
        <v>81</v>
      </c>
      <c r="AA193" s="686">
        <v>80</v>
      </c>
      <c r="AB193" s="230">
        <v>-1.2345679012345678</v>
      </c>
    </row>
    <row r="194" spans="1:28" ht="16.350000000000001" customHeight="1" x14ac:dyDescent="0.25">
      <c r="A194" s="693">
        <v>68</v>
      </c>
      <c r="B194" s="783" t="s">
        <v>655</v>
      </c>
      <c r="C194" s="696">
        <v>2</v>
      </c>
      <c r="D194" s="696">
        <v>0</v>
      </c>
      <c r="E194" s="696">
        <v>0</v>
      </c>
      <c r="F194" s="696">
        <v>1</v>
      </c>
      <c r="G194" s="696">
        <v>1</v>
      </c>
      <c r="H194" s="696">
        <v>0</v>
      </c>
      <c r="I194" s="696">
        <v>1</v>
      </c>
      <c r="J194" s="696">
        <v>0</v>
      </c>
      <c r="K194" s="696">
        <v>4</v>
      </c>
      <c r="L194" s="695" t="s">
        <v>169</v>
      </c>
      <c r="M194" s="695" t="s">
        <v>169</v>
      </c>
      <c r="N194" s="695" t="s">
        <v>169</v>
      </c>
      <c r="O194" s="695" t="s">
        <v>169</v>
      </c>
      <c r="P194" s="695" t="s">
        <v>169</v>
      </c>
      <c r="Q194" s="695" t="s">
        <v>169</v>
      </c>
      <c r="R194" s="695" t="s">
        <v>169</v>
      </c>
      <c r="S194" s="690" t="s">
        <v>169</v>
      </c>
      <c r="T194" s="690" t="s">
        <v>169</v>
      </c>
      <c r="U194" s="695" t="s">
        <v>169</v>
      </c>
      <c r="V194" s="695" t="s">
        <v>169</v>
      </c>
      <c r="W194" s="695" t="s">
        <v>169</v>
      </c>
      <c r="X194" s="695" t="s">
        <v>169</v>
      </c>
      <c r="Y194" s="695" t="s">
        <v>169</v>
      </c>
      <c r="Z194" s="695" t="s">
        <v>169</v>
      </c>
      <c r="AA194" s="695" t="s">
        <v>169</v>
      </c>
      <c r="AB194" s="690" t="s">
        <v>169</v>
      </c>
    </row>
    <row r="195" spans="1:28" ht="16.350000000000001" customHeight="1" x14ac:dyDescent="0.25">
      <c r="A195" s="693">
        <v>69</v>
      </c>
      <c r="B195" s="783" t="s">
        <v>656</v>
      </c>
      <c r="C195" s="704" t="s">
        <v>169</v>
      </c>
      <c r="D195" s="703" t="s">
        <v>169</v>
      </c>
      <c r="E195" s="703" t="s">
        <v>169</v>
      </c>
      <c r="F195" s="703" t="s">
        <v>169</v>
      </c>
      <c r="G195" s="703" t="s">
        <v>169</v>
      </c>
      <c r="H195" s="703" t="s">
        <v>169</v>
      </c>
      <c r="I195" s="703" t="s">
        <v>169</v>
      </c>
      <c r="J195" s="696">
        <v>533</v>
      </c>
      <c r="K195" s="696">
        <v>518</v>
      </c>
      <c r="L195" s="696">
        <v>583</v>
      </c>
      <c r="M195" s="696">
        <v>1024</v>
      </c>
      <c r="N195" s="695">
        <v>1113</v>
      </c>
      <c r="O195" s="695">
        <v>1535</v>
      </c>
      <c r="P195" s="686">
        <v>2739</v>
      </c>
      <c r="Q195" s="686">
        <v>3946</v>
      </c>
      <c r="R195" s="690">
        <v>4476</v>
      </c>
      <c r="S195" s="690">
        <v>3939</v>
      </c>
      <c r="T195" s="690">
        <v>3735</v>
      </c>
      <c r="U195" s="690">
        <v>2796</v>
      </c>
      <c r="V195" s="690">
        <v>2620</v>
      </c>
      <c r="W195" s="690">
        <v>2988</v>
      </c>
      <c r="X195" s="690">
        <v>3610</v>
      </c>
      <c r="Y195" s="686">
        <v>3060</v>
      </c>
      <c r="Z195" s="686">
        <v>3550</v>
      </c>
      <c r="AA195" s="686">
        <v>2974</v>
      </c>
      <c r="AB195" s="230">
        <v>-16.225352112676056</v>
      </c>
    </row>
    <row r="196" spans="1:28" ht="16.350000000000001" customHeight="1" x14ac:dyDescent="0.25">
      <c r="A196" s="693">
        <v>75</v>
      </c>
      <c r="B196" s="783" t="s">
        <v>657</v>
      </c>
      <c r="C196" s="696">
        <v>5</v>
      </c>
      <c r="D196" s="696">
        <v>1</v>
      </c>
      <c r="E196" s="696">
        <v>12</v>
      </c>
      <c r="F196" s="696">
        <v>6</v>
      </c>
      <c r="G196" s="696">
        <v>13</v>
      </c>
      <c r="H196" s="696">
        <v>11</v>
      </c>
      <c r="I196" s="696">
        <v>22</v>
      </c>
      <c r="J196" s="696">
        <v>21</v>
      </c>
      <c r="K196" s="696">
        <v>14</v>
      </c>
      <c r="L196" s="696">
        <v>12</v>
      </c>
      <c r="M196" s="695" t="s">
        <v>169</v>
      </c>
      <c r="N196" s="695" t="s">
        <v>169</v>
      </c>
      <c r="O196" s="695" t="s">
        <v>169</v>
      </c>
      <c r="P196" s="695" t="s">
        <v>169</v>
      </c>
      <c r="Q196" s="695" t="s">
        <v>169</v>
      </c>
      <c r="R196" s="695" t="s">
        <v>169</v>
      </c>
      <c r="S196" s="690" t="s">
        <v>169</v>
      </c>
      <c r="T196" s="690" t="s">
        <v>169</v>
      </c>
      <c r="U196" s="695" t="s">
        <v>169</v>
      </c>
      <c r="V196" s="695" t="s">
        <v>169</v>
      </c>
      <c r="W196" s="695" t="s">
        <v>169</v>
      </c>
      <c r="X196" s="695" t="s">
        <v>169</v>
      </c>
      <c r="Y196" s="695" t="s">
        <v>169</v>
      </c>
      <c r="Z196" s="695" t="s">
        <v>169</v>
      </c>
      <c r="AA196" s="695" t="s">
        <v>169</v>
      </c>
      <c r="AB196" s="690" t="s">
        <v>169</v>
      </c>
    </row>
    <row r="197" spans="1:28" ht="16.350000000000001" customHeight="1" x14ac:dyDescent="0.25">
      <c r="A197" s="693">
        <v>76</v>
      </c>
      <c r="B197" s="783" t="s">
        <v>658</v>
      </c>
      <c r="C197" s="696">
        <v>8</v>
      </c>
      <c r="D197" s="696">
        <v>11</v>
      </c>
      <c r="E197" s="696">
        <v>6</v>
      </c>
      <c r="F197" s="696">
        <v>11</v>
      </c>
      <c r="G197" s="696">
        <v>13</v>
      </c>
      <c r="H197" s="696">
        <v>9</v>
      </c>
      <c r="I197" s="696">
        <v>7</v>
      </c>
      <c r="J197" s="696">
        <v>17</v>
      </c>
      <c r="K197" s="696">
        <v>7</v>
      </c>
      <c r="L197" s="696">
        <v>10</v>
      </c>
      <c r="M197" s="696">
        <v>11</v>
      </c>
      <c r="N197" s="695">
        <v>11</v>
      </c>
      <c r="O197" s="695">
        <v>19</v>
      </c>
      <c r="P197" s="686">
        <v>32</v>
      </c>
      <c r="Q197" s="686">
        <v>29</v>
      </c>
      <c r="R197" s="690">
        <v>26</v>
      </c>
      <c r="S197" s="690">
        <v>37</v>
      </c>
      <c r="T197" s="690">
        <v>48</v>
      </c>
      <c r="U197" s="690">
        <v>73</v>
      </c>
      <c r="V197" s="690">
        <v>49</v>
      </c>
      <c r="W197" s="690">
        <v>53</v>
      </c>
      <c r="X197" s="690">
        <v>51</v>
      </c>
      <c r="Y197" s="686">
        <v>91</v>
      </c>
      <c r="Z197" s="686">
        <v>56</v>
      </c>
      <c r="AA197" s="686">
        <v>91</v>
      </c>
      <c r="AB197" s="230">
        <v>62.5</v>
      </c>
    </row>
    <row r="198" spans="1:28" ht="16.350000000000001" customHeight="1" x14ac:dyDescent="0.25">
      <c r="A198" s="693">
        <v>78</v>
      </c>
      <c r="B198" s="783" t="s">
        <v>659</v>
      </c>
      <c r="C198" s="696">
        <v>433</v>
      </c>
      <c r="D198" s="696">
        <v>451</v>
      </c>
      <c r="E198" s="696">
        <v>550</v>
      </c>
      <c r="F198" s="696">
        <v>935</v>
      </c>
      <c r="G198" s="696">
        <v>792</v>
      </c>
      <c r="H198" s="696">
        <v>661</v>
      </c>
      <c r="I198" s="696">
        <v>573</v>
      </c>
      <c r="J198" s="696">
        <v>411</v>
      </c>
      <c r="K198" s="696">
        <v>445</v>
      </c>
      <c r="L198" s="696">
        <v>344</v>
      </c>
      <c r="M198" s="695" t="s">
        <v>169</v>
      </c>
      <c r="N198" s="695" t="s">
        <v>169</v>
      </c>
      <c r="O198" s="695" t="s">
        <v>169</v>
      </c>
      <c r="P198" s="695" t="s">
        <v>169</v>
      </c>
      <c r="Q198" s="695" t="s">
        <v>169</v>
      </c>
      <c r="R198" s="695" t="s">
        <v>169</v>
      </c>
      <c r="S198" s="690" t="s">
        <v>169</v>
      </c>
      <c r="T198" s="690" t="s">
        <v>169</v>
      </c>
      <c r="U198" s="695" t="s">
        <v>169</v>
      </c>
      <c r="V198" s="695" t="s">
        <v>169</v>
      </c>
      <c r="W198" s="695" t="s">
        <v>169</v>
      </c>
      <c r="X198" s="695" t="s">
        <v>169</v>
      </c>
      <c r="Y198" s="695" t="s">
        <v>169</v>
      </c>
      <c r="Z198" s="695" t="s">
        <v>169</v>
      </c>
      <c r="AA198" s="695" t="s">
        <v>169</v>
      </c>
      <c r="AB198" s="690" t="s">
        <v>169</v>
      </c>
    </row>
    <row r="199" spans="1:28" ht="16.350000000000001" customHeight="1" x14ac:dyDescent="0.25">
      <c r="A199" s="693">
        <v>79</v>
      </c>
      <c r="B199" s="783" t="s">
        <v>660</v>
      </c>
      <c r="C199" s="696">
        <v>11346</v>
      </c>
      <c r="D199" s="696">
        <v>11894</v>
      </c>
      <c r="E199" s="696">
        <v>11567</v>
      </c>
      <c r="F199" s="696">
        <v>12712</v>
      </c>
      <c r="G199" s="696">
        <v>11114</v>
      </c>
      <c r="H199" s="696">
        <v>9131</v>
      </c>
      <c r="I199" s="696">
        <v>8396</v>
      </c>
      <c r="J199" s="696">
        <v>7997</v>
      </c>
      <c r="K199" s="696">
        <v>6890</v>
      </c>
      <c r="L199" s="696">
        <v>5698</v>
      </c>
      <c r="M199" s="696">
        <v>4947</v>
      </c>
      <c r="N199" s="695">
        <v>5368</v>
      </c>
      <c r="O199" s="695">
        <v>6297</v>
      </c>
      <c r="P199" s="686">
        <v>6437</v>
      </c>
      <c r="Q199" s="686">
        <v>6651</v>
      </c>
      <c r="R199" s="690">
        <v>7234</v>
      </c>
      <c r="S199" s="690">
        <v>7261</v>
      </c>
      <c r="T199" s="690">
        <v>6832</v>
      </c>
      <c r="U199" s="690">
        <v>6704</v>
      </c>
      <c r="V199" s="690">
        <v>6283</v>
      </c>
      <c r="W199" s="690">
        <v>6074</v>
      </c>
      <c r="X199" s="690">
        <v>5926</v>
      </c>
      <c r="Y199" s="686">
        <v>6014</v>
      </c>
      <c r="Z199" s="686">
        <v>6038</v>
      </c>
      <c r="AA199" s="686">
        <v>5929</v>
      </c>
      <c r="AB199" s="230">
        <v>-1.8052335210334547</v>
      </c>
    </row>
    <row r="200" spans="1:28" ht="16.350000000000001" customHeight="1" x14ac:dyDescent="0.25">
      <c r="A200" s="693">
        <v>80</v>
      </c>
      <c r="B200" s="783" t="s">
        <v>661</v>
      </c>
      <c r="C200" s="696">
        <v>1553</v>
      </c>
      <c r="D200" s="696">
        <v>1721</v>
      </c>
      <c r="E200" s="696">
        <v>1362</v>
      </c>
      <c r="F200" s="696">
        <v>1272</v>
      </c>
      <c r="G200" s="696">
        <v>979</v>
      </c>
      <c r="H200" s="696">
        <v>828</v>
      </c>
      <c r="I200" s="696">
        <v>651</v>
      </c>
      <c r="J200" s="696">
        <v>557</v>
      </c>
      <c r="K200" s="696">
        <v>499</v>
      </c>
      <c r="L200" s="696">
        <v>414</v>
      </c>
      <c r="M200" s="696">
        <v>482</v>
      </c>
      <c r="N200" s="695">
        <v>370</v>
      </c>
      <c r="O200" s="695">
        <v>442</v>
      </c>
      <c r="P200" s="686">
        <v>523</v>
      </c>
      <c r="Q200" s="686">
        <v>591</v>
      </c>
      <c r="R200" s="690">
        <v>798</v>
      </c>
      <c r="S200" s="690">
        <v>880</v>
      </c>
      <c r="T200" s="690">
        <v>1018</v>
      </c>
      <c r="U200" s="690">
        <v>792</v>
      </c>
      <c r="V200" s="690">
        <v>1082</v>
      </c>
      <c r="W200" s="690">
        <v>954</v>
      </c>
      <c r="X200" s="690">
        <v>872</v>
      </c>
      <c r="Y200" s="686">
        <v>927</v>
      </c>
      <c r="Z200" s="686">
        <v>871</v>
      </c>
      <c r="AA200" s="686">
        <v>944</v>
      </c>
      <c r="AB200" s="230">
        <v>8.3811710677382312</v>
      </c>
    </row>
    <row r="201" spans="1:28" ht="16.350000000000001" customHeight="1" x14ac:dyDescent="0.25">
      <c r="A201" s="693">
        <v>82</v>
      </c>
      <c r="B201" s="783" t="s">
        <v>662</v>
      </c>
      <c r="C201" s="696">
        <v>117</v>
      </c>
      <c r="D201" s="696">
        <v>49</v>
      </c>
      <c r="E201" s="696">
        <v>30</v>
      </c>
      <c r="F201" s="696">
        <v>49</v>
      </c>
      <c r="G201" s="696">
        <v>27</v>
      </c>
      <c r="H201" s="696">
        <v>10</v>
      </c>
      <c r="I201" s="696">
        <v>13</v>
      </c>
      <c r="J201" s="696">
        <v>10</v>
      </c>
      <c r="K201" s="696">
        <v>3</v>
      </c>
      <c r="L201" s="696">
        <v>5</v>
      </c>
      <c r="M201" s="705" t="s">
        <v>169</v>
      </c>
      <c r="N201" s="705" t="s">
        <v>169</v>
      </c>
      <c r="O201" s="695" t="s">
        <v>169</v>
      </c>
      <c r="P201" s="705" t="s">
        <v>169</v>
      </c>
      <c r="Q201" s="705" t="s">
        <v>169</v>
      </c>
      <c r="R201" s="705" t="s">
        <v>169</v>
      </c>
      <c r="S201" s="690" t="s">
        <v>169</v>
      </c>
      <c r="T201" s="690" t="s">
        <v>169</v>
      </c>
      <c r="U201" s="695" t="s">
        <v>169</v>
      </c>
      <c r="V201" s="695" t="s">
        <v>169</v>
      </c>
      <c r="W201" s="695" t="s">
        <v>169</v>
      </c>
      <c r="X201" s="695" t="s">
        <v>169</v>
      </c>
      <c r="Y201" s="705" t="s">
        <v>169</v>
      </c>
      <c r="Z201" s="705" t="s">
        <v>169</v>
      </c>
      <c r="AA201" s="705" t="s">
        <v>169</v>
      </c>
      <c r="AB201" s="690" t="s">
        <v>169</v>
      </c>
    </row>
    <row r="202" spans="1:28" ht="16.350000000000001" customHeight="1" x14ac:dyDescent="0.25">
      <c r="A202" s="693">
        <v>83</v>
      </c>
      <c r="B202" s="783" t="s">
        <v>663</v>
      </c>
      <c r="C202" s="696">
        <v>252</v>
      </c>
      <c r="D202" s="696">
        <v>212</v>
      </c>
      <c r="E202" s="696">
        <v>202</v>
      </c>
      <c r="F202" s="696">
        <v>177</v>
      </c>
      <c r="G202" s="696">
        <v>83</v>
      </c>
      <c r="H202" s="696">
        <v>25</v>
      </c>
      <c r="I202" s="696">
        <v>3</v>
      </c>
      <c r="J202" s="696">
        <v>4</v>
      </c>
      <c r="K202" s="696">
        <v>6</v>
      </c>
      <c r="L202" s="696">
        <v>3</v>
      </c>
      <c r="M202" s="696">
        <v>2</v>
      </c>
      <c r="N202" s="696">
        <v>3</v>
      </c>
      <c r="O202" s="695">
        <v>6</v>
      </c>
      <c r="P202" s="686">
        <v>195</v>
      </c>
      <c r="Q202" s="686">
        <v>609</v>
      </c>
      <c r="R202" s="690">
        <v>105</v>
      </c>
      <c r="S202" s="690">
        <v>169</v>
      </c>
      <c r="T202" s="690">
        <v>139</v>
      </c>
      <c r="U202" s="690">
        <v>127</v>
      </c>
      <c r="V202" s="690">
        <v>125</v>
      </c>
      <c r="W202" s="690">
        <v>178</v>
      </c>
      <c r="X202" s="690">
        <v>203</v>
      </c>
      <c r="Y202" s="686">
        <v>244</v>
      </c>
      <c r="Z202" s="686">
        <v>188</v>
      </c>
      <c r="AA202" s="686">
        <v>252</v>
      </c>
      <c r="AB202" s="230">
        <v>34.042553191489361</v>
      </c>
    </row>
    <row r="203" spans="1:28" ht="16.350000000000001" customHeight="1" x14ac:dyDescent="0.25">
      <c r="A203" s="693">
        <v>84</v>
      </c>
      <c r="B203" s="783" t="s">
        <v>664</v>
      </c>
      <c r="C203" s="696">
        <v>195</v>
      </c>
      <c r="D203" s="696">
        <v>513</v>
      </c>
      <c r="E203" s="696">
        <v>1344</v>
      </c>
      <c r="F203" s="696">
        <v>1360</v>
      </c>
      <c r="G203" s="696">
        <v>1353</v>
      </c>
      <c r="H203" s="696">
        <v>1321</v>
      </c>
      <c r="I203" s="696">
        <v>1143</v>
      </c>
      <c r="J203" s="696">
        <v>809</v>
      </c>
      <c r="K203" s="696">
        <v>486</v>
      </c>
      <c r="L203" s="696">
        <v>263</v>
      </c>
      <c r="M203" s="705" t="s">
        <v>169</v>
      </c>
      <c r="N203" s="705" t="s">
        <v>169</v>
      </c>
      <c r="O203" s="695" t="s">
        <v>169</v>
      </c>
      <c r="P203" s="705" t="s">
        <v>169</v>
      </c>
      <c r="Q203" s="705" t="s">
        <v>169</v>
      </c>
      <c r="R203" s="705" t="s">
        <v>169</v>
      </c>
      <c r="S203" s="690" t="s">
        <v>169</v>
      </c>
      <c r="T203" s="690" t="s">
        <v>169</v>
      </c>
      <c r="U203" s="695" t="s">
        <v>169</v>
      </c>
      <c r="V203" s="695" t="s">
        <v>169</v>
      </c>
      <c r="W203" s="695" t="s">
        <v>169</v>
      </c>
      <c r="X203" s="695" t="s">
        <v>169</v>
      </c>
      <c r="Y203" s="705" t="s">
        <v>169</v>
      </c>
      <c r="Z203" s="705" t="s">
        <v>169</v>
      </c>
      <c r="AA203" s="705" t="s">
        <v>169</v>
      </c>
      <c r="AB203" s="690" t="s">
        <v>169</v>
      </c>
    </row>
    <row r="204" spans="1:28" ht="16.350000000000001" customHeight="1" x14ac:dyDescent="0.25">
      <c r="A204" s="693">
        <v>85</v>
      </c>
      <c r="B204" s="783" t="s">
        <v>665</v>
      </c>
      <c r="C204" s="696">
        <v>3</v>
      </c>
      <c r="D204" s="696">
        <v>4</v>
      </c>
      <c r="E204" s="696">
        <v>15</v>
      </c>
      <c r="F204" s="696">
        <v>8</v>
      </c>
      <c r="G204" s="696">
        <v>9</v>
      </c>
      <c r="H204" s="696">
        <v>8</v>
      </c>
      <c r="I204" s="696">
        <v>15</v>
      </c>
      <c r="J204" s="696">
        <v>6</v>
      </c>
      <c r="K204" s="696">
        <v>2</v>
      </c>
      <c r="L204" s="696">
        <v>8</v>
      </c>
      <c r="M204" s="705" t="s">
        <v>169</v>
      </c>
      <c r="N204" s="695" t="s">
        <v>169</v>
      </c>
      <c r="O204" s="695" t="s">
        <v>169</v>
      </c>
      <c r="P204" s="695" t="s">
        <v>169</v>
      </c>
      <c r="Q204" s="695" t="s">
        <v>169</v>
      </c>
      <c r="R204" s="695" t="s">
        <v>169</v>
      </c>
      <c r="S204" s="690" t="s">
        <v>169</v>
      </c>
      <c r="T204" s="690" t="s">
        <v>169</v>
      </c>
      <c r="U204" s="695" t="s">
        <v>169</v>
      </c>
      <c r="V204" s="695" t="s">
        <v>169</v>
      </c>
      <c r="W204" s="695" t="s">
        <v>169</v>
      </c>
      <c r="X204" s="695" t="s">
        <v>169</v>
      </c>
      <c r="Y204" s="695" t="s">
        <v>169</v>
      </c>
      <c r="Z204" s="695" t="s">
        <v>169</v>
      </c>
      <c r="AA204" s="695" t="s">
        <v>169</v>
      </c>
      <c r="AB204" s="690" t="s">
        <v>169</v>
      </c>
    </row>
    <row r="205" spans="1:28" ht="16.350000000000001" customHeight="1" x14ac:dyDescent="0.25">
      <c r="A205" s="693">
        <v>86</v>
      </c>
      <c r="B205" s="783" t="s">
        <v>666</v>
      </c>
      <c r="C205" s="696">
        <v>2106</v>
      </c>
      <c r="D205" s="696">
        <v>2881</v>
      </c>
      <c r="E205" s="696">
        <v>2861</v>
      </c>
      <c r="F205" s="696">
        <v>2592</v>
      </c>
      <c r="G205" s="696">
        <v>2378</v>
      </c>
      <c r="H205" s="696">
        <v>2672</v>
      </c>
      <c r="I205" s="696">
        <v>2775</v>
      </c>
      <c r="J205" s="696">
        <v>3215</v>
      </c>
      <c r="K205" s="696">
        <v>3342</v>
      </c>
      <c r="L205" s="696">
        <v>3335</v>
      </c>
      <c r="M205" s="696">
        <v>3506</v>
      </c>
      <c r="N205" s="696">
        <v>4618</v>
      </c>
      <c r="O205" s="695">
        <v>8053</v>
      </c>
      <c r="P205" s="686">
        <v>13082</v>
      </c>
      <c r="Q205" s="686">
        <v>18848</v>
      </c>
      <c r="R205" s="690">
        <v>23227</v>
      </c>
      <c r="S205" s="690">
        <v>25292</v>
      </c>
      <c r="T205" s="690">
        <v>26970</v>
      </c>
      <c r="U205" s="690">
        <v>31924</v>
      </c>
      <c r="V205" s="690">
        <v>35530</v>
      </c>
      <c r="W205" s="690">
        <v>40844</v>
      </c>
      <c r="X205" s="690">
        <v>39709</v>
      </c>
      <c r="Y205" s="686">
        <v>42017</v>
      </c>
      <c r="Z205" s="686">
        <v>39442</v>
      </c>
      <c r="AA205" s="686">
        <v>42740</v>
      </c>
      <c r="AB205" s="230">
        <v>8.3616449470108005</v>
      </c>
    </row>
    <row r="206" spans="1:28" ht="16.350000000000001" customHeight="1" x14ac:dyDescent="0.25">
      <c r="A206" s="693">
        <v>87</v>
      </c>
      <c r="B206" s="783" t="s">
        <v>667</v>
      </c>
      <c r="C206" s="696">
        <v>63</v>
      </c>
      <c r="D206" s="696">
        <v>75</v>
      </c>
      <c r="E206" s="696">
        <v>70</v>
      </c>
      <c r="F206" s="696">
        <v>75</v>
      </c>
      <c r="G206" s="696">
        <v>69</v>
      </c>
      <c r="H206" s="696">
        <v>81</v>
      </c>
      <c r="I206" s="696">
        <v>71</v>
      </c>
      <c r="J206" s="696">
        <v>81</v>
      </c>
      <c r="K206" s="696">
        <v>73</v>
      </c>
      <c r="L206" s="696">
        <v>68</v>
      </c>
      <c r="M206" s="705" t="s">
        <v>169</v>
      </c>
      <c r="N206" s="705" t="s">
        <v>169</v>
      </c>
      <c r="O206" s="695" t="s">
        <v>169</v>
      </c>
      <c r="P206" s="705" t="s">
        <v>169</v>
      </c>
      <c r="Q206" s="705" t="s">
        <v>169</v>
      </c>
      <c r="R206" s="705" t="s">
        <v>169</v>
      </c>
      <c r="S206" s="690" t="s">
        <v>169</v>
      </c>
      <c r="T206" s="690" t="s">
        <v>169</v>
      </c>
      <c r="U206" s="695" t="s">
        <v>169</v>
      </c>
      <c r="V206" s="695" t="s">
        <v>169</v>
      </c>
      <c r="W206" s="695" t="s">
        <v>169</v>
      </c>
      <c r="X206" s="695" t="s">
        <v>169</v>
      </c>
      <c r="Y206" s="705" t="s">
        <v>169</v>
      </c>
      <c r="Z206" s="705" t="s">
        <v>169</v>
      </c>
      <c r="AA206" s="705" t="s">
        <v>169</v>
      </c>
      <c r="AB206" s="690" t="s">
        <v>169</v>
      </c>
    </row>
    <row r="207" spans="1:28" ht="16.350000000000001" customHeight="1" x14ac:dyDescent="0.25">
      <c r="A207" s="693">
        <v>89</v>
      </c>
      <c r="B207" s="783" t="s">
        <v>668</v>
      </c>
      <c r="C207" s="696">
        <v>80</v>
      </c>
      <c r="D207" s="696">
        <v>34</v>
      </c>
      <c r="E207" s="696">
        <v>29</v>
      </c>
      <c r="F207" s="696">
        <v>45</v>
      </c>
      <c r="G207" s="696">
        <v>32</v>
      </c>
      <c r="H207" s="696">
        <v>44</v>
      </c>
      <c r="I207" s="696">
        <v>13</v>
      </c>
      <c r="J207" s="696">
        <v>4</v>
      </c>
      <c r="K207" s="696">
        <v>9</v>
      </c>
      <c r="L207" s="696">
        <v>0</v>
      </c>
      <c r="M207" s="705" t="s">
        <v>169</v>
      </c>
      <c r="N207" s="705" t="s">
        <v>169</v>
      </c>
      <c r="O207" s="695" t="s">
        <v>169</v>
      </c>
      <c r="P207" s="705" t="s">
        <v>169</v>
      </c>
      <c r="Q207" s="705" t="s">
        <v>169</v>
      </c>
      <c r="R207" s="705" t="s">
        <v>169</v>
      </c>
      <c r="S207" s="690" t="s">
        <v>169</v>
      </c>
      <c r="T207" s="690" t="s">
        <v>169</v>
      </c>
      <c r="U207" s="695" t="s">
        <v>169</v>
      </c>
      <c r="V207" s="695" t="s">
        <v>169</v>
      </c>
      <c r="W207" s="695" t="s">
        <v>169</v>
      </c>
      <c r="X207" s="695" t="s">
        <v>169</v>
      </c>
      <c r="Y207" s="705" t="s">
        <v>169</v>
      </c>
      <c r="Z207" s="705" t="s">
        <v>169</v>
      </c>
      <c r="AA207" s="705" t="s">
        <v>169</v>
      </c>
      <c r="AB207" s="690" t="s">
        <v>169</v>
      </c>
    </row>
    <row r="208" spans="1:28" ht="16.350000000000001" customHeight="1" x14ac:dyDescent="0.25">
      <c r="A208" s="693">
        <v>91</v>
      </c>
      <c r="B208" s="783" t="s">
        <v>669</v>
      </c>
      <c r="C208" s="696">
        <v>20</v>
      </c>
      <c r="D208" s="696">
        <v>86</v>
      </c>
      <c r="E208" s="696">
        <v>112</v>
      </c>
      <c r="F208" s="696">
        <v>128</v>
      </c>
      <c r="G208" s="696">
        <v>50</v>
      </c>
      <c r="H208" s="696">
        <v>44</v>
      </c>
      <c r="I208" s="696">
        <v>115</v>
      </c>
      <c r="J208" s="696">
        <v>488</v>
      </c>
      <c r="K208" s="696">
        <v>398</v>
      </c>
      <c r="L208" s="696">
        <v>289</v>
      </c>
      <c r="M208" s="705" t="s">
        <v>169</v>
      </c>
      <c r="N208" s="705" t="s">
        <v>169</v>
      </c>
      <c r="O208" s="695" t="s">
        <v>169</v>
      </c>
      <c r="P208" s="705" t="s">
        <v>169</v>
      </c>
      <c r="Q208" s="705" t="s">
        <v>169</v>
      </c>
      <c r="R208" s="705" t="s">
        <v>169</v>
      </c>
      <c r="S208" s="690" t="s">
        <v>169</v>
      </c>
      <c r="T208" s="690" t="s">
        <v>169</v>
      </c>
      <c r="U208" s="695" t="s">
        <v>169</v>
      </c>
      <c r="V208" s="695" t="s">
        <v>169</v>
      </c>
      <c r="W208" s="695" t="s">
        <v>169</v>
      </c>
      <c r="X208" s="695" t="s">
        <v>169</v>
      </c>
      <c r="Y208" s="705" t="s">
        <v>169</v>
      </c>
      <c r="Z208" s="705" t="s">
        <v>169</v>
      </c>
      <c r="AA208" s="705" t="s">
        <v>169</v>
      </c>
      <c r="AB208" s="690" t="s">
        <v>169</v>
      </c>
    </row>
    <row r="209" spans="1:28" ht="16.350000000000001" customHeight="1" x14ac:dyDescent="0.25">
      <c r="A209" s="693">
        <v>94</v>
      </c>
      <c r="B209" s="783" t="s">
        <v>670</v>
      </c>
      <c r="C209" s="696">
        <v>1</v>
      </c>
      <c r="D209" s="696">
        <v>3</v>
      </c>
      <c r="E209" s="696">
        <v>4</v>
      </c>
      <c r="F209" s="696">
        <v>5</v>
      </c>
      <c r="G209" s="696">
        <v>0</v>
      </c>
      <c r="H209" s="696">
        <v>0</v>
      </c>
      <c r="I209" s="696">
        <v>1</v>
      </c>
      <c r="J209" s="696">
        <v>0</v>
      </c>
      <c r="K209" s="696">
        <v>1</v>
      </c>
      <c r="L209" s="696">
        <v>1</v>
      </c>
      <c r="M209" s="705" t="s">
        <v>169</v>
      </c>
      <c r="N209" s="705" t="s">
        <v>169</v>
      </c>
      <c r="O209" s="695" t="s">
        <v>169</v>
      </c>
      <c r="P209" s="705" t="s">
        <v>169</v>
      </c>
      <c r="Q209" s="705" t="s">
        <v>169</v>
      </c>
      <c r="R209" s="705" t="s">
        <v>169</v>
      </c>
      <c r="S209" s="690" t="s">
        <v>169</v>
      </c>
      <c r="T209" s="690" t="s">
        <v>169</v>
      </c>
      <c r="U209" s="695" t="s">
        <v>169</v>
      </c>
      <c r="V209" s="695" t="s">
        <v>169</v>
      </c>
      <c r="W209" s="695" t="s">
        <v>169</v>
      </c>
      <c r="X209" s="695" t="s">
        <v>169</v>
      </c>
      <c r="Y209" s="705" t="s">
        <v>169</v>
      </c>
      <c r="Z209" s="705" t="s">
        <v>169</v>
      </c>
      <c r="AA209" s="705" t="s">
        <v>169</v>
      </c>
      <c r="AB209" s="690" t="s">
        <v>169</v>
      </c>
    </row>
    <row r="210" spans="1:28" ht="16.350000000000001" customHeight="1" x14ac:dyDescent="0.25">
      <c r="A210" s="693">
        <v>95</v>
      </c>
      <c r="B210" s="783" t="s">
        <v>671</v>
      </c>
      <c r="C210" s="696">
        <v>16</v>
      </c>
      <c r="D210" s="696">
        <v>22</v>
      </c>
      <c r="E210" s="696">
        <v>144</v>
      </c>
      <c r="F210" s="696">
        <v>368</v>
      </c>
      <c r="G210" s="696">
        <v>266</v>
      </c>
      <c r="H210" s="696">
        <v>425</v>
      </c>
      <c r="I210" s="696">
        <v>506</v>
      </c>
      <c r="J210" s="696">
        <v>426</v>
      </c>
      <c r="K210" s="696">
        <v>348</v>
      </c>
      <c r="L210" s="696">
        <v>363</v>
      </c>
      <c r="M210" s="696">
        <v>294</v>
      </c>
      <c r="N210" s="696">
        <v>359</v>
      </c>
      <c r="O210" s="695">
        <v>308</v>
      </c>
      <c r="P210" s="686">
        <v>236</v>
      </c>
      <c r="Q210" s="686">
        <v>247</v>
      </c>
      <c r="R210" s="690">
        <v>307</v>
      </c>
      <c r="S210" s="690">
        <v>289</v>
      </c>
      <c r="T210" s="690">
        <v>362</v>
      </c>
      <c r="U210" s="690">
        <v>328</v>
      </c>
      <c r="V210" s="690">
        <v>272</v>
      </c>
      <c r="W210" s="690">
        <v>280</v>
      </c>
      <c r="X210" s="690">
        <v>271</v>
      </c>
      <c r="Y210" s="686">
        <v>351</v>
      </c>
      <c r="Z210" s="686">
        <v>298</v>
      </c>
      <c r="AA210" s="686">
        <v>355</v>
      </c>
      <c r="AB210" s="230">
        <v>19.127516778523489</v>
      </c>
    </row>
    <row r="211" spans="1:28" ht="16.350000000000001" customHeight="1" x14ac:dyDescent="0.25">
      <c r="A211" s="693">
        <v>96</v>
      </c>
      <c r="B211" s="783" t="s">
        <v>672</v>
      </c>
      <c r="C211" s="705" t="s">
        <v>169</v>
      </c>
      <c r="D211" s="705" t="s">
        <v>169</v>
      </c>
      <c r="E211" s="705" t="s">
        <v>169</v>
      </c>
      <c r="F211" s="705" t="s">
        <v>169</v>
      </c>
      <c r="G211" s="705" t="s">
        <v>169</v>
      </c>
      <c r="H211" s="705" t="s">
        <v>169</v>
      </c>
      <c r="I211" s="705" t="s">
        <v>169</v>
      </c>
      <c r="J211" s="705" t="s">
        <v>169</v>
      </c>
      <c r="K211" s="705" t="s">
        <v>169</v>
      </c>
      <c r="L211" s="705" t="s">
        <v>169</v>
      </c>
      <c r="M211" s="705" t="s">
        <v>169</v>
      </c>
      <c r="N211" s="705" t="s">
        <v>169</v>
      </c>
      <c r="O211" s="695">
        <v>35</v>
      </c>
      <c r="P211" s="686">
        <v>90</v>
      </c>
      <c r="Q211" s="686">
        <v>64</v>
      </c>
      <c r="R211" s="690">
        <v>79</v>
      </c>
      <c r="S211" s="690">
        <v>54</v>
      </c>
      <c r="T211" s="690">
        <v>67</v>
      </c>
      <c r="U211" s="690">
        <v>220</v>
      </c>
      <c r="V211" s="690">
        <v>193</v>
      </c>
      <c r="W211" s="690">
        <v>122</v>
      </c>
      <c r="X211" s="690">
        <v>147</v>
      </c>
      <c r="Y211" s="686">
        <v>154</v>
      </c>
      <c r="Z211" s="686">
        <v>137</v>
      </c>
      <c r="AA211" s="686">
        <v>148</v>
      </c>
      <c r="AB211" s="230">
        <v>8.0291970802919703</v>
      </c>
    </row>
    <row r="212" spans="1:28" ht="16.350000000000001" customHeight="1" x14ac:dyDescent="0.25">
      <c r="A212" s="693">
        <v>99</v>
      </c>
      <c r="B212" s="783" t="s">
        <v>673</v>
      </c>
      <c r="C212" s="696">
        <v>3223</v>
      </c>
      <c r="D212" s="696">
        <v>3440</v>
      </c>
      <c r="E212" s="696">
        <v>2577</v>
      </c>
      <c r="F212" s="696">
        <v>2197</v>
      </c>
      <c r="G212" s="696">
        <v>1915</v>
      </c>
      <c r="H212" s="696">
        <v>1391</v>
      </c>
      <c r="I212" s="696">
        <v>1735</v>
      </c>
      <c r="J212" s="696">
        <v>1629</v>
      </c>
      <c r="K212" s="696">
        <v>1569</v>
      </c>
      <c r="L212" s="696">
        <v>1589</v>
      </c>
      <c r="M212" s="696">
        <v>2510</v>
      </c>
      <c r="N212" s="696">
        <v>2575</v>
      </c>
      <c r="O212" s="695">
        <v>4153</v>
      </c>
      <c r="P212" s="686">
        <v>5353</v>
      </c>
      <c r="Q212" s="686">
        <v>6623</v>
      </c>
      <c r="R212" s="690">
        <v>7234</v>
      </c>
      <c r="S212" s="690">
        <v>7735</v>
      </c>
      <c r="T212" s="690">
        <v>7666</v>
      </c>
      <c r="U212" s="690">
        <v>8604</v>
      </c>
      <c r="V212" s="690">
        <v>8102</v>
      </c>
      <c r="W212" s="690">
        <v>8910</v>
      </c>
      <c r="X212" s="690">
        <v>9293</v>
      </c>
      <c r="Y212" s="686">
        <v>10600</v>
      </c>
      <c r="Z212" s="686">
        <v>9456</v>
      </c>
      <c r="AA212" s="686">
        <v>10853</v>
      </c>
      <c r="AB212" s="230">
        <v>14.773688663282572</v>
      </c>
    </row>
    <row r="213" spans="1:28" ht="20.25" customHeight="1" x14ac:dyDescent="0.25">
      <c r="A213" s="693">
        <v>802</v>
      </c>
      <c r="B213" s="783" t="s">
        <v>674</v>
      </c>
      <c r="C213" s="696">
        <v>7624</v>
      </c>
      <c r="D213" s="696">
        <v>7567</v>
      </c>
      <c r="E213" s="696">
        <v>6669</v>
      </c>
      <c r="F213" s="696">
        <v>5923</v>
      </c>
      <c r="G213" s="696">
        <v>5353</v>
      </c>
      <c r="H213" s="696">
        <v>4725</v>
      </c>
      <c r="I213" s="696">
        <v>4240</v>
      </c>
      <c r="J213" s="696">
        <v>3941</v>
      </c>
      <c r="K213" s="696">
        <v>3475</v>
      </c>
      <c r="L213" s="696">
        <v>3239</v>
      </c>
      <c r="M213" s="696">
        <v>3092</v>
      </c>
      <c r="N213" s="696">
        <v>3152</v>
      </c>
      <c r="O213" s="695">
        <v>3277</v>
      </c>
      <c r="P213" s="686">
        <v>4111</v>
      </c>
      <c r="Q213" s="686">
        <v>4851</v>
      </c>
      <c r="R213" s="690">
        <v>5300</v>
      </c>
      <c r="S213" s="690">
        <v>5164</v>
      </c>
      <c r="T213" s="690">
        <v>5250</v>
      </c>
      <c r="U213" s="690">
        <v>5471</v>
      </c>
      <c r="V213" s="690">
        <v>5235</v>
      </c>
      <c r="W213" s="690">
        <v>4889</v>
      </c>
      <c r="X213" s="690">
        <v>4956</v>
      </c>
      <c r="Y213" s="686">
        <v>5617</v>
      </c>
      <c r="Z213" s="686">
        <v>4998</v>
      </c>
      <c r="AA213" s="686">
        <v>5983</v>
      </c>
      <c r="AB213" s="230">
        <v>19.707883153261303</v>
      </c>
    </row>
    <row r="214" spans="1:28" ht="19.5" customHeight="1" x14ac:dyDescent="0.25">
      <c r="A214" s="693">
        <v>814</v>
      </c>
      <c r="B214" s="783" t="s">
        <v>675</v>
      </c>
      <c r="C214" s="696">
        <v>8618</v>
      </c>
      <c r="D214" s="696">
        <v>8016</v>
      </c>
      <c r="E214" s="696">
        <v>5420</v>
      </c>
      <c r="F214" s="696">
        <v>4206</v>
      </c>
      <c r="G214" s="696">
        <v>3138</v>
      </c>
      <c r="H214" s="696">
        <v>2164</v>
      </c>
      <c r="I214" s="696">
        <v>1387</v>
      </c>
      <c r="J214" s="696">
        <v>1058</v>
      </c>
      <c r="K214" s="696">
        <v>733</v>
      </c>
      <c r="L214" s="696">
        <v>606</v>
      </c>
      <c r="M214" s="696">
        <v>473</v>
      </c>
      <c r="N214" s="696">
        <v>445</v>
      </c>
      <c r="O214" s="695">
        <v>389</v>
      </c>
      <c r="P214" s="686">
        <v>509</v>
      </c>
      <c r="Q214" s="686">
        <v>655</v>
      </c>
      <c r="R214" s="690">
        <v>773</v>
      </c>
      <c r="S214" s="690">
        <v>892</v>
      </c>
      <c r="T214" s="690">
        <v>947</v>
      </c>
      <c r="U214" s="690">
        <v>815</v>
      </c>
      <c r="V214" s="690">
        <v>794</v>
      </c>
      <c r="W214" s="690">
        <v>847</v>
      </c>
      <c r="X214" s="690">
        <v>797</v>
      </c>
      <c r="Y214" s="686">
        <v>1117</v>
      </c>
      <c r="Z214" s="686">
        <v>883</v>
      </c>
      <c r="AA214" s="686">
        <v>1127</v>
      </c>
      <c r="AB214" s="230">
        <v>27.633069082672705</v>
      </c>
    </row>
    <row r="215" spans="1:28" ht="30.75" customHeight="1" x14ac:dyDescent="0.25">
      <c r="A215" s="700"/>
      <c r="B215" s="778" t="s">
        <v>676</v>
      </c>
      <c r="C215" s="240">
        <v>78605</v>
      </c>
      <c r="D215" s="240">
        <v>79885</v>
      </c>
      <c r="E215" s="240">
        <v>75511</v>
      </c>
      <c r="F215" s="240">
        <v>74682</v>
      </c>
      <c r="G215" s="240">
        <v>64328</v>
      </c>
      <c r="H215" s="240">
        <v>57284</v>
      </c>
      <c r="I215" s="240">
        <v>55666</v>
      </c>
      <c r="J215" s="240">
        <v>52053</v>
      </c>
      <c r="K215" s="240">
        <v>48000</v>
      </c>
      <c r="L215" s="240">
        <v>44981</v>
      </c>
      <c r="M215" s="240">
        <v>42499</v>
      </c>
      <c r="N215" s="240">
        <v>45440</v>
      </c>
      <c r="O215" s="240">
        <v>51962</v>
      </c>
      <c r="P215" s="240">
        <v>63820</v>
      </c>
      <c r="Q215" s="240">
        <v>79513</v>
      </c>
      <c r="R215" s="240">
        <v>94822</v>
      </c>
      <c r="S215" s="240">
        <v>105243</v>
      </c>
      <c r="T215" s="240">
        <v>106713</v>
      </c>
      <c r="U215" s="240">
        <v>111544</v>
      </c>
      <c r="V215" s="240">
        <v>114110</v>
      </c>
      <c r="W215" s="240">
        <v>118956</v>
      </c>
      <c r="X215" s="240">
        <v>114584</v>
      </c>
      <c r="Y215" s="240">
        <v>123604</v>
      </c>
      <c r="Z215" s="240">
        <v>114480</v>
      </c>
      <c r="AA215" s="240">
        <v>126261</v>
      </c>
      <c r="AB215" s="238">
        <v>10.290880503144654</v>
      </c>
    </row>
    <row r="216" spans="1:28" ht="37.5" customHeight="1" thickBot="1" x14ac:dyDescent="0.3">
      <c r="A216" s="707"/>
      <c r="B216" s="781" t="s">
        <v>677</v>
      </c>
      <c r="C216" s="241">
        <v>5791277</v>
      </c>
      <c r="D216" s="241">
        <v>5843549</v>
      </c>
      <c r="E216" s="241">
        <v>5476771</v>
      </c>
      <c r="F216" s="241">
        <v>5425691</v>
      </c>
      <c r="G216" s="241">
        <v>5322377</v>
      </c>
      <c r="H216" s="241">
        <v>4881140</v>
      </c>
      <c r="I216" s="241">
        <v>4630383</v>
      </c>
      <c r="J216" s="241">
        <v>4265036</v>
      </c>
      <c r="K216" s="241">
        <v>4078475</v>
      </c>
      <c r="L216" s="241">
        <v>3903581</v>
      </c>
      <c r="M216" s="241">
        <v>3553168</v>
      </c>
      <c r="N216" s="241">
        <v>3506545</v>
      </c>
      <c r="O216" s="241">
        <v>3574552</v>
      </c>
      <c r="P216" s="241">
        <v>3898671</v>
      </c>
      <c r="Q216" s="241">
        <v>4321716</v>
      </c>
      <c r="R216" s="242">
        <v>4890417</v>
      </c>
      <c r="S216" s="242">
        <v>5266154</v>
      </c>
      <c r="T216" s="242">
        <v>5305108</v>
      </c>
      <c r="U216" s="242">
        <v>4605185</v>
      </c>
      <c r="V216" s="242">
        <v>5329101</v>
      </c>
      <c r="W216" s="242">
        <v>5578664</v>
      </c>
      <c r="X216" s="242">
        <v>5401615</v>
      </c>
      <c r="Y216" s="241">
        <v>5307111</v>
      </c>
      <c r="Z216" s="241">
        <v>5365517</v>
      </c>
      <c r="AA216" s="241">
        <v>5287312</v>
      </c>
      <c r="AB216" s="242">
        <v>-1.4575482660850763</v>
      </c>
    </row>
    <row r="217" spans="1:28" ht="40.5" customHeight="1" x14ac:dyDescent="0.25">
      <c r="A217" s="702">
        <v>51</v>
      </c>
      <c r="B217" s="786" t="s">
        <v>678</v>
      </c>
      <c r="C217" s="696">
        <v>27</v>
      </c>
      <c r="D217" s="696">
        <v>80</v>
      </c>
      <c r="E217" s="696">
        <v>51</v>
      </c>
      <c r="F217" s="696">
        <v>626</v>
      </c>
      <c r="G217" s="696">
        <v>101</v>
      </c>
      <c r="H217" s="696">
        <v>162</v>
      </c>
      <c r="I217" s="696">
        <v>815</v>
      </c>
      <c r="J217" s="696">
        <v>85</v>
      </c>
      <c r="K217" s="696">
        <v>207</v>
      </c>
      <c r="L217" s="696">
        <v>45</v>
      </c>
      <c r="M217" s="696">
        <v>103</v>
      </c>
      <c r="N217" s="695" t="s">
        <v>169</v>
      </c>
      <c r="O217" s="695" t="s">
        <v>169</v>
      </c>
      <c r="P217" s="695" t="s">
        <v>169</v>
      </c>
      <c r="Q217" s="695" t="s">
        <v>169</v>
      </c>
      <c r="R217" s="695" t="s">
        <v>169</v>
      </c>
      <c r="S217" s="695" t="s">
        <v>169</v>
      </c>
      <c r="T217" s="695" t="s">
        <v>169</v>
      </c>
      <c r="U217" s="695" t="s">
        <v>169</v>
      </c>
      <c r="V217" s="695" t="s">
        <v>169</v>
      </c>
      <c r="W217" s="695" t="s">
        <v>169</v>
      </c>
      <c r="X217" s="695" t="s">
        <v>169</v>
      </c>
      <c r="Y217" s="695" t="s">
        <v>169</v>
      </c>
      <c r="Z217" s="695" t="s">
        <v>169</v>
      </c>
      <c r="AA217" s="695" t="s">
        <v>169</v>
      </c>
      <c r="AB217" s="690" t="s">
        <v>169</v>
      </c>
    </row>
    <row r="218" spans="1:28" ht="16.350000000000001" customHeight="1" x14ac:dyDescent="0.25">
      <c r="A218" s="702">
        <v>52</v>
      </c>
      <c r="B218" s="786" t="s">
        <v>679</v>
      </c>
      <c r="C218" s="696">
        <v>880</v>
      </c>
      <c r="D218" s="696">
        <v>721</v>
      </c>
      <c r="E218" s="696">
        <v>541</v>
      </c>
      <c r="F218" s="696">
        <v>487</v>
      </c>
      <c r="G218" s="696">
        <v>462</v>
      </c>
      <c r="H218" s="696">
        <v>251</v>
      </c>
      <c r="I218" s="696">
        <v>146</v>
      </c>
      <c r="J218" s="696">
        <v>155</v>
      </c>
      <c r="K218" s="696">
        <v>108</v>
      </c>
      <c r="L218" s="696">
        <v>75</v>
      </c>
      <c r="M218" s="696">
        <v>59</v>
      </c>
      <c r="N218" s="695" t="s">
        <v>169</v>
      </c>
      <c r="O218" s="695" t="s">
        <v>169</v>
      </c>
      <c r="P218" s="695" t="s">
        <v>169</v>
      </c>
      <c r="Q218" s="695" t="s">
        <v>169</v>
      </c>
      <c r="R218" s="695" t="s">
        <v>169</v>
      </c>
      <c r="S218" s="695" t="s">
        <v>169</v>
      </c>
      <c r="T218" s="695" t="s">
        <v>169</v>
      </c>
      <c r="U218" s="695" t="s">
        <v>169</v>
      </c>
      <c r="V218" s="695" t="s">
        <v>169</v>
      </c>
      <c r="W218" s="695" t="s">
        <v>169</v>
      </c>
      <c r="X218" s="695" t="s">
        <v>169</v>
      </c>
      <c r="Y218" s="695" t="s">
        <v>169</v>
      </c>
      <c r="Z218" s="695" t="s">
        <v>169</v>
      </c>
      <c r="AA218" s="695" t="s">
        <v>169</v>
      </c>
      <c r="AB218" s="690" t="s">
        <v>169</v>
      </c>
    </row>
    <row r="219" spans="1:28" ht="16.350000000000001" customHeight="1" x14ac:dyDescent="0.25">
      <c r="A219" s="702" t="s">
        <v>680</v>
      </c>
      <c r="B219" s="786" t="s">
        <v>681</v>
      </c>
      <c r="C219" s="696">
        <v>142249</v>
      </c>
      <c r="D219" s="696">
        <v>131022</v>
      </c>
      <c r="E219" s="696">
        <v>121376</v>
      </c>
      <c r="F219" s="696">
        <v>87860</v>
      </c>
      <c r="G219" s="696">
        <v>59011</v>
      </c>
      <c r="H219" s="695" t="s">
        <v>169</v>
      </c>
      <c r="I219" s="695" t="s">
        <v>169</v>
      </c>
      <c r="J219" s="695" t="s">
        <v>169</v>
      </c>
      <c r="K219" s="695" t="s">
        <v>169</v>
      </c>
      <c r="L219" s="695" t="s">
        <v>169</v>
      </c>
      <c r="M219" s="695" t="s">
        <v>169</v>
      </c>
      <c r="N219" s="695" t="s">
        <v>169</v>
      </c>
      <c r="O219" s="695" t="s">
        <v>169</v>
      </c>
      <c r="P219" s="695" t="s">
        <v>169</v>
      </c>
      <c r="Q219" s="695" t="s">
        <v>169</v>
      </c>
      <c r="R219" s="695" t="s">
        <v>169</v>
      </c>
      <c r="S219" s="695" t="s">
        <v>169</v>
      </c>
      <c r="T219" s="695" t="s">
        <v>169</v>
      </c>
      <c r="U219" s="695" t="s">
        <v>169</v>
      </c>
      <c r="V219" s="695" t="s">
        <v>169</v>
      </c>
      <c r="W219" s="695" t="s">
        <v>169</v>
      </c>
      <c r="X219" s="695" t="s">
        <v>169</v>
      </c>
      <c r="Y219" s="695" t="s">
        <v>169</v>
      </c>
      <c r="Z219" s="695" t="s">
        <v>169</v>
      </c>
      <c r="AA219" s="695" t="s">
        <v>169</v>
      </c>
      <c r="AB219" s="690" t="s">
        <v>169</v>
      </c>
    </row>
    <row r="220" spans="1:28" ht="16.350000000000001" customHeight="1" x14ac:dyDescent="0.25">
      <c r="A220" s="702" t="s">
        <v>682</v>
      </c>
      <c r="B220" s="786" t="s">
        <v>683</v>
      </c>
      <c r="C220" s="696">
        <v>40516</v>
      </c>
      <c r="D220" s="696">
        <v>38378</v>
      </c>
      <c r="E220" s="696">
        <v>38761</v>
      </c>
      <c r="F220" s="696">
        <v>40415</v>
      </c>
      <c r="G220" s="696">
        <v>45593</v>
      </c>
      <c r="H220" s="696">
        <v>9984</v>
      </c>
      <c r="I220" s="696">
        <v>3494</v>
      </c>
      <c r="J220" s="696">
        <v>3666</v>
      </c>
      <c r="K220" s="696">
        <v>3342</v>
      </c>
      <c r="L220" s="695">
        <v>3799</v>
      </c>
      <c r="M220" s="695">
        <v>3027</v>
      </c>
      <c r="N220" s="695" t="s">
        <v>169</v>
      </c>
      <c r="O220" s="695" t="s">
        <v>169</v>
      </c>
      <c r="P220" s="695" t="s">
        <v>169</v>
      </c>
      <c r="Q220" s="695" t="s">
        <v>169</v>
      </c>
      <c r="R220" s="695" t="s">
        <v>169</v>
      </c>
      <c r="S220" s="695" t="s">
        <v>169</v>
      </c>
      <c r="T220" s="695" t="s">
        <v>169</v>
      </c>
      <c r="U220" s="695" t="s">
        <v>169</v>
      </c>
      <c r="V220" s="695" t="s">
        <v>169</v>
      </c>
      <c r="W220" s="695" t="s">
        <v>169</v>
      </c>
      <c r="X220" s="695" t="s">
        <v>169</v>
      </c>
      <c r="Y220" s="695" t="s">
        <v>169</v>
      </c>
      <c r="Z220" s="695" t="s">
        <v>169</v>
      </c>
      <c r="AA220" s="695" t="s">
        <v>169</v>
      </c>
      <c r="AB220" s="690" t="s">
        <v>169</v>
      </c>
    </row>
    <row r="221" spans="1:28" ht="16.350000000000001" customHeight="1" x14ac:dyDescent="0.25">
      <c r="A221" s="702" t="s">
        <v>684</v>
      </c>
      <c r="B221" s="786" t="s">
        <v>685</v>
      </c>
      <c r="C221" s="695" t="s">
        <v>169</v>
      </c>
      <c r="D221" s="695" t="s">
        <v>169</v>
      </c>
      <c r="E221" s="695" t="s">
        <v>169</v>
      </c>
      <c r="F221" s="695" t="s">
        <v>169</v>
      </c>
      <c r="G221" s="695" t="s">
        <v>169</v>
      </c>
      <c r="H221" s="695">
        <v>23345</v>
      </c>
      <c r="I221" s="695">
        <v>26578</v>
      </c>
      <c r="J221" s="695">
        <v>27148</v>
      </c>
      <c r="K221" s="695">
        <v>24942</v>
      </c>
      <c r="L221" s="696">
        <v>22703</v>
      </c>
      <c r="M221" s="696">
        <v>17873</v>
      </c>
      <c r="N221" s="695">
        <v>1</v>
      </c>
      <c r="O221" s="695" t="s">
        <v>169</v>
      </c>
      <c r="P221" s="695" t="s">
        <v>169</v>
      </c>
      <c r="Q221" s="695" t="s">
        <v>169</v>
      </c>
      <c r="R221" s="695" t="s">
        <v>169</v>
      </c>
      <c r="S221" s="695" t="s">
        <v>169</v>
      </c>
      <c r="T221" s="695" t="s">
        <v>169</v>
      </c>
      <c r="U221" s="695" t="s">
        <v>169</v>
      </c>
      <c r="V221" s="695" t="s">
        <v>169</v>
      </c>
      <c r="W221" s="695" t="s">
        <v>169</v>
      </c>
      <c r="X221" s="695" t="s">
        <v>169</v>
      </c>
      <c r="Y221" s="695" t="s">
        <v>169</v>
      </c>
      <c r="Z221" s="695" t="s">
        <v>169</v>
      </c>
      <c r="AA221" s="695" t="s">
        <v>169</v>
      </c>
      <c r="AB221" s="690" t="s">
        <v>169</v>
      </c>
    </row>
    <row r="222" spans="1:28" ht="16.350000000000001" customHeight="1" x14ac:dyDescent="0.25">
      <c r="A222" s="702" t="s">
        <v>686</v>
      </c>
      <c r="B222" s="786" t="s">
        <v>687</v>
      </c>
      <c r="C222" s="695" t="s">
        <v>169</v>
      </c>
      <c r="D222" s="695" t="s">
        <v>169</v>
      </c>
      <c r="E222" s="695" t="s">
        <v>169</v>
      </c>
      <c r="F222" s="695" t="s">
        <v>169</v>
      </c>
      <c r="G222" s="695" t="s">
        <v>169</v>
      </c>
      <c r="H222" s="695">
        <v>34544</v>
      </c>
      <c r="I222" s="695">
        <v>38884</v>
      </c>
      <c r="J222" s="695">
        <v>39626</v>
      </c>
      <c r="K222" s="695">
        <v>42460</v>
      </c>
      <c r="L222" s="696">
        <v>44719</v>
      </c>
      <c r="M222" s="696">
        <v>40325</v>
      </c>
      <c r="N222" s="695">
        <v>5</v>
      </c>
      <c r="O222" s="695" t="s">
        <v>169</v>
      </c>
      <c r="P222" s="695" t="s">
        <v>169</v>
      </c>
      <c r="Q222" s="695" t="s">
        <v>169</v>
      </c>
      <c r="R222" s="695" t="s">
        <v>169</v>
      </c>
      <c r="S222" s="695" t="s">
        <v>169</v>
      </c>
      <c r="T222" s="695" t="s">
        <v>169</v>
      </c>
      <c r="U222" s="695" t="s">
        <v>169</v>
      </c>
      <c r="V222" s="695" t="s">
        <v>169</v>
      </c>
      <c r="W222" s="695" t="s">
        <v>169</v>
      </c>
      <c r="X222" s="695" t="s">
        <v>169</v>
      </c>
      <c r="Y222" s="695" t="s">
        <v>169</v>
      </c>
      <c r="Z222" s="695" t="s">
        <v>169</v>
      </c>
      <c r="AA222" s="695" t="s">
        <v>169</v>
      </c>
      <c r="AB222" s="690" t="s">
        <v>169</v>
      </c>
    </row>
    <row r="223" spans="1:28" ht="16.350000000000001" customHeight="1" x14ac:dyDescent="0.25">
      <c r="A223" s="702" t="s">
        <v>688</v>
      </c>
      <c r="B223" s="786" t="s">
        <v>689</v>
      </c>
      <c r="C223" s="695" t="s">
        <v>169</v>
      </c>
      <c r="D223" s="695" t="s">
        <v>169</v>
      </c>
      <c r="E223" s="695" t="s">
        <v>169</v>
      </c>
      <c r="F223" s="695" t="s">
        <v>169</v>
      </c>
      <c r="G223" s="695" t="s">
        <v>169</v>
      </c>
      <c r="H223" s="695">
        <v>265</v>
      </c>
      <c r="I223" s="695">
        <v>304</v>
      </c>
      <c r="J223" s="695">
        <v>364</v>
      </c>
      <c r="K223" s="695">
        <v>339</v>
      </c>
      <c r="L223" s="696">
        <v>246</v>
      </c>
      <c r="M223" s="696">
        <v>163</v>
      </c>
      <c r="N223" s="695" t="s">
        <v>169</v>
      </c>
      <c r="O223" s="695" t="s">
        <v>169</v>
      </c>
      <c r="P223" s="695" t="s">
        <v>169</v>
      </c>
      <c r="Q223" s="695" t="s">
        <v>169</v>
      </c>
      <c r="R223" s="695" t="s">
        <v>169</v>
      </c>
      <c r="S223" s="695" t="s">
        <v>169</v>
      </c>
      <c r="T223" s="695" t="s">
        <v>169</v>
      </c>
      <c r="U223" s="695" t="s">
        <v>169</v>
      </c>
      <c r="V223" s="695" t="s">
        <v>169</v>
      </c>
      <c r="W223" s="695" t="s">
        <v>169</v>
      </c>
      <c r="X223" s="695" t="s">
        <v>169</v>
      </c>
      <c r="Y223" s="695" t="s">
        <v>169</v>
      </c>
      <c r="Z223" s="695" t="s">
        <v>169</v>
      </c>
      <c r="AA223" s="695" t="s">
        <v>169</v>
      </c>
      <c r="AB223" s="690" t="s">
        <v>169</v>
      </c>
    </row>
    <row r="224" spans="1:28" ht="16.350000000000001" customHeight="1" x14ac:dyDescent="0.25">
      <c r="A224" s="702" t="s">
        <v>690</v>
      </c>
      <c r="B224" s="786" t="s">
        <v>691</v>
      </c>
      <c r="C224" s="695" t="s">
        <v>169</v>
      </c>
      <c r="D224" s="695" t="s">
        <v>169</v>
      </c>
      <c r="E224" s="695" t="s">
        <v>169</v>
      </c>
      <c r="F224" s="695" t="s">
        <v>169</v>
      </c>
      <c r="G224" s="695" t="s">
        <v>169</v>
      </c>
      <c r="H224" s="695">
        <v>675</v>
      </c>
      <c r="I224" s="695">
        <v>926</v>
      </c>
      <c r="J224" s="695">
        <v>1160</v>
      </c>
      <c r="K224" s="695">
        <v>1033</v>
      </c>
      <c r="L224" s="696">
        <v>1170</v>
      </c>
      <c r="M224" s="696">
        <v>927</v>
      </c>
      <c r="N224" s="695">
        <v>1</v>
      </c>
      <c r="O224" s="695" t="s">
        <v>169</v>
      </c>
      <c r="P224" s="695" t="s">
        <v>169</v>
      </c>
      <c r="Q224" s="695" t="s">
        <v>169</v>
      </c>
      <c r="R224" s="695" t="s">
        <v>169</v>
      </c>
      <c r="S224" s="695" t="s">
        <v>169</v>
      </c>
      <c r="T224" s="695" t="s">
        <v>169</v>
      </c>
      <c r="U224" s="695" t="s">
        <v>169</v>
      </c>
      <c r="V224" s="695" t="s">
        <v>169</v>
      </c>
      <c r="W224" s="695" t="s">
        <v>169</v>
      </c>
      <c r="X224" s="695" t="s">
        <v>169</v>
      </c>
      <c r="Y224" s="695" t="s">
        <v>169</v>
      </c>
      <c r="Z224" s="695" t="s">
        <v>169</v>
      </c>
      <c r="AA224" s="695" t="s">
        <v>169</v>
      </c>
      <c r="AB224" s="690" t="s">
        <v>169</v>
      </c>
    </row>
    <row r="225" spans="1:28" ht="16.350000000000001" customHeight="1" x14ac:dyDescent="0.25">
      <c r="A225" s="702" t="s">
        <v>692</v>
      </c>
      <c r="B225" s="786" t="s">
        <v>693</v>
      </c>
      <c r="C225" s="695" t="s">
        <v>169</v>
      </c>
      <c r="D225" s="695" t="s">
        <v>169</v>
      </c>
      <c r="E225" s="695" t="s">
        <v>169</v>
      </c>
      <c r="F225" s="695" t="s">
        <v>169</v>
      </c>
      <c r="G225" s="695" t="s">
        <v>169</v>
      </c>
      <c r="H225" s="695">
        <v>1880</v>
      </c>
      <c r="I225" s="695">
        <v>1152</v>
      </c>
      <c r="J225" s="695">
        <v>1042</v>
      </c>
      <c r="K225" s="695" t="s">
        <v>169</v>
      </c>
      <c r="L225" s="695" t="s">
        <v>169</v>
      </c>
      <c r="M225" s="695" t="s">
        <v>169</v>
      </c>
      <c r="N225" s="695" t="s">
        <v>169</v>
      </c>
      <c r="O225" s="695" t="s">
        <v>169</v>
      </c>
      <c r="P225" s="695" t="s">
        <v>169</v>
      </c>
      <c r="Q225" s="695" t="s">
        <v>169</v>
      </c>
      <c r="R225" s="695" t="s">
        <v>169</v>
      </c>
      <c r="S225" s="695" t="s">
        <v>169</v>
      </c>
      <c r="T225" s="695" t="s">
        <v>169</v>
      </c>
      <c r="U225" s="695" t="s">
        <v>169</v>
      </c>
      <c r="V225" s="695" t="s">
        <v>169</v>
      </c>
      <c r="W225" s="695" t="s">
        <v>169</v>
      </c>
      <c r="X225" s="695" t="s">
        <v>169</v>
      </c>
      <c r="Y225" s="695" t="s">
        <v>169</v>
      </c>
      <c r="Z225" s="695" t="s">
        <v>169</v>
      </c>
      <c r="AA225" s="695" t="s">
        <v>169</v>
      </c>
      <c r="AB225" s="690" t="s">
        <v>169</v>
      </c>
    </row>
    <row r="226" spans="1:28" ht="24.75" customHeight="1" x14ac:dyDescent="0.25">
      <c r="A226" s="702">
        <v>55</v>
      </c>
      <c r="B226" s="786" t="s">
        <v>694</v>
      </c>
      <c r="C226" s="695">
        <v>11</v>
      </c>
      <c r="D226" s="695">
        <v>9</v>
      </c>
      <c r="E226" s="695">
        <v>11</v>
      </c>
      <c r="F226" s="695">
        <v>93</v>
      </c>
      <c r="G226" s="695">
        <v>14</v>
      </c>
      <c r="H226" s="695">
        <v>31</v>
      </c>
      <c r="I226" s="695">
        <v>15</v>
      </c>
      <c r="J226" s="695">
        <v>13</v>
      </c>
      <c r="K226" s="695">
        <v>10</v>
      </c>
      <c r="L226" s="696">
        <v>11</v>
      </c>
      <c r="M226" s="696">
        <v>12</v>
      </c>
      <c r="N226" s="695" t="s">
        <v>169</v>
      </c>
      <c r="O226" s="695" t="s">
        <v>169</v>
      </c>
      <c r="P226" s="695" t="s">
        <v>169</v>
      </c>
      <c r="Q226" s="695" t="s">
        <v>169</v>
      </c>
      <c r="R226" s="695" t="s">
        <v>169</v>
      </c>
      <c r="S226" s="695" t="s">
        <v>169</v>
      </c>
      <c r="T226" s="695" t="s">
        <v>169</v>
      </c>
      <c r="U226" s="695" t="s">
        <v>169</v>
      </c>
      <c r="V226" s="695" t="s">
        <v>169</v>
      </c>
      <c r="W226" s="695" t="s">
        <v>169</v>
      </c>
      <c r="X226" s="695" t="s">
        <v>169</v>
      </c>
      <c r="Y226" s="695" t="s">
        <v>169</v>
      </c>
      <c r="Z226" s="695" t="s">
        <v>169</v>
      </c>
      <c r="AA226" s="695" t="s">
        <v>169</v>
      </c>
      <c r="AB226" s="690" t="s">
        <v>169</v>
      </c>
    </row>
    <row r="227" spans="1:28" ht="21.75" customHeight="1" x14ac:dyDescent="0.25">
      <c r="A227" s="702"/>
      <c r="B227" s="782" t="s">
        <v>695</v>
      </c>
      <c r="C227" s="231">
        <v>183683</v>
      </c>
      <c r="D227" s="231">
        <v>170210</v>
      </c>
      <c r="E227" s="231">
        <v>160740</v>
      </c>
      <c r="F227" s="231">
        <v>129481</v>
      </c>
      <c r="G227" s="231">
        <v>105181</v>
      </c>
      <c r="H227" s="231">
        <v>71137</v>
      </c>
      <c r="I227" s="231">
        <v>72314</v>
      </c>
      <c r="J227" s="231">
        <v>73259</v>
      </c>
      <c r="K227" s="231">
        <v>72441</v>
      </c>
      <c r="L227" s="231">
        <v>72768</v>
      </c>
      <c r="M227" s="231">
        <v>62489</v>
      </c>
      <c r="N227" s="231">
        <v>7</v>
      </c>
      <c r="O227" s="695" t="s">
        <v>169</v>
      </c>
      <c r="P227" s="695" t="s">
        <v>169</v>
      </c>
      <c r="Q227" s="695" t="s">
        <v>169</v>
      </c>
      <c r="R227" s="695" t="s">
        <v>169</v>
      </c>
      <c r="S227" s="695" t="s">
        <v>169</v>
      </c>
      <c r="T227" s="695" t="s">
        <v>169</v>
      </c>
      <c r="U227" s="695" t="s">
        <v>169</v>
      </c>
      <c r="V227" s="695" t="s">
        <v>169</v>
      </c>
      <c r="W227" s="695" t="s">
        <v>169</v>
      </c>
      <c r="X227" s="695" t="s">
        <v>169</v>
      </c>
      <c r="Y227" s="695" t="s">
        <v>169</v>
      </c>
      <c r="Z227" s="695" t="s">
        <v>169</v>
      </c>
      <c r="AA227" s="695" t="s">
        <v>169</v>
      </c>
      <c r="AB227" s="690" t="s">
        <v>169</v>
      </c>
    </row>
    <row r="228" spans="1:28" ht="24" customHeight="1" x14ac:dyDescent="0.25">
      <c r="A228" s="702"/>
      <c r="B228" s="782" t="s">
        <v>696</v>
      </c>
      <c r="C228" s="695" t="s">
        <v>169</v>
      </c>
      <c r="D228" s="695" t="s">
        <v>169</v>
      </c>
      <c r="E228" s="695" t="s">
        <v>169</v>
      </c>
      <c r="F228" s="695" t="s">
        <v>169</v>
      </c>
      <c r="G228" s="695" t="s">
        <v>169</v>
      </c>
      <c r="H228" s="695" t="s">
        <v>169</v>
      </c>
      <c r="I228" s="695" t="s">
        <v>169</v>
      </c>
      <c r="J228" s="695" t="s">
        <v>169</v>
      </c>
      <c r="K228" s="695" t="s">
        <v>169</v>
      </c>
      <c r="L228" s="231">
        <v>46658</v>
      </c>
      <c r="M228" s="231">
        <v>117402</v>
      </c>
      <c r="N228" s="231">
        <v>211221</v>
      </c>
      <c r="O228" s="231">
        <v>230323</v>
      </c>
      <c r="P228" s="231">
        <v>220638</v>
      </c>
      <c r="Q228" s="231">
        <v>261943</v>
      </c>
      <c r="R228" s="231">
        <v>277033</v>
      </c>
      <c r="S228" s="231">
        <v>311086</v>
      </c>
      <c r="T228" s="231">
        <v>338250</v>
      </c>
      <c r="U228" s="231">
        <v>428489</v>
      </c>
      <c r="V228" s="231">
        <v>383644</v>
      </c>
      <c r="W228" s="231">
        <v>326673</v>
      </c>
      <c r="X228" s="231">
        <v>352841</v>
      </c>
      <c r="Y228" s="231">
        <v>354622</v>
      </c>
      <c r="Z228" s="231">
        <v>362677</v>
      </c>
      <c r="AA228" s="231">
        <v>359525</v>
      </c>
      <c r="AB228" s="231">
        <v>-0.8690928843020097</v>
      </c>
    </row>
    <row r="229" spans="1:28" ht="23.25" customHeight="1" x14ac:dyDescent="0.25">
      <c r="A229" s="702"/>
      <c r="B229" s="782" t="s">
        <v>697</v>
      </c>
      <c r="C229" s="695" t="s">
        <v>169</v>
      </c>
      <c r="D229" s="695" t="s">
        <v>169</v>
      </c>
      <c r="E229" s="695" t="s">
        <v>169</v>
      </c>
      <c r="F229" s="695" t="s">
        <v>169</v>
      </c>
      <c r="G229" s="695" t="s">
        <v>169</v>
      </c>
      <c r="H229" s="695" t="s">
        <v>169</v>
      </c>
      <c r="I229" s="695" t="s">
        <v>169</v>
      </c>
      <c r="J229" s="695" t="s">
        <v>169</v>
      </c>
      <c r="K229" s="695" t="s">
        <v>169</v>
      </c>
      <c r="L229" s="243">
        <v>235499</v>
      </c>
      <c r="M229" s="243">
        <v>217369</v>
      </c>
      <c r="N229" s="243">
        <v>214156</v>
      </c>
      <c r="O229" s="243">
        <v>257762</v>
      </c>
      <c r="P229" s="243">
        <v>298968</v>
      </c>
      <c r="Q229" s="243">
        <v>306195</v>
      </c>
      <c r="R229" s="243">
        <v>276997</v>
      </c>
      <c r="S229" s="243">
        <v>313175</v>
      </c>
      <c r="T229" s="243">
        <v>334297</v>
      </c>
      <c r="U229" s="243">
        <v>301755</v>
      </c>
      <c r="V229" s="243">
        <v>335233</v>
      </c>
      <c r="W229" s="243">
        <v>371340</v>
      </c>
      <c r="X229" s="243">
        <v>348337</v>
      </c>
      <c r="Y229" s="243">
        <v>381709</v>
      </c>
      <c r="Z229" s="243">
        <v>364684</v>
      </c>
      <c r="AA229" s="243">
        <v>376234</v>
      </c>
      <c r="AB229" s="243">
        <v>3.1671255114016521</v>
      </c>
    </row>
    <row r="230" spans="1:28" ht="21" customHeight="1" x14ac:dyDescent="0.25">
      <c r="A230" s="702"/>
      <c r="B230" s="782" t="s">
        <v>698</v>
      </c>
      <c r="C230" s="695" t="s">
        <v>169</v>
      </c>
      <c r="D230" s="695" t="s">
        <v>169</v>
      </c>
      <c r="E230" s="695" t="s">
        <v>169</v>
      </c>
      <c r="F230" s="695" t="s">
        <v>169</v>
      </c>
      <c r="G230" s="695" t="s">
        <v>169</v>
      </c>
      <c r="H230" s="695" t="s">
        <v>169</v>
      </c>
      <c r="I230" s="695" t="s">
        <v>169</v>
      </c>
      <c r="J230" s="695" t="s">
        <v>169</v>
      </c>
      <c r="K230" s="695" t="s">
        <v>169</v>
      </c>
      <c r="L230" s="234">
        <v>121478</v>
      </c>
      <c r="M230" s="234">
        <v>113143</v>
      </c>
      <c r="N230" s="234">
        <v>96534</v>
      </c>
      <c r="O230" s="234">
        <v>104982</v>
      </c>
      <c r="P230" s="234">
        <v>99546</v>
      </c>
      <c r="Q230" s="234">
        <v>84224</v>
      </c>
      <c r="R230" s="234">
        <v>84328</v>
      </c>
      <c r="S230" s="234">
        <v>69160</v>
      </c>
      <c r="T230" s="234">
        <v>101990</v>
      </c>
      <c r="U230" s="234">
        <v>98121</v>
      </c>
      <c r="V230" s="234">
        <v>293559</v>
      </c>
      <c r="W230" s="234">
        <v>460537</v>
      </c>
      <c r="X230" s="234">
        <v>554293</v>
      </c>
      <c r="Y230" s="234">
        <v>545023</v>
      </c>
      <c r="Z230" s="234">
        <v>569933</v>
      </c>
      <c r="AA230" s="234">
        <v>568887</v>
      </c>
      <c r="AB230" s="234">
        <v>-0.18353034479491451</v>
      </c>
    </row>
    <row r="231" spans="1:28" ht="23.25" customHeight="1" x14ac:dyDescent="0.25">
      <c r="A231" s="708"/>
      <c r="B231" s="244" t="s">
        <v>699</v>
      </c>
      <c r="C231" s="245">
        <v>183683</v>
      </c>
      <c r="D231" s="245">
        <v>170210</v>
      </c>
      <c r="E231" s="245">
        <v>160740</v>
      </c>
      <c r="F231" s="245">
        <v>129481</v>
      </c>
      <c r="G231" s="245">
        <v>105181</v>
      </c>
      <c r="H231" s="245">
        <v>71137</v>
      </c>
      <c r="I231" s="245">
        <v>72314</v>
      </c>
      <c r="J231" s="245">
        <v>73259</v>
      </c>
      <c r="K231" s="245">
        <v>72441</v>
      </c>
      <c r="L231" s="245">
        <v>476403</v>
      </c>
      <c r="M231" s="245">
        <v>510403</v>
      </c>
      <c r="N231" s="245">
        <v>521918</v>
      </c>
      <c r="O231" s="245">
        <v>593067</v>
      </c>
      <c r="P231" s="245">
        <v>619152</v>
      </c>
      <c r="Q231" s="245">
        <v>652362</v>
      </c>
      <c r="R231" s="245">
        <v>638358</v>
      </c>
      <c r="S231" s="245">
        <v>693421</v>
      </c>
      <c r="T231" s="245">
        <v>774537</v>
      </c>
      <c r="U231" s="245">
        <v>828365</v>
      </c>
      <c r="V231" s="245">
        <v>1012436</v>
      </c>
      <c r="W231" s="245">
        <v>1158550</v>
      </c>
      <c r="X231" s="245">
        <v>1255471</v>
      </c>
      <c r="Y231" s="245">
        <v>1281354</v>
      </c>
      <c r="Z231" s="245">
        <v>1297294</v>
      </c>
      <c r="AA231" s="245">
        <v>1304646</v>
      </c>
      <c r="AB231" s="245">
        <v>0.56671810707518877</v>
      </c>
    </row>
    <row r="232" spans="1:28" ht="45.75" customHeight="1" x14ac:dyDescent="0.25">
      <c r="A232" s="702"/>
      <c r="B232" s="246" t="s">
        <v>700</v>
      </c>
      <c r="C232" s="247">
        <v>5974960</v>
      </c>
      <c r="D232" s="247">
        <v>6013759</v>
      </c>
      <c r="E232" s="247">
        <v>5637511</v>
      </c>
      <c r="F232" s="247">
        <v>5555172</v>
      </c>
      <c r="G232" s="247">
        <v>5427558</v>
      </c>
      <c r="H232" s="247">
        <v>4952277</v>
      </c>
      <c r="I232" s="247">
        <v>4702697</v>
      </c>
      <c r="J232" s="247">
        <v>4338295</v>
      </c>
      <c r="K232" s="247">
        <v>4150916</v>
      </c>
      <c r="L232" s="247">
        <v>4379984</v>
      </c>
      <c r="M232" s="247">
        <v>4063571</v>
      </c>
      <c r="N232" s="247">
        <v>4028463</v>
      </c>
      <c r="O232" s="247">
        <v>4167619</v>
      </c>
      <c r="P232" s="247">
        <v>4517823</v>
      </c>
      <c r="Q232" s="247">
        <v>4974078</v>
      </c>
      <c r="R232" s="247">
        <v>5528775</v>
      </c>
      <c r="S232" s="247">
        <v>5959575</v>
      </c>
      <c r="T232" s="247">
        <v>6079645</v>
      </c>
      <c r="U232" s="247">
        <v>5433550</v>
      </c>
      <c r="V232" s="247">
        <v>6341537</v>
      </c>
      <c r="W232" s="247">
        <v>6737214</v>
      </c>
      <c r="X232" s="247">
        <v>6657086</v>
      </c>
      <c r="Y232" s="247">
        <v>6588465</v>
      </c>
      <c r="Z232" s="247">
        <v>6662811</v>
      </c>
      <c r="AA232" s="247">
        <v>6591958</v>
      </c>
      <c r="AB232" s="247">
        <v>-1.0634100231869101</v>
      </c>
    </row>
  </sheetData>
  <phoneticPr fontId="47" type="noConversion"/>
  <hyperlinks>
    <hyperlink ref="A4" location="'Table of contents'!A1" display="Link to table of contents" xr:uid="{21527EA3-D2FA-48C0-A16F-C192FC6F8D74}"/>
    <hyperlink ref="A6" location="'Notes_A5 to A7'!A1" display="Link to Notes page" xr:uid="{28DB49C0-CF22-47E1-9FBF-51BB41D7E5B8}"/>
  </hyperlinks>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475BD-A6CD-4B05-BDB2-06E930E97DF4}">
  <dimension ref="A1:Z232"/>
  <sheetViews>
    <sheetView showGridLines="0" workbookViewId="0"/>
  </sheetViews>
  <sheetFormatPr defaultColWidth="11.85546875" defaultRowHeight="15" customHeight="1" x14ac:dyDescent="0.25"/>
  <cols>
    <col min="1" max="1" width="17.5703125" customWidth="1"/>
    <col min="2" max="2" width="92.5703125" customWidth="1"/>
    <col min="3" max="26" width="12.7109375" customWidth="1"/>
  </cols>
  <sheetData>
    <row r="1" spans="1:26" ht="27" customHeight="1" x14ac:dyDescent="0.25">
      <c r="A1" s="838" t="s">
        <v>1490</v>
      </c>
      <c r="B1" s="224"/>
      <c r="C1" s="709"/>
      <c r="D1" s="709"/>
      <c r="E1" s="709"/>
      <c r="F1" s="709"/>
      <c r="G1" s="709"/>
      <c r="H1" s="709"/>
      <c r="I1" s="709"/>
      <c r="J1" s="709"/>
      <c r="K1" s="709"/>
      <c r="L1" s="709"/>
      <c r="M1" s="709"/>
      <c r="N1" s="709"/>
      <c r="O1" s="709"/>
      <c r="P1" s="709"/>
      <c r="Q1" s="709"/>
      <c r="R1" s="709"/>
      <c r="S1" s="709"/>
      <c r="T1" s="709"/>
      <c r="U1" s="709"/>
      <c r="V1" s="709"/>
      <c r="W1" s="709"/>
      <c r="X1" s="709"/>
      <c r="Y1" s="709"/>
      <c r="Z1" s="709"/>
    </row>
    <row r="2" spans="1:26" ht="22.5" customHeight="1" x14ac:dyDescent="0.25">
      <c r="A2" s="225" t="s">
        <v>365</v>
      </c>
      <c r="B2" s="225"/>
      <c r="C2" s="709"/>
      <c r="D2" s="709"/>
      <c r="E2" s="709"/>
      <c r="F2" s="709"/>
      <c r="G2" s="709"/>
      <c r="H2" s="709"/>
      <c r="I2" s="709"/>
      <c r="J2" s="709"/>
      <c r="K2" s="709"/>
      <c r="L2" s="709"/>
      <c r="M2" s="709"/>
      <c r="N2" s="709"/>
      <c r="O2" s="709"/>
      <c r="P2" s="709"/>
      <c r="Q2" s="709"/>
      <c r="R2" s="709"/>
      <c r="S2" s="709"/>
      <c r="T2" s="709"/>
      <c r="U2" s="709"/>
      <c r="V2" s="709"/>
      <c r="W2" s="709"/>
      <c r="X2" s="709"/>
      <c r="Y2" s="709"/>
      <c r="Z2" s="709"/>
    </row>
    <row r="3" spans="1:26" ht="19.5" customHeight="1" x14ac:dyDescent="0.25">
      <c r="A3" s="235" t="s">
        <v>701</v>
      </c>
      <c r="B3" s="224"/>
      <c r="C3" s="709"/>
      <c r="D3" s="709"/>
      <c r="E3" s="709"/>
      <c r="F3" s="709"/>
      <c r="G3" s="709"/>
      <c r="H3" s="709"/>
      <c r="I3" s="709"/>
      <c r="J3" s="709"/>
      <c r="K3" s="709"/>
      <c r="L3" s="709"/>
      <c r="M3" s="709"/>
      <c r="N3" s="709"/>
      <c r="O3" s="709"/>
      <c r="P3" s="709"/>
      <c r="Q3" s="709"/>
      <c r="R3" s="709"/>
      <c r="S3" s="709"/>
      <c r="T3" s="709"/>
      <c r="U3" s="709"/>
      <c r="V3" s="709"/>
      <c r="W3" s="709"/>
      <c r="X3" s="709"/>
      <c r="Y3" s="709"/>
      <c r="Z3" s="709"/>
    </row>
    <row r="4" spans="1:26" ht="19.5" customHeight="1" x14ac:dyDescent="0.25">
      <c r="A4" s="226" t="s">
        <v>368</v>
      </c>
      <c r="B4" s="224"/>
      <c r="C4" s="709"/>
      <c r="D4" s="709"/>
      <c r="E4" s="709"/>
      <c r="F4" s="709"/>
      <c r="G4" s="709"/>
      <c r="H4" s="709"/>
      <c r="I4" s="709"/>
      <c r="J4" s="709"/>
      <c r="K4" s="709"/>
      <c r="L4" s="709"/>
      <c r="M4" s="709"/>
      <c r="N4" s="709"/>
      <c r="O4" s="709"/>
      <c r="P4" s="709"/>
      <c r="Q4" s="709"/>
      <c r="R4" s="709"/>
      <c r="S4" s="709"/>
      <c r="T4" s="709"/>
      <c r="U4" s="709"/>
      <c r="V4" s="709"/>
      <c r="W4" s="709"/>
      <c r="X4" s="709"/>
      <c r="Y4" s="709"/>
      <c r="Z4" s="709"/>
    </row>
    <row r="5" spans="1:26" ht="19.5" customHeight="1" x14ac:dyDescent="0.25">
      <c r="A5" s="664" t="s">
        <v>702</v>
      </c>
      <c r="B5" s="224"/>
      <c r="C5" s="709"/>
      <c r="D5" s="709"/>
      <c r="E5" s="709"/>
      <c r="F5" s="709"/>
      <c r="G5" s="709"/>
      <c r="H5" s="709"/>
      <c r="I5" s="709"/>
      <c r="J5" s="709"/>
      <c r="K5" s="709"/>
      <c r="L5" s="709"/>
      <c r="M5" s="709"/>
      <c r="N5" s="709"/>
      <c r="O5" s="709"/>
      <c r="P5" s="709"/>
      <c r="Q5" s="709"/>
      <c r="R5" s="709"/>
      <c r="S5" s="709"/>
      <c r="T5" s="709"/>
      <c r="U5" s="709"/>
      <c r="V5" s="709"/>
      <c r="W5" s="709"/>
      <c r="X5" s="709"/>
      <c r="Y5" s="709"/>
      <c r="Z5" s="709"/>
    </row>
    <row r="6" spans="1:26" ht="19.5" customHeight="1" x14ac:dyDescent="0.25">
      <c r="A6" s="226" t="s">
        <v>370</v>
      </c>
      <c r="B6" s="224"/>
      <c r="C6" s="709"/>
      <c r="D6" s="709"/>
      <c r="E6" s="709"/>
      <c r="F6" s="709"/>
      <c r="G6" s="709"/>
      <c r="H6" s="709"/>
      <c r="I6" s="709"/>
      <c r="J6" s="709"/>
      <c r="K6" s="709"/>
      <c r="L6" s="709"/>
      <c r="M6" s="709"/>
      <c r="N6" s="709"/>
      <c r="O6" s="709"/>
      <c r="P6" s="709"/>
      <c r="Q6" s="709"/>
      <c r="R6" s="709"/>
      <c r="S6" s="709"/>
      <c r="T6" s="709"/>
      <c r="U6" s="709"/>
      <c r="V6" s="709"/>
      <c r="W6" s="709"/>
      <c r="X6" s="709"/>
      <c r="Y6" s="709"/>
      <c r="Z6" s="709"/>
    </row>
    <row r="7" spans="1:26" ht="19.5" customHeight="1" x14ac:dyDescent="0.25">
      <c r="A7" s="1" t="s">
        <v>371</v>
      </c>
      <c r="B7" s="224"/>
      <c r="C7" s="709"/>
      <c r="D7" s="709"/>
      <c r="E7" s="709"/>
      <c r="F7" s="709"/>
      <c r="G7" s="709"/>
      <c r="H7" s="709"/>
      <c r="I7" s="709"/>
      <c r="J7" s="709"/>
      <c r="K7" s="709"/>
      <c r="L7" s="709"/>
      <c r="M7" s="709"/>
      <c r="N7" s="709"/>
      <c r="O7" s="709"/>
      <c r="P7" s="709"/>
      <c r="Q7" s="709"/>
      <c r="R7" s="709"/>
      <c r="S7" s="709"/>
      <c r="T7" s="709"/>
      <c r="U7" s="709"/>
      <c r="V7" s="709"/>
      <c r="W7" s="709"/>
      <c r="X7" s="709"/>
      <c r="Y7" s="709"/>
      <c r="Z7" s="709"/>
    </row>
    <row r="8" spans="1:26" ht="23.25" customHeight="1" x14ac:dyDescent="0.25">
      <c r="A8" s="664" t="s">
        <v>372</v>
      </c>
      <c r="B8" s="687"/>
      <c r="C8" s="709"/>
      <c r="D8" s="709"/>
      <c r="E8" s="709"/>
      <c r="F8" s="709"/>
      <c r="G8" s="709"/>
      <c r="H8" s="709"/>
      <c r="I8" s="709"/>
      <c r="J8" s="709"/>
      <c r="K8" s="709"/>
      <c r="L8" s="709"/>
      <c r="M8" s="709"/>
      <c r="N8" s="709"/>
      <c r="O8" s="709"/>
      <c r="P8" s="709"/>
      <c r="Q8" s="709"/>
      <c r="R8" s="709"/>
      <c r="S8" s="709"/>
      <c r="T8" s="709"/>
      <c r="U8" s="709"/>
      <c r="V8" s="709"/>
      <c r="W8" s="709"/>
      <c r="X8" s="709"/>
      <c r="Y8" s="709"/>
      <c r="Z8" s="709"/>
    </row>
    <row r="9" spans="1:26" ht="33" customHeight="1" x14ac:dyDescent="0.25">
      <c r="A9" s="250" t="s">
        <v>703</v>
      </c>
      <c r="B9" s="250" t="s">
        <v>374</v>
      </c>
      <c r="C9" s="251" t="s">
        <v>704</v>
      </c>
      <c r="D9" s="251" t="s">
        <v>705</v>
      </c>
      <c r="E9" s="251" t="s">
        <v>706</v>
      </c>
      <c r="F9" s="251" t="s">
        <v>707</v>
      </c>
      <c r="G9" s="251" t="s">
        <v>708</v>
      </c>
      <c r="H9" s="251" t="s">
        <v>709</v>
      </c>
      <c r="I9" s="251" t="s">
        <v>710</v>
      </c>
      <c r="J9" s="251" t="s">
        <v>711</v>
      </c>
      <c r="K9" s="251" t="s">
        <v>712</v>
      </c>
      <c r="L9" s="251" t="s">
        <v>713</v>
      </c>
      <c r="M9" s="251" t="s">
        <v>714</v>
      </c>
      <c r="N9" s="251" t="s">
        <v>715</v>
      </c>
      <c r="O9" s="251" t="s">
        <v>716</v>
      </c>
      <c r="P9" s="251" t="s">
        <v>717</v>
      </c>
      <c r="Q9" s="251" t="s">
        <v>718</v>
      </c>
      <c r="R9" s="251" t="s">
        <v>719</v>
      </c>
      <c r="S9" s="251" t="s">
        <v>720</v>
      </c>
      <c r="T9" s="251" t="s">
        <v>721</v>
      </c>
      <c r="U9" s="251" t="s">
        <v>722</v>
      </c>
      <c r="V9" s="251" t="s">
        <v>723</v>
      </c>
      <c r="W9" s="251" t="s">
        <v>724</v>
      </c>
      <c r="X9" s="251" t="s">
        <v>725</v>
      </c>
      <c r="Y9" s="251" t="s">
        <v>726</v>
      </c>
      <c r="Z9" s="251" t="s">
        <v>727</v>
      </c>
    </row>
    <row r="10" spans="1:26" ht="16.5" customHeight="1" x14ac:dyDescent="0.25">
      <c r="A10" s="710"/>
      <c r="B10" s="224" t="s">
        <v>398</v>
      </c>
      <c r="C10" s="252">
        <v>397025</v>
      </c>
      <c r="D10" s="252">
        <v>384453</v>
      </c>
      <c r="E10" s="252">
        <v>383144</v>
      </c>
      <c r="F10" s="252">
        <v>394733</v>
      </c>
      <c r="G10" s="252">
        <v>373590</v>
      </c>
      <c r="H10" s="252">
        <v>361562</v>
      </c>
      <c r="I10" s="252">
        <v>365977</v>
      </c>
      <c r="J10" s="252">
        <v>348198</v>
      </c>
      <c r="K10" s="252">
        <v>377730</v>
      </c>
      <c r="L10" s="252">
        <v>375460</v>
      </c>
      <c r="M10" s="252">
        <v>396452</v>
      </c>
      <c r="N10" s="252">
        <v>385800</v>
      </c>
      <c r="O10" s="252">
        <v>399204</v>
      </c>
      <c r="P10" s="252">
        <v>386134</v>
      </c>
      <c r="Q10" s="252">
        <v>369008</v>
      </c>
      <c r="R10" s="252">
        <v>385327</v>
      </c>
      <c r="S10" s="252">
        <v>369590</v>
      </c>
      <c r="T10" s="252">
        <v>354495</v>
      </c>
      <c r="U10" s="252">
        <v>346797</v>
      </c>
      <c r="V10" s="252">
        <v>326844</v>
      </c>
      <c r="W10" s="252">
        <v>372930</v>
      </c>
      <c r="X10" s="252">
        <v>360246</v>
      </c>
      <c r="Y10" s="252">
        <v>381490</v>
      </c>
      <c r="Z10" s="252">
        <v>381026</v>
      </c>
    </row>
    <row r="11" spans="1:26" ht="30.75" customHeight="1" x14ac:dyDescent="0.25">
      <c r="A11" s="693">
        <v>1</v>
      </c>
      <c r="B11" s="784" t="s">
        <v>399</v>
      </c>
      <c r="C11" s="690">
        <v>44</v>
      </c>
      <c r="D11" s="690">
        <v>51</v>
      </c>
      <c r="E11" s="690">
        <v>50</v>
      </c>
      <c r="F11" s="690">
        <v>39</v>
      </c>
      <c r="G11" s="690">
        <v>41</v>
      </c>
      <c r="H11" s="690">
        <v>37</v>
      </c>
      <c r="I11" s="690">
        <v>39</v>
      </c>
      <c r="J11" s="690">
        <v>32</v>
      </c>
      <c r="K11" s="690">
        <v>37</v>
      </c>
      <c r="L11" s="690">
        <v>37</v>
      </c>
      <c r="M11" s="690">
        <v>34</v>
      </c>
      <c r="N11" s="690">
        <v>32</v>
      </c>
      <c r="O11" s="690">
        <v>50</v>
      </c>
      <c r="P11" s="690">
        <v>50</v>
      </c>
      <c r="Q11" s="690">
        <v>42</v>
      </c>
      <c r="R11" s="690">
        <v>33</v>
      </c>
      <c r="S11" s="690">
        <v>40</v>
      </c>
      <c r="T11" s="690">
        <v>33</v>
      </c>
      <c r="U11" s="690">
        <v>35</v>
      </c>
      <c r="V11" s="690">
        <v>25</v>
      </c>
      <c r="W11" s="690">
        <v>38</v>
      </c>
      <c r="X11" s="690">
        <v>30</v>
      </c>
      <c r="Y11" s="690">
        <v>32</v>
      </c>
      <c r="Z11" s="690">
        <v>36</v>
      </c>
    </row>
    <row r="12" spans="1:26" ht="16.350000000000001" customHeight="1" x14ac:dyDescent="0.25">
      <c r="A12" s="693">
        <v>4.0999999999999996</v>
      </c>
      <c r="B12" s="784" t="s">
        <v>400</v>
      </c>
      <c r="C12" s="690">
        <v>5</v>
      </c>
      <c r="D12" s="690">
        <v>5</v>
      </c>
      <c r="E12" s="690">
        <v>8</v>
      </c>
      <c r="F12" s="690">
        <v>4</v>
      </c>
      <c r="G12" s="690">
        <v>6</v>
      </c>
      <c r="H12" s="690">
        <v>5</v>
      </c>
      <c r="I12" s="690">
        <v>1</v>
      </c>
      <c r="J12" s="690">
        <v>2</v>
      </c>
      <c r="K12" s="690">
        <v>5</v>
      </c>
      <c r="L12" s="690">
        <v>6</v>
      </c>
      <c r="M12" s="690">
        <v>10</v>
      </c>
      <c r="N12" s="690">
        <v>12</v>
      </c>
      <c r="O12" s="690">
        <v>2</v>
      </c>
      <c r="P12" s="690">
        <v>2</v>
      </c>
      <c r="Q12" s="690">
        <v>3</v>
      </c>
      <c r="R12" s="690">
        <v>8</v>
      </c>
      <c r="S12" s="690">
        <v>6</v>
      </c>
      <c r="T12" s="690">
        <v>6</v>
      </c>
      <c r="U12" s="690">
        <v>5</v>
      </c>
      <c r="V12" s="690">
        <v>9</v>
      </c>
      <c r="W12" s="690">
        <v>5</v>
      </c>
      <c r="X12" s="690">
        <v>8</v>
      </c>
      <c r="Y12" s="690">
        <v>7</v>
      </c>
      <c r="Z12" s="690">
        <v>7</v>
      </c>
    </row>
    <row r="13" spans="1:26" ht="18" customHeight="1" x14ac:dyDescent="0.25">
      <c r="A13" s="694" t="s">
        <v>401</v>
      </c>
      <c r="B13" s="784" t="s">
        <v>402</v>
      </c>
      <c r="C13" s="690">
        <v>1</v>
      </c>
      <c r="D13" s="690">
        <v>0</v>
      </c>
      <c r="E13" s="690">
        <v>1</v>
      </c>
      <c r="F13" s="690">
        <v>0</v>
      </c>
      <c r="G13" s="690">
        <v>3</v>
      </c>
      <c r="H13" s="690">
        <v>1</v>
      </c>
      <c r="I13" s="690">
        <v>0</v>
      </c>
      <c r="J13" s="690">
        <v>2</v>
      </c>
      <c r="K13" s="690">
        <v>2</v>
      </c>
      <c r="L13" s="690">
        <v>0</v>
      </c>
      <c r="M13" s="690">
        <v>0</v>
      </c>
      <c r="N13" s="690">
        <v>0</v>
      </c>
      <c r="O13" s="690">
        <v>0</v>
      </c>
      <c r="P13" s="690">
        <v>1</v>
      </c>
      <c r="Q13" s="690">
        <v>0</v>
      </c>
      <c r="R13" s="690">
        <v>0</v>
      </c>
      <c r="S13" s="690">
        <v>1</v>
      </c>
      <c r="T13" s="690">
        <v>0</v>
      </c>
      <c r="U13" s="690">
        <v>1</v>
      </c>
      <c r="V13" s="690">
        <v>0</v>
      </c>
      <c r="W13" s="690">
        <v>2</v>
      </c>
      <c r="X13" s="690">
        <v>0</v>
      </c>
      <c r="Y13" s="690">
        <v>0</v>
      </c>
      <c r="Z13" s="690">
        <v>1</v>
      </c>
    </row>
    <row r="14" spans="1:26" ht="15.75" customHeight="1" x14ac:dyDescent="0.25">
      <c r="A14" s="693">
        <v>4.2</v>
      </c>
      <c r="B14" s="784" t="s">
        <v>404</v>
      </c>
      <c r="C14" s="690">
        <v>0</v>
      </c>
      <c r="D14" s="690">
        <v>0</v>
      </c>
      <c r="E14" s="690">
        <v>0</v>
      </c>
      <c r="F14" s="690">
        <v>0</v>
      </c>
      <c r="G14" s="690">
        <v>0</v>
      </c>
      <c r="H14" s="690">
        <v>0</v>
      </c>
      <c r="I14" s="690">
        <v>0</v>
      </c>
      <c r="J14" s="690">
        <v>0</v>
      </c>
      <c r="K14" s="690">
        <v>0</v>
      </c>
      <c r="L14" s="690">
        <v>0</v>
      </c>
      <c r="M14" s="690">
        <v>0</v>
      </c>
      <c r="N14" s="690">
        <v>0</v>
      </c>
      <c r="O14" s="690">
        <v>0</v>
      </c>
      <c r="P14" s="690">
        <v>0</v>
      </c>
      <c r="Q14" s="690">
        <v>0</v>
      </c>
      <c r="R14" s="690">
        <v>0</v>
      </c>
      <c r="S14" s="690">
        <v>0</v>
      </c>
      <c r="T14" s="690">
        <v>0</v>
      </c>
      <c r="U14" s="690">
        <v>0</v>
      </c>
      <c r="V14" s="690">
        <v>0</v>
      </c>
      <c r="W14" s="690">
        <v>0</v>
      </c>
      <c r="X14" s="690">
        <v>0</v>
      </c>
      <c r="Y14" s="690">
        <v>0</v>
      </c>
      <c r="Z14" s="690">
        <v>0</v>
      </c>
    </row>
    <row r="15" spans="1:26" ht="17.25" customHeight="1" x14ac:dyDescent="0.25">
      <c r="A15" s="236"/>
      <c r="B15" s="774" t="s">
        <v>405</v>
      </c>
      <c r="C15" s="230">
        <v>50</v>
      </c>
      <c r="D15" s="230">
        <v>56</v>
      </c>
      <c r="E15" s="230">
        <v>59</v>
      </c>
      <c r="F15" s="230">
        <v>43</v>
      </c>
      <c r="G15" s="230">
        <v>50</v>
      </c>
      <c r="H15" s="230">
        <v>43</v>
      </c>
      <c r="I15" s="230">
        <v>40</v>
      </c>
      <c r="J15" s="230">
        <v>36</v>
      </c>
      <c r="K15" s="230">
        <v>44</v>
      </c>
      <c r="L15" s="230">
        <v>43</v>
      </c>
      <c r="M15" s="230">
        <v>44</v>
      </c>
      <c r="N15" s="230">
        <v>44</v>
      </c>
      <c r="O15" s="230">
        <v>52</v>
      </c>
      <c r="P15" s="230">
        <v>53</v>
      </c>
      <c r="Q15" s="230">
        <v>45</v>
      </c>
      <c r="R15" s="230">
        <v>41</v>
      </c>
      <c r="S15" s="230">
        <v>47</v>
      </c>
      <c r="T15" s="230">
        <v>39</v>
      </c>
      <c r="U15" s="230">
        <v>41</v>
      </c>
      <c r="V15" s="230">
        <v>34</v>
      </c>
      <c r="W15" s="230">
        <v>45</v>
      </c>
      <c r="X15" s="230">
        <v>38</v>
      </c>
      <c r="Y15" s="230">
        <v>39</v>
      </c>
      <c r="Z15" s="230">
        <v>44</v>
      </c>
    </row>
    <row r="16" spans="1:26" ht="36" customHeight="1" x14ac:dyDescent="0.25">
      <c r="A16" s="693">
        <v>4.4000000000000004</v>
      </c>
      <c r="B16" s="783" t="s">
        <v>406</v>
      </c>
      <c r="C16" s="690">
        <v>85</v>
      </c>
      <c r="D16" s="690">
        <v>74</v>
      </c>
      <c r="E16" s="690">
        <v>54</v>
      </c>
      <c r="F16" s="690">
        <v>78</v>
      </c>
      <c r="G16" s="690">
        <v>81</v>
      </c>
      <c r="H16" s="690">
        <v>107</v>
      </c>
      <c r="I16" s="690">
        <v>71</v>
      </c>
      <c r="J16" s="690">
        <v>68</v>
      </c>
      <c r="K16" s="690">
        <v>87</v>
      </c>
      <c r="L16" s="690">
        <v>70</v>
      </c>
      <c r="M16" s="690">
        <v>88</v>
      </c>
      <c r="N16" s="690">
        <v>84</v>
      </c>
      <c r="O16" s="690">
        <v>89</v>
      </c>
      <c r="P16" s="690">
        <v>84</v>
      </c>
      <c r="Q16" s="690">
        <v>81</v>
      </c>
      <c r="R16" s="690">
        <v>96</v>
      </c>
      <c r="S16" s="690">
        <v>85</v>
      </c>
      <c r="T16" s="690">
        <v>85</v>
      </c>
      <c r="U16" s="690">
        <v>78</v>
      </c>
      <c r="V16" s="690">
        <v>74</v>
      </c>
      <c r="W16" s="690">
        <v>94</v>
      </c>
      <c r="X16" s="690">
        <v>68</v>
      </c>
      <c r="Y16" s="690">
        <v>67</v>
      </c>
      <c r="Z16" s="690">
        <v>68</v>
      </c>
    </row>
    <row r="17" spans="1:26" ht="18" customHeight="1" x14ac:dyDescent="0.25">
      <c r="A17" s="693">
        <v>4.5999999999999996</v>
      </c>
      <c r="B17" s="785" t="s">
        <v>407</v>
      </c>
      <c r="C17" s="690">
        <v>3</v>
      </c>
      <c r="D17" s="690">
        <v>2</v>
      </c>
      <c r="E17" s="690">
        <v>4</v>
      </c>
      <c r="F17" s="690">
        <v>4</v>
      </c>
      <c r="G17" s="690">
        <v>5</v>
      </c>
      <c r="H17" s="690">
        <v>2</v>
      </c>
      <c r="I17" s="690">
        <v>2</v>
      </c>
      <c r="J17" s="690">
        <v>4</v>
      </c>
      <c r="K17" s="690">
        <v>3</v>
      </c>
      <c r="L17" s="690">
        <v>5</v>
      </c>
      <c r="M17" s="690">
        <v>1</v>
      </c>
      <c r="N17" s="690">
        <v>0</v>
      </c>
      <c r="O17" s="690">
        <v>1</v>
      </c>
      <c r="P17" s="690">
        <v>1</v>
      </c>
      <c r="Q17" s="690">
        <v>3</v>
      </c>
      <c r="R17" s="690">
        <v>0</v>
      </c>
      <c r="S17" s="690">
        <v>1</v>
      </c>
      <c r="T17" s="690">
        <v>2</v>
      </c>
      <c r="U17" s="690">
        <v>3</v>
      </c>
      <c r="V17" s="690">
        <v>0</v>
      </c>
      <c r="W17" s="690">
        <v>2</v>
      </c>
      <c r="X17" s="690">
        <v>1</v>
      </c>
      <c r="Y17" s="690">
        <v>2</v>
      </c>
      <c r="Z17" s="690">
        <v>1</v>
      </c>
    </row>
    <row r="18" spans="1:26" ht="18" customHeight="1" x14ac:dyDescent="0.25">
      <c r="A18" s="693">
        <v>4.8</v>
      </c>
      <c r="B18" s="783" t="s">
        <v>408</v>
      </c>
      <c r="C18" s="690">
        <v>67</v>
      </c>
      <c r="D18" s="690">
        <v>79</v>
      </c>
      <c r="E18" s="690">
        <v>61</v>
      </c>
      <c r="F18" s="690">
        <v>78</v>
      </c>
      <c r="G18" s="690">
        <v>70</v>
      </c>
      <c r="H18" s="690">
        <v>72</v>
      </c>
      <c r="I18" s="690">
        <v>90</v>
      </c>
      <c r="J18" s="690">
        <v>98</v>
      </c>
      <c r="K18" s="690">
        <v>81</v>
      </c>
      <c r="L18" s="690">
        <v>88</v>
      </c>
      <c r="M18" s="690">
        <v>71</v>
      </c>
      <c r="N18" s="690">
        <v>91</v>
      </c>
      <c r="O18" s="690">
        <v>89</v>
      </c>
      <c r="P18" s="690">
        <v>73</v>
      </c>
      <c r="Q18" s="690">
        <v>88</v>
      </c>
      <c r="R18" s="690">
        <v>87</v>
      </c>
      <c r="S18" s="690">
        <v>83</v>
      </c>
      <c r="T18" s="690">
        <v>98</v>
      </c>
      <c r="U18" s="690">
        <v>90</v>
      </c>
      <c r="V18" s="690">
        <v>63</v>
      </c>
      <c r="W18" s="690">
        <v>89</v>
      </c>
      <c r="X18" s="690">
        <v>67</v>
      </c>
      <c r="Y18" s="690">
        <v>95</v>
      </c>
      <c r="Z18" s="690">
        <v>93</v>
      </c>
    </row>
    <row r="19" spans="1:26" ht="18" customHeight="1" x14ac:dyDescent="0.25">
      <c r="A19" s="693" t="s">
        <v>409</v>
      </c>
      <c r="B19" s="783" t="s">
        <v>410</v>
      </c>
      <c r="C19" s="690" t="s">
        <v>169</v>
      </c>
      <c r="D19" s="690" t="s">
        <v>169</v>
      </c>
      <c r="E19" s="690" t="s">
        <v>169</v>
      </c>
      <c r="F19" s="690" t="s">
        <v>169</v>
      </c>
      <c r="G19" s="690" t="s">
        <v>169</v>
      </c>
      <c r="H19" s="690" t="s">
        <v>169</v>
      </c>
      <c r="I19" s="690" t="s">
        <v>169</v>
      </c>
      <c r="J19" s="690" t="s">
        <v>169</v>
      </c>
      <c r="K19" s="690" t="s">
        <v>169</v>
      </c>
      <c r="L19" s="690" t="s">
        <v>169</v>
      </c>
      <c r="M19" s="690" t="s">
        <v>169</v>
      </c>
      <c r="N19" s="690" t="s">
        <v>169</v>
      </c>
      <c r="O19" s="690" t="s">
        <v>169</v>
      </c>
      <c r="P19" s="690" t="s">
        <v>169</v>
      </c>
      <c r="Q19" s="690" t="s">
        <v>169</v>
      </c>
      <c r="R19" s="690" t="s">
        <v>169</v>
      </c>
      <c r="S19" s="690" t="s">
        <v>169</v>
      </c>
      <c r="T19" s="690" t="s">
        <v>169</v>
      </c>
      <c r="U19" s="690" t="s">
        <v>169</v>
      </c>
      <c r="V19" s="690" t="s">
        <v>169</v>
      </c>
      <c r="W19" s="690" t="s">
        <v>169</v>
      </c>
      <c r="X19" s="690" t="s">
        <v>169</v>
      </c>
      <c r="Y19" s="690" t="s">
        <v>169</v>
      </c>
      <c r="Z19" s="690" t="s">
        <v>169</v>
      </c>
    </row>
    <row r="20" spans="1:26" ht="18" customHeight="1" x14ac:dyDescent="0.25">
      <c r="A20" s="693">
        <v>4.9000000000000004</v>
      </c>
      <c r="B20" s="783" t="s">
        <v>411</v>
      </c>
      <c r="C20" s="690">
        <v>2</v>
      </c>
      <c r="D20" s="690">
        <v>2</v>
      </c>
      <c r="E20" s="690">
        <v>1</v>
      </c>
      <c r="F20" s="690">
        <v>1</v>
      </c>
      <c r="G20" s="690">
        <v>2</v>
      </c>
      <c r="H20" s="690">
        <v>0</v>
      </c>
      <c r="I20" s="690">
        <v>1</v>
      </c>
      <c r="J20" s="690">
        <v>0</v>
      </c>
      <c r="K20" s="690">
        <v>3</v>
      </c>
      <c r="L20" s="690">
        <v>2</v>
      </c>
      <c r="M20" s="690">
        <v>4</v>
      </c>
      <c r="N20" s="690">
        <v>2</v>
      </c>
      <c r="O20" s="690">
        <v>4</v>
      </c>
      <c r="P20" s="690">
        <v>3</v>
      </c>
      <c r="Q20" s="690">
        <v>4</v>
      </c>
      <c r="R20" s="690">
        <v>4</v>
      </c>
      <c r="S20" s="690">
        <v>2</v>
      </c>
      <c r="T20" s="690">
        <v>4</v>
      </c>
      <c r="U20" s="690">
        <v>3</v>
      </c>
      <c r="V20" s="690">
        <v>7</v>
      </c>
      <c r="W20" s="690">
        <v>5</v>
      </c>
      <c r="X20" s="690">
        <v>5</v>
      </c>
      <c r="Y20" s="690">
        <v>1</v>
      </c>
      <c r="Z20" s="690">
        <v>7</v>
      </c>
    </row>
    <row r="21" spans="1:26" ht="13.5" customHeight="1" x14ac:dyDescent="0.25">
      <c r="A21" s="693">
        <v>37.1</v>
      </c>
      <c r="B21" s="783" t="s">
        <v>412</v>
      </c>
      <c r="C21" s="690">
        <v>1</v>
      </c>
      <c r="D21" s="690">
        <v>2</v>
      </c>
      <c r="E21" s="690">
        <v>0</v>
      </c>
      <c r="F21" s="690">
        <v>0</v>
      </c>
      <c r="G21" s="690">
        <v>0</v>
      </c>
      <c r="H21" s="690">
        <v>0</v>
      </c>
      <c r="I21" s="690">
        <v>1</v>
      </c>
      <c r="J21" s="690">
        <v>1</v>
      </c>
      <c r="K21" s="690">
        <v>0</v>
      </c>
      <c r="L21" s="690">
        <v>0</v>
      </c>
      <c r="M21" s="690">
        <v>1</v>
      </c>
      <c r="N21" s="690">
        <v>0</v>
      </c>
      <c r="O21" s="690">
        <v>0</v>
      </c>
      <c r="P21" s="690">
        <v>0</v>
      </c>
      <c r="Q21" s="690">
        <v>1</v>
      </c>
      <c r="R21" s="690">
        <v>0</v>
      </c>
      <c r="S21" s="690">
        <v>0</v>
      </c>
      <c r="T21" s="690">
        <v>0</v>
      </c>
      <c r="U21" s="690">
        <v>0</v>
      </c>
      <c r="V21" s="690">
        <v>1</v>
      </c>
      <c r="W21" s="690">
        <v>1</v>
      </c>
      <c r="X21" s="690">
        <v>2</v>
      </c>
      <c r="Y21" s="690">
        <v>0</v>
      </c>
      <c r="Z21" s="690">
        <v>0</v>
      </c>
    </row>
    <row r="22" spans="1:26" ht="16.5" customHeight="1" x14ac:dyDescent="0.25">
      <c r="A22" s="236"/>
      <c r="B22" s="776" t="s">
        <v>728</v>
      </c>
      <c r="C22" s="230">
        <v>158</v>
      </c>
      <c r="D22" s="230">
        <v>159</v>
      </c>
      <c r="E22" s="230">
        <v>120</v>
      </c>
      <c r="F22" s="230">
        <v>161</v>
      </c>
      <c r="G22" s="230">
        <v>158</v>
      </c>
      <c r="H22" s="230">
        <v>181</v>
      </c>
      <c r="I22" s="230">
        <v>165</v>
      </c>
      <c r="J22" s="230">
        <v>171</v>
      </c>
      <c r="K22" s="230">
        <v>174</v>
      </c>
      <c r="L22" s="230">
        <v>165</v>
      </c>
      <c r="M22" s="230">
        <v>165</v>
      </c>
      <c r="N22" s="230">
        <v>177</v>
      </c>
      <c r="O22" s="230">
        <v>183</v>
      </c>
      <c r="P22" s="230">
        <v>161</v>
      </c>
      <c r="Q22" s="230">
        <v>177</v>
      </c>
      <c r="R22" s="230">
        <v>187</v>
      </c>
      <c r="S22" s="230">
        <v>171</v>
      </c>
      <c r="T22" s="230">
        <v>189</v>
      </c>
      <c r="U22" s="230">
        <v>174</v>
      </c>
      <c r="V22" s="230">
        <v>145</v>
      </c>
      <c r="W22" s="230">
        <v>191</v>
      </c>
      <c r="X22" s="230">
        <v>143</v>
      </c>
      <c r="Y22" s="230">
        <v>165</v>
      </c>
      <c r="Z22" s="230">
        <v>169</v>
      </c>
    </row>
    <row r="23" spans="1:26" ht="36" customHeight="1" x14ac:dyDescent="0.25">
      <c r="A23" s="693">
        <v>2</v>
      </c>
      <c r="B23" s="783" t="s">
        <v>414</v>
      </c>
      <c r="C23" s="690">
        <v>80</v>
      </c>
      <c r="D23" s="690">
        <v>63</v>
      </c>
      <c r="E23" s="690">
        <v>54</v>
      </c>
      <c r="F23" s="690">
        <v>60</v>
      </c>
      <c r="G23" s="690">
        <v>59</v>
      </c>
      <c r="H23" s="690">
        <v>92</v>
      </c>
      <c r="I23" s="690">
        <v>77</v>
      </c>
      <c r="J23" s="690">
        <v>87</v>
      </c>
      <c r="K23" s="690">
        <v>72</v>
      </c>
      <c r="L23" s="690">
        <v>62</v>
      </c>
      <c r="M23" s="690">
        <v>98</v>
      </c>
      <c r="N23" s="690">
        <v>75</v>
      </c>
      <c r="O23" s="690">
        <v>77</v>
      </c>
      <c r="P23" s="690">
        <v>109</v>
      </c>
      <c r="Q23" s="690">
        <v>62</v>
      </c>
      <c r="R23" s="690">
        <v>92</v>
      </c>
      <c r="S23" s="690">
        <v>88</v>
      </c>
      <c r="T23" s="690">
        <v>73</v>
      </c>
      <c r="U23" s="690">
        <v>59</v>
      </c>
      <c r="V23" s="690">
        <v>68</v>
      </c>
      <c r="W23" s="690">
        <v>78</v>
      </c>
      <c r="X23" s="690">
        <v>67</v>
      </c>
      <c r="Y23" s="690">
        <v>92</v>
      </c>
      <c r="Z23" s="690">
        <v>79</v>
      </c>
    </row>
    <row r="24" spans="1:26" ht="17.25" customHeight="1" x14ac:dyDescent="0.25">
      <c r="A24" s="693">
        <v>4.3</v>
      </c>
      <c r="B24" s="783" t="s">
        <v>415</v>
      </c>
      <c r="C24" s="690">
        <v>0</v>
      </c>
      <c r="D24" s="690">
        <v>3</v>
      </c>
      <c r="E24" s="690">
        <v>0</v>
      </c>
      <c r="F24" s="690">
        <v>0</v>
      </c>
      <c r="G24" s="690">
        <v>0</v>
      </c>
      <c r="H24" s="690">
        <v>1</v>
      </c>
      <c r="I24" s="690">
        <v>2</v>
      </c>
      <c r="J24" s="690">
        <v>2</v>
      </c>
      <c r="K24" s="690">
        <v>2</v>
      </c>
      <c r="L24" s="690">
        <v>0</v>
      </c>
      <c r="M24" s="690">
        <v>0</v>
      </c>
      <c r="N24" s="690">
        <v>2</v>
      </c>
      <c r="O24" s="690">
        <v>0</v>
      </c>
      <c r="P24" s="690">
        <v>1</v>
      </c>
      <c r="Q24" s="690">
        <v>0</v>
      </c>
      <c r="R24" s="690">
        <v>2</v>
      </c>
      <c r="S24" s="690">
        <v>2</v>
      </c>
      <c r="T24" s="690">
        <v>0</v>
      </c>
      <c r="U24" s="690">
        <v>0</v>
      </c>
      <c r="V24" s="690">
        <v>0</v>
      </c>
      <c r="W24" s="690">
        <v>2</v>
      </c>
      <c r="X24" s="690">
        <v>0</v>
      </c>
      <c r="Y24" s="690">
        <v>0</v>
      </c>
      <c r="Z24" s="690">
        <v>2</v>
      </c>
    </row>
    <row r="25" spans="1:26" ht="17.25" customHeight="1" x14ac:dyDescent="0.25">
      <c r="A25" s="693">
        <v>5</v>
      </c>
      <c r="B25" s="786" t="s">
        <v>416</v>
      </c>
      <c r="C25" s="690" t="s">
        <v>169</v>
      </c>
      <c r="D25" s="690" t="s">
        <v>169</v>
      </c>
      <c r="E25" s="690" t="s">
        <v>169</v>
      </c>
      <c r="F25" s="690" t="s">
        <v>169</v>
      </c>
      <c r="G25" s="690" t="s">
        <v>169</v>
      </c>
      <c r="H25" s="690" t="s">
        <v>169</v>
      </c>
      <c r="I25" s="690" t="s">
        <v>169</v>
      </c>
      <c r="J25" s="690" t="s">
        <v>169</v>
      </c>
      <c r="K25" s="690" t="s">
        <v>169</v>
      </c>
      <c r="L25" s="690" t="s">
        <v>169</v>
      </c>
      <c r="M25" s="690" t="s">
        <v>169</v>
      </c>
      <c r="N25" s="690" t="s">
        <v>169</v>
      </c>
      <c r="O25" s="690" t="s">
        <v>169</v>
      </c>
      <c r="P25" s="690" t="s">
        <v>169</v>
      </c>
      <c r="Q25" s="690" t="s">
        <v>169</v>
      </c>
      <c r="R25" s="690" t="s">
        <v>169</v>
      </c>
      <c r="S25" s="690" t="s">
        <v>169</v>
      </c>
      <c r="T25" s="690" t="s">
        <v>169</v>
      </c>
      <c r="U25" s="690" t="s">
        <v>169</v>
      </c>
      <c r="V25" s="690" t="s">
        <v>169</v>
      </c>
      <c r="W25" s="690" t="s">
        <v>169</v>
      </c>
      <c r="X25" s="690" t="s">
        <v>169</v>
      </c>
      <c r="Y25" s="690" t="s">
        <v>169</v>
      </c>
      <c r="Z25" s="690" t="s">
        <v>169</v>
      </c>
    </row>
    <row r="26" spans="1:26" ht="17.25" customHeight="1" x14ac:dyDescent="0.25">
      <c r="A26" s="693" t="s">
        <v>417</v>
      </c>
      <c r="B26" s="786" t="s">
        <v>418</v>
      </c>
      <c r="C26" s="690" t="s">
        <v>169</v>
      </c>
      <c r="D26" s="690" t="s">
        <v>169</v>
      </c>
      <c r="E26" s="690" t="s">
        <v>169</v>
      </c>
      <c r="F26" s="690" t="s">
        <v>169</v>
      </c>
      <c r="G26" s="690" t="s">
        <v>169</v>
      </c>
      <c r="H26" s="690" t="s">
        <v>169</v>
      </c>
      <c r="I26" s="690" t="s">
        <v>169</v>
      </c>
      <c r="J26" s="690" t="s">
        <v>169</v>
      </c>
      <c r="K26" s="690" t="s">
        <v>169</v>
      </c>
      <c r="L26" s="690" t="s">
        <v>169</v>
      </c>
      <c r="M26" s="690" t="s">
        <v>169</v>
      </c>
      <c r="N26" s="690" t="s">
        <v>169</v>
      </c>
      <c r="O26" s="690" t="s">
        <v>169</v>
      </c>
      <c r="P26" s="690" t="s">
        <v>169</v>
      </c>
      <c r="Q26" s="690" t="s">
        <v>169</v>
      </c>
      <c r="R26" s="690" t="s">
        <v>169</v>
      </c>
      <c r="S26" s="690" t="s">
        <v>169</v>
      </c>
      <c r="T26" s="690" t="s">
        <v>169</v>
      </c>
      <c r="U26" s="690" t="s">
        <v>169</v>
      </c>
      <c r="V26" s="690" t="s">
        <v>169</v>
      </c>
      <c r="W26" s="690" t="s">
        <v>169</v>
      </c>
      <c r="X26" s="690" t="s">
        <v>169</v>
      </c>
      <c r="Y26" s="690" t="s">
        <v>169</v>
      </c>
      <c r="Z26" s="690" t="s">
        <v>169</v>
      </c>
    </row>
    <row r="27" spans="1:26" ht="17.25" customHeight="1" x14ac:dyDescent="0.25">
      <c r="A27" s="693" t="s">
        <v>419</v>
      </c>
      <c r="B27" s="786" t="s">
        <v>420</v>
      </c>
      <c r="C27" s="690" t="s">
        <v>169</v>
      </c>
      <c r="D27" s="690" t="s">
        <v>169</v>
      </c>
      <c r="E27" s="690" t="s">
        <v>169</v>
      </c>
      <c r="F27" s="690" t="s">
        <v>169</v>
      </c>
      <c r="G27" s="690" t="s">
        <v>169</v>
      </c>
      <c r="H27" s="690" t="s">
        <v>169</v>
      </c>
      <c r="I27" s="690" t="s">
        <v>169</v>
      </c>
      <c r="J27" s="690" t="s">
        <v>169</v>
      </c>
      <c r="K27" s="690" t="s">
        <v>169</v>
      </c>
      <c r="L27" s="690" t="s">
        <v>169</v>
      </c>
      <c r="M27" s="690" t="s">
        <v>169</v>
      </c>
      <c r="N27" s="690" t="s">
        <v>169</v>
      </c>
      <c r="O27" s="690" t="s">
        <v>169</v>
      </c>
      <c r="P27" s="690" t="s">
        <v>169</v>
      </c>
      <c r="Q27" s="690" t="s">
        <v>169</v>
      </c>
      <c r="R27" s="690" t="s">
        <v>169</v>
      </c>
      <c r="S27" s="690" t="s">
        <v>169</v>
      </c>
      <c r="T27" s="690" t="s">
        <v>169</v>
      </c>
      <c r="U27" s="690" t="s">
        <v>169</v>
      </c>
      <c r="V27" s="690" t="s">
        <v>169</v>
      </c>
      <c r="W27" s="690" t="s">
        <v>169</v>
      </c>
      <c r="X27" s="690" t="s">
        <v>169</v>
      </c>
      <c r="Y27" s="690" t="s">
        <v>169</v>
      </c>
      <c r="Z27" s="690" t="s">
        <v>169</v>
      </c>
    </row>
    <row r="28" spans="1:26" ht="17.25" customHeight="1" x14ac:dyDescent="0.25">
      <c r="A28" s="693" t="s">
        <v>421</v>
      </c>
      <c r="B28" s="786" t="s">
        <v>422</v>
      </c>
      <c r="C28" s="690" t="s">
        <v>169</v>
      </c>
      <c r="D28" s="690" t="s">
        <v>169</v>
      </c>
      <c r="E28" s="690" t="s">
        <v>169</v>
      </c>
      <c r="F28" s="690" t="s">
        <v>169</v>
      </c>
      <c r="G28" s="690" t="s">
        <v>169</v>
      </c>
      <c r="H28" s="690" t="s">
        <v>169</v>
      </c>
      <c r="I28" s="690" t="s">
        <v>169</v>
      </c>
      <c r="J28" s="690" t="s">
        <v>169</v>
      </c>
      <c r="K28" s="690" t="s">
        <v>169</v>
      </c>
      <c r="L28" s="690" t="s">
        <v>169</v>
      </c>
      <c r="M28" s="690" t="s">
        <v>169</v>
      </c>
      <c r="N28" s="690" t="s">
        <v>169</v>
      </c>
      <c r="O28" s="690" t="s">
        <v>169</v>
      </c>
      <c r="P28" s="690" t="s">
        <v>169</v>
      </c>
      <c r="Q28" s="690" t="s">
        <v>169</v>
      </c>
      <c r="R28" s="690" t="s">
        <v>169</v>
      </c>
      <c r="S28" s="690" t="s">
        <v>169</v>
      </c>
      <c r="T28" s="690" t="s">
        <v>169</v>
      </c>
      <c r="U28" s="690" t="s">
        <v>169</v>
      </c>
      <c r="V28" s="690" t="s">
        <v>169</v>
      </c>
      <c r="W28" s="690" t="s">
        <v>169</v>
      </c>
      <c r="X28" s="690" t="s">
        <v>169</v>
      </c>
      <c r="Y28" s="690" t="s">
        <v>169</v>
      </c>
      <c r="Z28" s="690" t="s">
        <v>169</v>
      </c>
    </row>
    <row r="29" spans="1:26" ht="17.25" customHeight="1" x14ac:dyDescent="0.25">
      <c r="A29" s="693" t="s">
        <v>423</v>
      </c>
      <c r="B29" s="786" t="s">
        <v>424</v>
      </c>
      <c r="C29" s="690">
        <v>3047</v>
      </c>
      <c r="D29" s="690">
        <v>3212</v>
      </c>
      <c r="E29" s="690">
        <v>3106</v>
      </c>
      <c r="F29" s="690">
        <v>2902</v>
      </c>
      <c r="G29" s="690">
        <v>2664</v>
      </c>
      <c r="H29" s="690">
        <v>2996</v>
      </c>
      <c r="I29" s="690">
        <v>2732</v>
      </c>
      <c r="J29" s="690">
        <v>2594</v>
      </c>
      <c r="K29" s="690">
        <v>3107</v>
      </c>
      <c r="L29" s="690">
        <v>3003</v>
      </c>
      <c r="M29" s="690">
        <v>3481</v>
      </c>
      <c r="N29" s="690">
        <v>3306</v>
      </c>
      <c r="O29" s="690">
        <v>3438</v>
      </c>
      <c r="P29" s="690">
        <v>3358</v>
      </c>
      <c r="Q29" s="690">
        <v>3025</v>
      </c>
      <c r="R29" s="690">
        <v>2841</v>
      </c>
      <c r="S29" s="690">
        <v>2780</v>
      </c>
      <c r="T29" s="690">
        <v>2931</v>
      </c>
      <c r="U29" s="690">
        <v>2616</v>
      </c>
      <c r="V29" s="690">
        <v>2542</v>
      </c>
      <c r="W29" s="690">
        <v>2911</v>
      </c>
      <c r="X29" s="690">
        <v>2910</v>
      </c>
      <c r="Y29" s="690">
        <v>3201</v>
      </c>
      <c r="Z29" s="690">
        <v>3378</v>
      </c>
    </row>
    <row r="30" spans="1:26" ht="17.25" customHeight="1" x14ac:dyDescent="0.25">
      <c r="A30" s="693" t="s">
        <v>425</v>
      </c>
      <c r="B30" s="783" t="s">
        <v>426</v>
      </c>
      <c r="C30" s="690">
        <v>190</v>
      </c>
      <c r="D30" s="690">
        <v>179</v>
      </c>
      <c r="E30" s="690">
        <v>181</v>
      </c>
      <c r="F30" s="690">
        <v>267</v>
      </c>
      <c r="G30" s="690">
        <v>245</v>
      </c>
      <c r="H30" s="690">
        <v>185</v>
      </c>
      <c r="I30" s="690">
        <v>212</v>
      </c>
      <c r="J30" s="690">
        <v>216</v>
      </c>
      <c r="K30" s="690">
        <v>263</v>
      </c>
      <c r="L30" s="690">
        <v>290</v>
      </c>
      <c r="M30" s="690">
        <v>316</v>
      </c>
      <c r="N30" s="690">
        <v>337</v>
      </c>
      <c r="O30" s="690">
        <v>320</v>
      </c>
      <c r="P30" s="690">
        <v>315</v>
      </c>
      <c r="Q30" s="690">
        <v>308</v>
      </c>
      <c r="R30" s="690">
        <v>366</v>
      </c>
      <c r="S30" s="690">
        <v>385</v>
      </c>
      <c r="T30" s="690">
        <v>306</v>
      </c>
      <c r="U30" s="690">
        <v>298</v>
      </c>
      <c r="V30" s="690">
        <v>264</v>
      </c>
      <c r="W30" s="690">
        <v>334</v>
      </c>
      <c r="X30" s="690">
        <v>294</v>
      </c>
      <c r="Y30" s="690">
        <v>321</v>
      </c>
      <c r="Z30" s="690">
        <v>286</v>
      </c>
    </row>
    <row r="31" spans="1:26" ht="17.25" customHeight="1" x14ac:dyDescent="0.25">
      <c r="A31" s="693">
        <v>6</v>
      </c>
      <c r="B31" s="786" t="s">
        <v>427</v>
      </c>
      <c r="C31" s="690" t="s">
        <v>169</v>
      </c>
      <c r="D31" s="690" t="s">
        <v>169</v>
      </c>
      <c r="E31" s="690" t="s">
        <v>169</v>
      </c>
      <c r="F31" s="690" t="s">
        <v>169</v>
      </c>
      <c r="G31" s="690" t="s">
        <v>169</v>
      </c>
      <c r="H31" s="690" t="s">
        <v>169</v>
      </c>
      <c r="I31" s="690" t="s">
        <v>169</v>
      </c>
      <c r="J31" s="690" t="s">
        <v>169</v>
      </c>
      <c r="K31" s="690" t="s">
        <v>169</v>
      </c>
      <c r="L31" s="690" t="s">
        <v>169</v>
      </c>
      <c r="M31" s="690" t="s">
        <v>169</v>
      </c>
      <c r="N31" s="690" t="s">
        <v>169</v>
      </c>
      <c r="O31" s="690" t="s">
        <v>169</v>
      </c>
      <c r="P31" s="690" t="s">
        <v>169</v>
      </c>
      <c r="Q31" s="690" t="s">
        <v>169</v>
      </c>
      <c r="R31" s="690" t="s">
        <v>169</v>
      </c>
      <c r="S31" s="690" t="s">
        <v>169</v>
      </c>
      <c r="T31" s="690" t="s">
        <v>169</v>
      </c>
      <c r="U31" s="690" t="s">
        <v>169</v>
      </c>
      <c r="V31" s="690" t="s">
        <v>169</v>
      </c>
      <c r="W31" s="690" t="s">
        <v>169</v>
      </c>
      <c r="X31" s="690" t="s">
        <v>169</v>
      </c>
      <c r="Y31" s="690" t="s">
        <v>169</v>
      </c>
      <c r="Z31" s="690" t="s">
        <v>169</v>
      </c>
    </row>
    <row r="32" spans="1:26" ht="17.25" customHeight="1" x14ac:dyDescent="0.25">
      <c r="A32" s="693">
        <v>7</v>
      </c>
      <c r="B32" s="786" t="s">
        <v>428</v>
      </c>
      <c r="C32" s="690" t="s">
        <v>169</v>
      </c>
      <c r="D32" s="690" t="s">
        <v>169</v>
      </c>
      <c r="E32" s="690" t="s">
        <v>169</v>
      </c>
      <c r="F32" s="690" t="s">
        <v>169</v>
      </c>
      <c r="G32" s="690" t="s">
        <v>169</v>
      </c>
      <c r="H32" s="690" t="s">
        <v>169</v>
      </c>
      <c r="I32" s="690" t="s">
        <v>169</v>
      </c>
      <c r="J32" s="690" t="s">
        <v>169</v>
      </c>
      <c r="K32" s="690" t="s">
        <v>169</v>
      </c>
      <c r="L32" s="690" t="s">
        <v>169</v>
      </c>
      <c r="M32" s="690" t="s">
        <v>169</v>
      </c>
      <c r="N32" s="690" t="s">
        <v>169</v>
      </c>
      <c r="O32" s="690" t="s">
        <v>169</v>
      </c>
      <c r="P32" s="690" t="s">
        <v>169</v>
      </c>
      <c r="Q32" s="690" t="s">
        <v>169</v>
      </c>
      <c r="R32" s="690" t="s">
        <v>169</v>
      </c>
      <c r="S32" s="690" t="s">
        <v>169</v>
      </c>
      <c r="T32" s="690" t="s">
        <v>169</v>
      </c>
      <c r="U32" s="690" t="s">
        <v>169</v>
      </c>
      <c r="V32" s="690" t="s">
        <v>169</v>
      </c>
      <c r="W32" s="690" t="s">
        <v>169</v>
      </c>
      <c r="X32" s="690" t="s">
        <v>169</v>
      </c>
      <c r="Y32" s="690" t="s">
        <v>169</v>
      </c>
      <c r="Z32" s="690" t="s">
        <v>169</v>
      </c>
    </row>
    <row r="33" spans="1:26" ht="17.25" customHeight="1" x14ac:dyDescent="0.25">
      <c r="A33" s="693" t="s">
        <v>429</v>
      </c>
      <c r="B33" s="786" t="s">
        <v>430</v>
      </c>
      <c r="C33" s="690" t="s">
        <v>169</v>
      </c>
      <c r="D33" s="690" t="s">
        <v>169</v>
      </c>
      <c r="E33" s="690" t="s">
        <v>169</v>
      </c>
      <c r="F33" s="690" t="s">
        <v>169</v>
      </c>
      <c r="G33" s="690" t="s">
        <v>169</v>
      </c>
      <c r="H33" s="690" t="s">
        <v>169</v>
      </c>
      <c r="I33" s="690" t="s">
        <v>169</v>
      </c>
      <c r="J33" s="690" t="s">
        <v>169</v>
      </c>
      <c r="K33" s="690" t="s">
        <v>169</v>
      </c>
      <c r="L33" s="690" t="s">
        <v>169</v>
      </c>
      <c r="M33" s="690" t="s">
        <v>169</v>
      </c>
      <c r="N33" s="690" t="s">
        <v>169</v>
      </c>
      <c r="O33" s="690" t="s">
        <v>169</v>
      </c>
      <c r="P33" s="690" t="s">
        <v>169</v>
      </c>
      <c r="Q33" s="690" t="s">
        <v>169</v>
      </c>
      <c r="R33" s="690" t="s">
        <v>169</v>
      </c>
      <c r="S33" s="690" t="s">
        <v>169</v>
      </c>
      <c r="T33" s="690" t="s">
        <v>169</v>
      </c>
      <c r="U33" s="690" t="s">
        <v>169</v>
      </c>
      <c r="V33" s="690" t="s">
        <v>169</v>
      </c>
      <c r="W33" s="690" t="s">
        <v>169</v>
      </c>
      <c r="X33" s="690" t="s">
        <v>169</v>
      </c>
      <c r="Y33" s="690" t="s">
        <v>169</v>
      </c>
      <c r="Z33" s="690" t="s">
        <v>169</v>
      </c>
    </row>
    <row r="34" spans="1:26" ht="17.25" customHeight="1" x14ac:dyDescent="0.25">
      <c r="A34" s="693" t="s">
        <v>431</v>
      </c>
      <c r="B34" s="786" t="s">
        <v>432</v>
      </c>
      <c r="C34" s="690" t="s">
        <v>169</v>
      </c>
      <c r="D34" s="690" t="s">
        <v>169</v>
      </c>
      <c r="E34" s="690" t="s">
        <v>169</v>
      </c>
      <c r="F34" s="690" t="s">
        <v>169</v>
      </c>
      <c r="G34" s="690" t="s">
        <v>169</v>
      </c>
      <c r="H34" s="690" t="s">
        <v>169</v>
      </c>
      <c r="I34" s="690" t="s">
        <v>169</v>
      </c>
      <c r="J34" s="690" t="s">
        <v>169</v>
      </c>
      <c r="K34" s="690" t="s">
        <v>169</v>
      </c>
      <c r="L34" s="690" t="s">
        <v>169</v>
      </c>
      <c r="M34" s="690" t="s">
        <v>169</v>
      </c>
      <c r="N34" s="690" t="s">
        <v>169</v>
      </c>
      <c r="O34" s="690" t="s">
        <v>169</v>
      </c>
      <c r="P34" s="690" t="s">
        <v>169</v>
      </c>
      <c r="Q34" s="690" t="s">
        <v>169</v>
      </c>
      <c r="R34" s="690" t="s">
        <v>169</v>
      </c>
      <c r="S34" s="690" t="s">
        <v>169</v>
      </c>
      <c r="T34" s="690" t="s">
        <v>169</v>
      </c>
      <c r="U34" s="690" t="s">
        <v>169</v>
      </c>
      <c r="V34" s="690" t="s">
        <v>169</v>
      </c>
      <c r="W34" s="690" t="s">
        <v>169</v>
      </c>
      <c r="X34" s="690" t="s">
        <v>169</v>
      </c>
      <c r="Y34" s="690" t="s">
        <v>169</v>
      </c>
      <c r="Z34" s="690" t="s">
        <v>169</v>
      </c>
    </row>
    <row r="35" spans="1:26" ht="17.25" customHeight="1" x14ac:dyDescent="0.25">
      <c r="A35" s="693">
        <v>4.7</v>
      </c>
      <c r="B35" s="783" t="s">
        <v>433</v>
      </c>
      <c r="C35" s="690">
        <v>9</v>
      </c>
      <c r="D35" s="690">
        <v>12</v>
      </c>
      <c r="E35" s="690">
        <v>7</v>
      </c>
      <c r="F35" s="690">
        <v>6</v>
      </c>
      <c r="G35" s="690">
        <v>3</v>
      </c>
      <c r="H35" s="690">
        <v>9</v>
      </c>
      <c r="I35" s="690">
        <v>10</v>
      </c>
      <c r="J35" s="690">
        <v>8</v>
      </c>
      <c r="K35" s="690">
        <v>6</v>
      </c>
      <c r="L35" s="690">
        <v>6</v>
      </c>
      <c r="M35" s="690">
        <v>7</v>
      </c>
      <c r="N35" s="690">
        <v>8</v>
      </c>
      <c r="O35" s="690">
        <v>13</v>
      </c>
      <c r="P35" s="690">
        <v>10</v>
      </c>
      <c r="Q35" s="690">
        <v>13</v>
      </c>
      <c r="R35" s="690">
        <v>7</v>
      </c>
      <c r="S35" s="690">
        <v>2</v>
      </c>
      <c r="T35" s="690">
        <v>8</v>
      </c>
      <c r="U35" s="690">
        <v>7</v>
      </c>
      <c r="V35" s="690">
        <v>3</v>
      </c>
      <c r="W35" s="690">
        <v>7</v>
      </c>
      <c r="X35" s="690">
        <v>1</v>
      </c>
      <c r="Y35" s="690">
        <v>4</v>
      </c>
      <c r="Z35" s="690">
        <v>7</v>
      </c>
    </row>
    <row r="36" spans="1:26" ht="17.25" customHeight="1" x14ac:dyDescent="0.25">
      <c r="A36" s="693" t="s">
        <v>434</v>
      </c>
      <c r="B36" s="786" t="s">
        <v>435</v>
      </c>
      <c r="C36" s="690" t="s">
        <v>169</v>
      </c>
      <c r="D36" s="690" t="s">
        <v>169</v>
      </c>
      <c r="E36" s="690" t="s">
        <v>169</v>
      </c>
      <c r="F36" s="690" t="s">
        <v>169</v>
      </c>
      <c r="G36" s="690" t="s">
        <v>169</v>
      </c>
      <c r="H36" s="690" t="s">
        <v>169</v>
      </c>
      <c r="I36" s="690" t="s">
        <v>169</v>
      </c>
      <c r="J36" s="690" t="s">
        <v>169</v>
      </c>
      <c r="K36" s="690" t="s">
        <v>169</v>
      </c>
      <c r="L36" s="690" t="s">
        <v>169</v>
      </c>
      <c r="M36" s="690" t="s">
        <v>169</v>
      </c>
      <c r="N36" s="690" t="s">
        <v>169</v>
      </c>
      <c r="O36" s="690" t="s">
        <v>169</v>
      </c>
      <c r="P36" s="690" t="s">
        <v>169</v>
      </c>
      <c r="Q36" s="690" t="s">
        <v>169</v>
      </c>
      <c r="R36" s="690" t="s">
        <v>169</v>
      </c>
      <c r="S36" s="690" t="s">
        <v>169</v>
      </c>
      <c r="T36" s="690" t="s">
        <v>169</v>
      </c>
      <c r="U36" s="690" t="s">
        <v>169</v>
      </c>
      <c r="V36" s="690" t="s">
        <v>169</v>
      </c>
      <c r="W36" s="690" t="s">
        <v>169</v>
      </c>
      <c r="X36" s="690" t="s">
        <v>169</v>
      </c>
      <c r="Y36" s="690" t="s">
        <v>169</v>
      </c>
      <c r="Z36" s="690" t="s">
        <v>169</v>
      </c>
    </row>
    <row r="37" spans="1:26" ht="17.25" customHeight="1" x14ac:dyDescent="0.25">
      <c r="A37" s="693" t="s">
        <v>436</v>
      </c>
      <c r="B37" s="786" t="s">
        <v>437</v>
      </c>
      <c r="C37" s="690" t="s">
        <v>169</v>
      </c>
      <c r="D37" s="690" t="s">
        <v>169</v>
      </c>
      <c r="E37" s="690" t="s">
        <v>169</v>
      </c>
      <c r="F37" s="690" t="s">
        <v>169</v>
      </c>
      <c r="G37" s="690" t="s">
        <v>169</v>
      </c>
      <c r="H37" s="690" t="s">
        <v>169</v>
      </c>
      <c r="I37" s="690" t="s">
        <v>169</v>
      </c>
      <c r="J37" s="690" t="s">
        <v>169</v>
      </c>
      <c r="K37" s="690" t="s">
        <v>169</v>
      </c>
      <c r="L37" s="690" t="s">
        <v>169</v>
      </c>
      <c r="M37" s="690" t="s">
        <v>169</v>
      </c>
      <c r="N37" s="690" t="s">
        <v>169</v>
      </c>
      <c r="O37" s="690" t="s">
        <v>169</v>
      </c>
      <c r="P37" s="690" t="s">
        <v>169</v>
      </c>
      <c r="Q37" s="690" t="s">
        <v>169</v>
      </c>
      <c r="R37" s="690" t="s">
        <v>169</v>
      </c>
      <c r="S37" s="690" t="s">
        <v>169</v>
      </c>
      <c r="T37" s="690" t="s">
        <v>169</v>
      </c>
      <c r="U37" s="690" t="s">
        <v>169</v>
      </c>
      <c r="V37" s="690" t="s">
        <v>169</v>
      </c>
      <c r="W37" s="690" t="s">
        <v>169</v>
      </c>
      <c r="X37" s="690" t="s">
        <v>169</v>
      </c>
      <c r="Y37" s="690" t="s">
        <v>169</v>
      </c>
      <c r="Z37" s="690" t="s">
        <v>169</v>
      </c>
    </row>
    <row r="38" spans="1:26" ht="17.25" customHeight="1" x14ac:dyDescent="0.25">
      <c r="A38" s="693" t="s">
        <v>438</v>
      </c>
      <c r="B38" s="786" t="s">
        <v>439</v>
      </c>
      <c r="C38" s="690" t="s">
        <v>169</v>
      </c>
      <c r="D38" s="690" t="s">
        <v>169</v>
      </c>
      <c r="E38" s="690" t="s">
        <v>169</v>
      </c>
      <c r="F38" s="690" t="s">
        <v>169</v>
      </c>
      <c r="G38" s="690" t="s">
        <v>169</v>
      </c>
      <c r="H38" s="690" t="s">
        <v>169</v>
      </c>
      <c r="I38" s="690" t="s">
        <v>169</v>
      </c>
      <c r="J38" s="690" t="s">
        <v>169</v>
      </c>
      <c r="K38" s="690" t="s">
        <v>169</v>
      </c>
      <c r="L38" s="690" t="s">
        <v>169</v>
      </c>
      <c r="M38" s="690" t="s">
        <v>169</v>
      </c>
      <c r="N38" s="690" t="s">
        <v>169</v>
      </c>
      <c r="O38" s="690" t="s">
        <v>169</v>
      </c>
      <c r="P38" s="690" t="s">
        <v>169</v>
      </c>
      <c r="Q38" s="690" t="s">
        <v>169</v>
      </c>
      <c r="R38" s="690" t="s">
        <v>169</v>
      </c>
      <c r="S38" s="690" t="s">
        <v>169</v>
      </c>
      <c r="T38" s="690" t="s">
        <v>169</v>
      </c>
      <c r="U38" s="690" t="s">
        <v>169</v>
      </c>
      <c r="V38" s="690" t="s">
        <v>169</v>
      </c>
      <c r="W38" s="690" t="s">
        <v>169</v>
      </c>
      <c r="X38" s="690" t="s">
        <v>169</v>
      </c>
      <c r="Y38" s="690" t="s">
        <v>169</v>
      </c>
      <c r="Z38" s="690" t="s">
        <v>169</v>
      </c>
    </row>
    <row r="39" spans="1:26" ht="17.25" customHeight="1" x14ac:dyDescent="0.25">
      <c r="A39" s="693" t="s">
        <v>440</v>
      </c>
      <c r="B39" s="786" t="s">
        <v>441</v>
      </c>
      <c r="C39" s="690" t="s">
        <v>169</v>
      </c>
      <c r="D39" s="690" t="s">
        <v>169</v>
      </c>
      <c r="E39" s="690" t="s">
        <v>169</v>
      </c>
      <c r="F39" s="690" t="s">
        <v>169</v>
      </c>
      <c r="G39" s="690" t="s">
        <v>169</v>
      </c>
      <c r="H39" s="690" t="s">
        <v>169</v>
      </c>
      <c r="I39" s="690" t="s">
        <v>169</v>
      </c>
      <c r="J39" s="690" t="s">
        <v>169</v>
      </c>
      <c r="K39" s="690" t="s">
        <v>169</v>
      </c>
      <c r="L39" s="690" t="s">
        <v>169</v>
      </c>
      <c r="M39" s="690" t="s">
        <v>169</v>
      </c>
      <c r="N39" s="690" t="s">
        <v>169</v>
      </c>
      <c r="O39" s="690" t="s">
        <v>169</v>
      </c>
      <c r="P39" s="690" t="s">
        <v>169</v>
      </c>
      <c r="Q39" s="690" t="s">
        <v>169</v>
      </c>
      <c r="R39" s="690" t="s">
        <v>169</v>
      </c>
      <c r="S39" s="690" t="s">
        <v>169</v>
      </c>
      <c r="T39" s="690" t="s">
        <v>169</v>
      </c>
      <c r="U39" s="690" t="s">
        <v>169</v>
      </c>
      <c r="V39" s="690" t="s">
        <v>169</v>
      </c>
      <c r="W39" s="690" t="s">
        <v>169</v>
      </c>
      <c r="X39" s="690" t="s">
        <v>169</v>
      </c>
      <c r="Y39" s="690" t="s">
        <v>169</v>
      </c>
      <c r="Z39" s="690" t="s">
        <v>169</v>
      </c>
    </row>
    <row r="40" spans="1:26" ht="17.25" customHeight="1" x14ac:dyDescent="0.25">
      <c r="A40" s="693" t="s">
        <v>442</v>
      </c>
      <c r="B40" s="786" t="s">
        <v>443</v>
      </c>
      <c r="C40" s="690" t="s">
        <v>169</v>
      </c>
      <c r="D40" s="690" t="s">
        <v>169</v>
      </c>
      <c r="E40" s="690" t="s">
        <v>169</v>
      </c>
      <c r="F40" s="690" t="s">
        <v>169</v>
      </c>
      <c r="G40" s="690" t="s">
        <v>169</v>
      </c>
      <c r="H40" s="690" t="s">
        <v>169</v>
      </c>
      <c r="I40" s="690" t="s">
        <v>169</v>
      </c>
      <c r="J40" s="690" t="s">
        <v>169</v>
      </c>
      <c r="K40" s="690" t="s">
        <v>169</v>
      </c>
      <c r="L40" s="690" t="s">
        <v>169</v>
      </c>
      <c r="M40" s="690" t="s">
        <v>169</v>
      </c>
      <c r="N40" s="690" t="s">
        <v>169</v>
      </c>
      <c r="O40" s="690" t="s">
        <v>169</v>
      </c>
      <c r="P40" s="690" t="s">
        <v>169</v>
      </c>
      <c r="Q40" s="690" t="s">
        <v>169</v>
      </c>
      <c r="R40" s="690" t="s">
        <v>169</v>
      </c>
      <c r="S40" s="690" t="s">
        <v>169</v>
      </c>
      <c r="T40" s="690" t="s">
        <v>169</v>
      </c>
      <c r="U40" s="690" t="s">
        <v>169</v>
      </c>
      <c r="V40" s="690" t="s">
        <v>169</v>
      </c>
      <c r="W40" s="690" t="s">
        <v>169</v>
      </c>
      <c r="X40" s="690" t="s">
        <v>169</v>
      </c>
      <c r="Y40" s="690" t="s">
        <v>169</v>
      </c>
      <c r="Z40" s="690" t="s">
        <v>169</v>
      </c>
    </row>
    <row r="41" spans="1:26" ht="17.25" customHeight="1" x14ac:dyDescent="0.25">
      <c r="A41" s="693" t="s">
        <v>444</v>
      </c>
      <c r="B41" s="786" t="s">
        <v>445</v>
      </c>
      <c r="C41" s="690">
        <v>44289</v>
      </c>
      <c r="D41" s="690">
        <v>41971</v>
      </c>
      <c r="E41" s="690">
        <v>43861</v>
      </c>
      <c r="F41" s="690">
        <v>41802</v>
      </c>
      <c r="G41" s="690">
        <v>38034</v>
      </c>
      <c r="H41" s="690">
        <v>40628</v>
      </c>
      <c r="I41" s="690">
        <v>37722</v>
      </c>
      <c r="J41" s="690">
        <v>36278</v>
      </c>
      <c r="K41" s="690">
        <v>39543</v>
      </c>
      <c r="L41" s="690">
        <v>37747</v>
      </c>
      <c r="M41" s="690">
        <v>43139</v>
      </c>
      <c r="N41" s="690">
        <v>42136</v>
      </c>
      <c r="O41" s="690">
        <v>42938</v>
      </c>
      <c r="P41" s="690">
        <v>40157</v>
      </c>
      <c r="Q41" s="690">
        <v>38201</v>
      </c>
      <c r="R41" s="690">
        <v>37843</v>
      </c>
      <c r="S41" s="690">
        <v>36020</v>
      </c>
      <c r="T41" s="690">
        <v>37537</v>
      </c>
      <c r="U41" s="690">
        <v>33927</v>
      </c>
      <c r="V41" s="690">
        <v>32060</v>
      </c>
      <c r="W41" s="690">
        <v>38492</v>
      </c>
      <c r="X41" s="690">
        <v>36593</v>
      </c>
      <c r="Y41" s="690">
        <v>40754</v>
      </c>
      <c r="Z41" s="690">
        <v>41257</v>
      </c>
    </row>
    <row r="42" spans="1:26" ht="17.25" customHeight="1" x14ac:dyDescent="0.25">
      <c r="A42" s="693" t="s">
        <v>446</v>
      </c>
      <c r="B42" s="786" t="s">
        <v>447</v>
      </c>
      <c r="C42" s="690">
        <v>347</v>
      </c>
      <c r="D42" s="690">
        <v>316</v>
      </c>
      <c r="E42" s="690">
        <v>320</v>
      </c>
      <c r="F42" s="690">
        <v>317</v>
      </c>
      <c r="G42" s="690">
        <v>296</v>
      </c>
      <c r="H42" s="690">
        <v>306</v>
      </c>
      <c r="I42" s="690">
        <v>243</v>
      </c>
      <c r="J42" s="690">
        <v>272</v>
      </c>
      <c r="K42" s="690">
        <v>304</v>
      </c>
      <c r="L42" s="690">
        <v>262</v>
      </c>
      <c r="M42" s="690">
        <v>367</v>
      </c>
      <c r="N42" s="690">
        <v>333</v>
      </c>
      <c r="O42" s="690">
        <v>384</v>
      </c>
      <c r="P42" s="690">
        <v>413</v>
      </c>
      <c r="Q42" s="690">
        <v>305</v>
      </c>
      <c r="R42" s="690">
        <v>292</v>
      </c>
      <c r="S42" s="690">
        <v>271</v>
      </c>
      <c r="T42" s="690">
        <v>249</v>
      </c>
      <c r="U42" s="690">
        <v>244</v>
      </c>
      <c r="V42" s="690">
        <v>224</v>
      </c>
      <c r="W42" s="690">
        <v>298</v>
      </c>
      <c r="X42" s="690">
        <v>278</v>
      </c>
      <c r="Y42" s="690">
        <v>305</v>
      </c>
      <c r="Z42" s="690">
        <v>323</v>
      </c>
    </row>
    <row r="43" spans="1:26" ht="17.25" customHeight="1" x14ac:dyDescent="0.25">
      <c r="A43" s="693" t="s">
        <v>448</v>
      </c>
      <c r="B43" s="786" t="s">
        <v>449</v>
      </c>
      <c r="C43" s="690">
        <v>1031</v>
      </c>
      <c r="D43" s="690">
        <v>1079</v>
      </c>
      <c r="E43" s="690">
        <v>959</v>
      </c>
      <c r="F43" s="690">
        <v>1018</v>
      </c>
      <c r="G43" s="690">
        <v>850</v>
      </c>
      <c r="H43" s="690">
        <v>1029</v>
      </c>
      <c r="I43" s="690">
        <v>833</v>
      </c>
      <c r="J43" s="690">
        <v>899</v>
      </c>
      <c r="K43" s="690">
        <v>991</v>
      </c>
      <c r="L43" s="690">
        <v>931</v>
      </c>
      <c r="M43" s="690">
        <v>1070</v>
      </c>
      <c r="N43" s="690">
        <v>964</v>
      </c>
      <c r="O43" s="690">
        <v>988</v>
      </c>
      <c r="P43" s="690">
        <v>1194</v>
      </c>
      <c r="Q43" s="690">
        <v>881</v>
      </c>
      <c r="R43" s="690">
        <v>870</v>
      </c>
      <c r="S43" s="690">
        <v>821</v>
      </c>
      <c r="T43" s="690">
        <v>894</v>
      </c>
      <c r="U43" s="690">
        <v>794</v>
      </c>
      <c r="V43" s="690">
        <v>739</v>
      </c>
      <c r="W43" s="690">
        <v>823</v>
      </c>
      <c r="X43" s="690">
        <v>876</v>
      </c>
      <c r="Y43" s="690">
        <v>891</v>
      </c>
      <c r="Z43" s="690">
        <v>914</v>
      </c>
    </row>
    <row r="44" spans="1:26" ht="17.25" customHeight="1" x14ac:dyDescent="0.25">
      <c r="A44" s="693" t="s">
        <v>450</v>
      </c>
      <c r="B44" s="786" t="s">
        <v>451</v>
      </c>
      <c r="C44" s="690">
        <v>354</v>
      </c>
      <c r="D44" s="690">
        <v>359</v>
      </c>
      <c r="E44" s="690">
        <v>300</v>
      </c>
      <c r="F44" s="690">
        <v>339</v>
      </c>
      <c r="G44" s="690">
        <v>355</v>
      </c>
      <c r="H44" s="690">
        <v>361</v>
      </c>
      <c r="I44" s="690">
        <v>318</v>
      </c>
      <c r="J44" s="690">
        <v>331</v>
      </c>
      <c r="K44" s="690">
        <v>344</v>
      </c>
      <c r="L44" s="690">
        <v>315</v>
      </c>
      <c r="M44" s="690">
        <v>387</v>
      </c>
      <c r="N44" s="690">
        <v>342</v>
      </c>
      <c r="O44" s="690">
        <v>416</v>
      </c>
      <c r="P44" s="690">
        <v>435</v>
      </c>
      <c r="Q44" s="690">
        <v>372</v>
      </c>
      <c r="R44" s="690">
        <v>344</v>
      </c>
      <c r="S44" s="690">
        <v>374</v>
      </c>
      <c r="T44" s="690">
        <v>361</v>
      </c>
      <c r="U44" s="690">
        <v>368</v>
      </c>
      <c r="V44" s="690">
        <v>331</v>
      </c>
      <c r="W44" s="690">
        <v>369</v>
      </c>
      <c r="X44" s="690">
        <v>348</v>
      </c>
      <c r="Y44" s="690">
        <v>366</v>
      </c>
      <c r="Z44" s="690">
        <v>342</v>
      </c>
    </row>
    <row r="45" spans="1:26" ht="17.25" customHeight="1" x14ac:dyDescent="0.25">
      <c r="A45" s="236"/>
      <c r="B45" s="776" t="s">
        <v>266</v>
      </c>
      <c r="C45" s="230">
        <v>49347</v>
      </c>
      <c r="D45" s="230">
        <v>47194</v>
      </c>
      <c r="E45" s="230">
        <v>48788</v>
      </c>
      <c r="F45" s="230">
        <v>46711</v>
      </c>
      <c r="G45" s="230">
        <v>42506</v>
      </c>
      <c r="H45" s="230">
        <v>45607</v>
      </c>
      <c r="I45" s="230">
        <v>42149</v>
      </c>
      <c r="J45" s="230">
        <v>40687</v>
      </c>
      <c r="K45" s="230">
        <v>44632</v>
      </c>
      <c r="L45" s="230">
        <v>42616</v>
      </c>
      <c r="M45" s="230">
        <v>48865</v>
      </c>
      <c r="N45" s="230">
        <v>47503</v>
      </c>
      <c r="O45" s="230">
        <v>48574</v>
      </c>
      <c r="P45" s="230">
        <v>45992</v>
      </c>
      <c r="Q45" s="230">
        <v>43167</v>
      </c>
      <c r="R45" s="230">
        <v>42657</v>
      </c>
      <c r="S45" s="230">
        <v>40743</v>
      </c>
      <c r="T45" s="230">
        <v>42359</v>
      </c>
      <c r="U45" s="230">
        <v>38313</v>
      </c>
      <c r="V45" s="230">
        <v>36231</v>
      </c>
      <c r="W45" s="230">
        <v>43314</v>
      </c>
      <c r="X45" s="230">
        <v>41367</v>
      </c>
      <c r="Y45" s="230">
        <v>45934</v>
      </c>
      <c r="Z45" s="230">
        <v>46588</v>
      </c>
    </row>
    <row r="46" spans="1:26" ht="30.75" customHeight="1" x14ac:dyDescent="0.25">
      <c r="A46" s="693">
        <v>3</v>
      </c>
      <c r="B46" s="786" t="s">
        <v>452</v>
      </c>
      <c r="C46" s="690" t="s">
        <v>169</v>
      </c>
      <c r="D46" s="690" t="s">
        <v>169</v>
      </c>
      <c r="E46" s="690" t="s">
        <v>169</v>
      </c>
      <c r="F46" s="690" t="s">
        <v>169</v>
      </c>
      <c r="G46" s="690" t="s">
        <v>169</v>
      </c>
      <c r="H46" s="690" t="s">
        <v>169</v>
      </c>
      <c r="I46" s="690" t="s">
        <v>169</v>
      </c>
      <c r="J46" s="690" t="s">
        <v>169</v>
      </c>
      <c r="K46" s="690" t="s">
        <v>169</v>
      </c>
      <c r="L46" s="690" t="s">
        <v>169</v>
      </c>
      <c r="M46" s="690" t="s">
        <v>169</v>
      </c>
      <c r="N46" s="690" t="s">
        <v>169</v>
      </c>
      <c r="O46" s="690" t="s">
        <v>169</v>
      </c>
      <c r="P46" s="690" t="s">
        <v>169</v>
      </c>
      <c r="Q46" s="690" t="s">
        <v>169</v>
      </c>
      <c r="R46" s="690" t="s">
        <v>169</v>
      </c>
      <c r="S46" s="690" t="s">
        <v>169</v>
      </c>
      <c r="T46" s="690" t="s">
        <v>169</v>
      </c>
      <c r="U46" s="690" t="s">
        <v>169</v>
      </c>
      <c r="V46" s="690" t="s">
        <v>169</v>
      </c>
      <c r="W46" s="690" t="s">
        <v>169</v>
      </c>
      <c r="X46" s="690" t="s">
        <v>169</v>
      </c>
      <c r="Y46" s="690" t="s">
        <v>169</v>
      </c>
      <c r="Z46" s="690" t="s">
        <v>169</v>
      </c>
    </row>
    <row r="47" spans="1:26" ht="16.5" customHeight="1" x14ac:dyDescent="0.25">
      <c r="A47" s="693" t="s">
        <v>453</v>
      </c>
      <c r="B47" s="786" t="s">
        <v>454</v>
      </c>
      <c r="C47" s="690">
        <v>7</v>
      </c>
      <c r="D47" s="690">
        <v>5</v>
      </c>
      <c r="E47" s="690">
        <v>12</v>
      </c>
      <c r="F47" s="690">
        <v>10</v>
      </c>
      <c r="G47" s="690">
        <v>10</v>
      </c>
      <c r="H47" s="690">
        <v>6</v>
      </c>
      <c r="I47" s="690">
        <v>13</v>
      </c>
      <c r="J47" s="690">
        <v>7</v>
      </c>
      <c r="K47" s="690">
        <v>11</v>
      </c>
      <c r="L47" s="690">
        <v>5</v>
      </c>
      <c r="M47" s="690">
        <v>7</v>
      </c>
      <c r="N47" s="690">
        <v>5</v>
      </c>
      <c r="O47" s="690">
        <v>9</v>
      </c>
      <c r="P47" s="690">
        <v>16</v>
      </c>
      <c r="Q47" s="690">
        <v>9</v>
      </c>
      <c r="R47" s="690">
        <v>8</v>
      </c>
      <c r="S47" s="690">
        <v>8</v>
      </c>
      <c r="T47" s="690">
        <v>6</v>
      </c>
      <c r="U47" s="690">
        <v>5</v>
      </c>
      <c r="V47" s="690">
        <v>5</v>
      </c>
      <c r="W47" s="690">
        <v>8</v>
      </c>
      <c r="X47" s="690">
        <v>7</v>
      </c>
      <c r="Y47" s="690">
        <v>5</v>
      </c>
      <c r="Z47" s="690">
        <v>8</v>
      </c>
    </row>
    <row r="48" spans="1:26" ht="16.5" customHeight="1" x14ac:dyDescent="0.25">
      <c r="A48" s="693" t="s">
        <v>455</v>
      </c>
      <c r="B48" s="786" t="s">
        <v>456</v>
      </c>
      <c r="C48" s="690">
        <v>4264</v>
      </c>
      <c r="D48" s="690">
        <v>4055</v>
      </c>
      <c r="E48" s="690">
        <v>4171</v>
      </c>
      <c r="F48" s="690">
        <v>4153</v>
      </c>
      <c r="G48" s="690">
        <v>3917</v>
      </c>
      <c r="H48" s="690">
        <v>3916</v>
      </c>
      <c r="I48" s="690">
        <v>3864</v>
      </c>
      <c r="J48" s="690">
        <v>3817</v>
      </c>
      <c r="K48" s="690">
        <v>3881</v>
      </c>
      <c r="L48" s="690">
        <v>3946</v>
      </c>
      <c r="M48" s="690">
        <v>4385</v>
      </c>
      <c r="N48" s="690">
        <v>4207</v>
      </c>
      <c r="O48" s="690">
        <v>4647</v>
      </c>
      <c r="P48" s="690">
        <v>4374</v>
      </c>
      <c r="Q48" s="690">
        <v>4281</v>
      </c>
      <c r="R48" s="690">
        <v>4258</v>
      </c>
      <c r="S48" s="690">
        <v>4085</v>
      </c>
      <c r="T48" s="690">
        <v>4195</v>
      </c>
      <c r="U48" s="690">
        <v>4039</v>
      </c>
      <c r="V48" s="690">
        <v>3907</v>
      </c>
      <c r="W48" s="690">
        <v>4527</v>
      </c>
      <c r="X48" s="690">
        <v>4480</v>
      </c>
      <c r="Y48" s="690">
        <v>4739</v>
      </c>
      <c r="Z48" s="690">
        <v>4972</v>
      </c>
    </row>
    <row r="49" spans="1:26" ht="16.5" customHeight="1" x14ac:dyDescent="0.25">
      <c r="A49" s="693">
        <v>11</v>
      </c>
      <c r="B49" s="783" t="s">
        <v>457</v>
      </c>
      <c r="C49" s="690" t="s">
        <v>169</v>
      </c>
      <c r="D49" s="690" t="s">
        <v>169</v>
      </c>
      <c r="E49" s="690" t="s">
        <v>169</v>
      </c>
      <c r="F49" s="690" t="s">
        <v>169</v>
      </c>
      <c r="G49" s="690" t="s">
        <v>169</v>
      </c>
      <c r="H49" s="690" t="s">
        <v>169</v>
      </c>
      <c r="I49" s="690" t="s">
        <v>169</v>
      </c>
      <c r="J49" s="690" t="s">
        <v>169</v>
      </c>
      <c r="K49" s="690" t="s">
        <v>169</v>
      </c>
      <c r="L49" s="690" t="s">
        <v>169</v>
      </c>
      <c r="M49" s="690" t="s">
        <v>169</v>
      </c>
      <c r="N49" s="690" t="s">
        <v>169</v>
      </c>
      <c r="O49" s="690" t="s">
        <v>169</v>
      </c>
      <c r="P49" s="690" t="s">
        <v>169</v>
      </c>
      <c r="Q49" s="690" t="s">
        <v>169</v>
      </c>
      <c r="R49" s="690" t="s">
        <v>169</v>
      </c>
      <c r="S49" s="690" t="s">
        <v>169</v>
      </c>
      <c r="T49" s="690" t="s">
        <v>169</v>
      </c>
      <c r="U49" s="690" t="s">
        <v>169</v>
      </c>
      <c r="V49" s="690" t="s">
        <v>169</v>
      </c>
      <c r="W49" s="690" t="s">
        <v>169</v>
      </c>
      <c r="X49" s="690" t="s">
        <v>169</v>
      </c>
      <c r="Y49" s="690" t="s">
        <v>169</v>
      </c>
      <c r="Z49" s="690" t="s">
        <v>169</v>
      </c>
    </row>
    <row r="50" spans="1:26" ht="16.5" customHeight="1" x14ac:dyDescent="0.25">
      <c r="A50" s="693" t="s">
        <v>458</v>
      </c>
      <c r="B50" s="783" t="s">
        <v>459</v>
      </c>
      <c r="C50" s="690">
        <v>3012</v>
      </c>
      <c r="D50" s="690">
        <v>2386</v>
      </c>
      <c r="E50" s="690">
        <v>3009</v>
      </c>
      <c r="F50" s="690">
        <v>3021</v>
      </c>
      <c r="G50" s="690">
        <v>3227</v>
      </c>
      <c r="H50" s="690">
        <v>2960</v>
      </c>
      <c r="I50" s="690">
        <v>3332</v>
      </c>
      <c r="J50" s="690">
        <v>3201</v>
      </c>
      <c r="K50" s="690">
        <v>3496</v>
      </c>
      <c r="L50" s="690">
        <v>3030</v>
      </c>
      <c r="M50" s="690">
        <v>3587</v>
      </c>
      <c r="N50" s="690">
        <v>3327</v>
      </c>
      <c r="O50" s="690">
        <v>3550</v>
      </c>
      <c r="P50" s="690">
        <v>2661</v>
      </c>
      <c r="Q50" s="690">
        <v>3203</v>
      </c>
      <c r="R50" s="690">
        <v>3536</v>
      </c>
      <c r="S50" s="690">
        <v>3396</v>
      </c>
      <c r="T50" s="690">
        <v>3172</v>
      </c>
      <c r="U50" s="690">
        <v>3431</v>
      </c>
      <c r="V50" s="690">
        <v>3140</v>
      </c>
      <c r="W50" s="690">
        <v>3702</v>
      </c>
      <c r="X50" s="690">
        <v>3197</v>
      </c>
      <c r="Y50" s="690">
        <v>3368</v>
      </c>
      <c r="Z50" s="690">
        <v>3742</v>
      </c>
    </row>
    <row r="51" spans="1:26" ht="16.5" customHeight="1" x14ac:dyDescent="0.25">
      <c r="A51" s="693">
        <v>12</v>
      </c>
      <c r="B51" s="783" t="s">
        <v>460</v>
      </c>
      <c r="C51" s="690" t="s">
        <v>169</v>
      </c>
      <c r="D51" s="690" t="s">
        <v>169</v>
      </c>
      <c r="E51" s="690" t="s">
        <v>169</v>
      </c>
      <c r="F51" s="690" t="s">
        <v>169</v>
      </c>
      <c r="G51" s="690" t="s">
        <v>169</v>
      </c>
      <c r="H51" s="690" t="s">
        <v>169</v>
      </c>
      <c r="I51" s="690" t="s">
        <v>169</v>
      </c>
      <c r="J51" s="690" t="s">
        <v>169</v>
      </c>
      <c r="K51" s="690" t="s">
        <v>169</v>
      </c>
      <c r="L51" s="690" t="s">
        <v>169</v>
      </c>
      <c r="M51" s="690" t="s">
        <v>169</v>
      </c>
      <c r="N51" s="690" t="s">
        <v>169</v>
      </c>
      <c r="O51" s="690" t="s">
        <v>169</v>
      </c>
      <c r="P51" s="690" t="s">
        <v>169</v>
      </c>
      <c r="Q51" s="690" t="s">
        <v>169</v>
      </c>
      <c r="R51" s="690" t="s">
        <v>169</v>
      </c>
      <c r="S51" s="690" t="s">
        <v>169</v>
      </c>
      <c r="T51" s="690" t="s">
        <v>169</v>
      </c>
      <c r="U51" s="690" t="s">
        <v>169</v>
      </c>
      <c r="V51" s="690" t="s">
        <v>169</v>
      </c>
      <c r="W51" s="690" t="s">
        <v>169</v>
      </c>
      <c r="X51" s="690" t="s">
        <v>169</v>
      </c>
      <c r="Y51" s="690" t="s">
        <v>169</v>
      </c>
      <c r="Z51" s="690" t="s">
        <v>169</v>
      </c>
    </row>
    <row r="52" spans="1:26" ht="16.5" customHeight="1" x14ac:dyDescent="0.25">
      <c r="A52" s="693">
        <v>13</v>
      </c>
      <c r="B52" s="783" t="s">
        <v>461</v>
      </c>
      <c r="C52" s="690">
        <v>104</v>
      </c>
      <c r="D52" s="690">
        <v>120</v>
      </c>
      <c r="E52" s="690">
        <v>115</v>
      </c>
      <c r="F52" s="690">
        <v>100</v>
      </c>
      <c r="G52" s="690">
        <v>82</v>
      </c>
      <c r="H52" s="690">
        <v>80</v>
      </c>
      <c r="I52" s="690">
        <v>67</v>
      </c>
      <c r="J52" s="690">
        <v>78</v>
      </c>
      <c r="K52" s="690">
        <v>90</v>
      </c>
      <c r="L52" s="690">
        <v>80</v>
      </c>
      <c r="M52" s="690">
        <v>90</v>
      </c>
      <c r="N52" s="690">
        <v>105</v>
      </c>
      <c r="O52" s="690">
        <v>116</v>
      </c>
      <c r="P52" s="690">
        <v>88</v>
      </c>
      <c r="Q52" s="690">
        <v>113</v>
      </c>
      <c r="R52" s="690">
        <v>93</v>
      </c>
      <c r="S52" s="690">
        <v>97</v>
      </c>
      <c r="T52" s="690">
        <v>96</v>
      </c>
      <c r="U52" s="690">
        <v>67</v>
      </c>
      <c r="V52" s="690">
        <v>77</v>
      </c>
      <c r="W52" s="690">
        <v>90</v>
      </c>
      <c r="X52" s="690">
        <v>104</v>
      </c>
      <c r="Y52" s="690">
        <v>93</v>
      </c>
      <c r="Z52" s="690">
        <v>117</v>
      </c>
    </row>
    <row r="53" spans="1:26" ht="16.5" customHeight="1" x14ac:dyDescent="0.25">
      <c r="A53" s="693">
        <v>14</v>
      </c>
      <c r="B53" s="783" t="s">
        <v>462</v>
      </c>
      <c r="C53" s="690">
        <v>1</v>
      </c>
      <c r="D53" s="690">
        <v>3</v>
      </c>
      <c r="E53" s="690">
        <v>1</v>
      </c>
      <c r="F53" s="690">
        <v>0</v>
      </c>
      <c r="G53" s="690">
        <v>1</v>
      </c>
      <c r="H53" s="690">
        <v>0</v>
      </c>
      <c r="I53" s="690">
        <v>3</v>
      </c>
      <c r="J53" s="690">
        <v>3</v>
      </c>
      <c r="K53" s="690">
        <v>3</v>
      </c>
      <c r="L53" s="690">
        <v>2</v>
      </c>
      <c r="M53" s="690">
        <v>0</v>
      </c>
      <c r="N53" s="690">
        <v>2</v>
      </c>
      <c r="O53" s="690">
        <v>2</v>
      </c>
      <c r="P53" s="690">
        <v>2</v>
      </c>
      <c r="Q53" s="690">
        <v>1</v>
      </c>
      <c r="R53" s="690">
        <v>0</v>
      </c>
      <c r="S53" s="690">
        <v>2</v>
      </c>
      <c r="T53" s="690">
        <v>2</v>
      </c>
      <c r="U53" s="690">
        <v>2</v>
      </c>
      <c r="V53" s="690">
        <v>0</v>
      </c>
      <c r="W53" s="690">
        <v>1</v>
      </c>
      <c r="X53" s="690">
        <v>1</v>
      </c>
      <c r="Y53" s="690">
        <v>5</v>
      </c>
      <c r="Z53" s="690">
        <v>2</v>
      </c>
    </row>
    <row r="54" spans="1:26" ht="16.5" customHeight="1" x14ac:dyDescent="0.25">
      <c r="A54" s="693">
        <v>36</v>
      </c>
      <c r="B54" s="777" t="s">
        <v>463</v>
      </c>
      <c r="C54" s="690">
        <v>640</v>
      </c>
      <c r="D54" s="690">
        <v>581</v>
      </c>
      <c r="E54" s="690">
        <v>574</v>
      </c>
      <c r="F54" s="690">
        <v>609</v>
      </c>
      <c r="G54" s="690">
        <v>581</v>
      </c>
      <c r="H54" s="690">
        <v>621</v>
      </c>
      <c r="I54" s="690">
        <v>609</v>
      </c>
      <c r="J54" s="690">
        <v>577</v>
      </c>
      <c r="K54" s="690">
        <v>599</v>
      </c>
      <c r="L54" s="690">
        <v>597</v>
      </c>
      <c r="M54" s="690">
        <v>603</v>
      </c>
      <c r="N54" s="690">
        <v>620</v>
      </c>
      <c r="O54" s="690">
        <v>656</v>
      </c>
      <c r="P54" s="690">
        <v>644</v>
      </c>
      <c r="Q54" s="690">
        <v>615</v>
      </c>
      <c r="R54" s="690">
        <v>624</v>
      </c>
      <c r="S54" s="690">
        <v>643</v>
      </c>
      <c r="T54" s="690">
        <v>670</v>
      </c>
      <c r="U54" s="690">
        <v>680</v>
      </c>
      <c r="V54" s="690">
        <v>622</v>
      </c>
      <c r="W54" s="690">
        <v>694</v>
      </c>
      <c r="X54" s="690">
        <v>645</v>
      </c>
      <c r="Y54" s="690">
        <v>748</v>
      </c>
      <c r="Z54" s="690">
        <v>712</v>
      </c>
    </row>
    <row r="55" spans="1:26" ht="16.5" customHeight="1" x14ac:dyDescent="0.25">
      <c r="A55" s="693">
        <v>104</v>
      </c>
      <c r="B55" s="783" t="s">
        <v>464</v>
      </c>
      <c r="C55" s="690">
        <v>2943</v>
      </c>
      <c r="D55" s="690">
        <v>3053</v>
      </c>
      <c r="E55" s="690">
        <v>2841</v>
      </c>
      <c r="F55" s="690">
        <v>2995</v>
      </c>
      <c r="G55" s="690">
        <v>2800</v>
      </c>
      <c r="H55" s="690">
        <v>3236</v>
      </c>
      <c r="I55" s="690">
        <v>2725</v>
      </c>
      <c r="J55" s="690">
        <v>2741</v>
      </c>
      <c r="K55" s="690">
        <v>2940</v>
      </c>
      <c r="L55" s="690">
        <v>2861</v>
      </c>
      <c r="M55" s="690">
        <v>3279</v>
      </c>
      <c r="N55" s="690">
        <v>3203</v>
      </c>
      <c r="O55" s="690">
        <v>3182</v>
      </c>
      <c r="P55" s="690">
        <v>3400</v>
      </c>
      <c r="Q55" s="690">
        <v>3012</v>
      </c>
      <c r="R55" s="690">
        <v>2942</v>
      </c>
      <c r="S55" s="690">
        <v>2958</v>
      </c>
      <c r="T55" s="690">
        <v>3153</v>
      </c>
      <c r="U55" s="690">
        <v>2814</v>
      </c>
      <c r="V55" s="690">
        <v>2713</v>
      </c>
      <c r="W55" s="690">
        <v>2996</v>
      </c>
      <c r="X55" s="690">
        <v>2990</v>
      </c>
      <c r="Y55" s="690">
        <v>3158</v>
      </c>
      <c r="Z55" s="690">
        <v>3221</v>
      </c>
    </row>
    <row r="56" spans="1:26" ht="16.5" customHeight="1" x14ac:dyDescent="0.25">
      <c r="A56" s="693" t="s">
        <v>465</v>
      </c>
      <c r="B56" s="783" t="s">
        <v>466</v>
      </c>
      <c r="C56" s="690">
        <v>58684</v>
      </c>
      <c r="D56" s="690">
        <v>55294</v>
      </c>
      <c r="E56" s="690">
        <v>56962</v>
      </c>
      <c r="F56" s="690">
        <v>56476</v>
      </c>
      <c r="G56" s="690">
        <v>53308</v>
      </c>
      <c r="H56" s="690">
        <v>55345</v>
      </c>
      <c r="I56" s="690">
        <v>52027</v>
      </c>
      <c r="J56" s="690">
        <v>50271</v>
      </c>
      <c r="K56" s="690">
        <v>55752</v>
      </c>
      <c r="L56" s="690">
        <v>53059</v>
      </c>
      <c r="M56" s="690">
        <v>59167</v>
      </c>
      <c r="N56" s="690">
        <v>57803</v>
      </c>
      <c r="O56" s="690">
        <v>59902</v>
      </c>
      <c r="P56" s="690">
        <v>56405</v>
      </c>
      <c r="Q56" s="690">
        <v>53450</v>
      </c>
      <c r="R56" s="690">
        <v>55794</v>
      </c>
      <c r="S56" s="690">
        <v>53524</v>
      </c>
      <c r="T56" s="690">
        <v>54839</v>
      </c>
      <c r="U56" s="690">
        <v>51654</v>
      </c>
      <c r="V56" s="690">
        <v>47584</v>
      </c>
      <c r="W56" s="690">
        <v>56866</v>
      </c>
      <c r="X56" s="690">
        <v>54414</v>
      </c>
      <c r="Y56" s="690">
        <v>57521</v>
      </c>
      <c r="Z56" s="690">
        <v>59527</v>
      </c>
    </row>
    <row r="57" spans="1:26" ht="16.5" customHeight="1" x14ac:dyDescent="0.25">
      <c r="A57" s="693" t="s">
        <v>467</v>
      </c>
      <c r="B57" s="783" t="s">
        <v>468</v>
      </c>
      <c r="C57" s="690">
        <v>902</v>
      </c>
      <c r="D57" s="690">
        <v>811</v>
      </c>
      <c r="E57" s="690">
        <v>813</v>
      </c>
      <c r="F57" s="690">
        <v>865</v>
      </c>
      <c r="G57" s="690">
        <v>863</v>
      </c>
      <c r="H57" s="690">
        <v>833</v>
      </c>
      <c r="I57" s="690">
        <v>790</v>
      </c>
      <c r="J57" s="690">
        <v>766</v>
      </c>
      <c r="K57" s="690">
        <v>890</v>
      </c>
      <c r="L57" s="690">
        <v>794</v>
      </c>
      <c r="M57" s="690">
        <v>1029</v>
      </c>
      <c r="N57" s="690">
        <v>1009</v>
      </c>
      <c r="O57" s="690">
        <v>1008</v>
      </c>
      <c r="P57" s="690">
        <v>1288</v>
      </c>
      <c r="Q57" s="690">
        <v>985</v>
      </c>
      <c r="R57" s="690">
        <v>950</v>
      </c>
      <c r="S57" s="690">
        <v>835</v>
      </c>
      <c r="T57" s="690">
        <v>855</v>
      </c>
      <c r="U57" s="690">
        <v>843</v>
      </c>
      <c r="V57" s="690">
        <v>777</v>
      </c>
      <c r="W57" s="690">
        <v>989</v>
      </c>
      <c r="X57" s="690">
        <v>928</v>
      </c>
      <c r="Y57" s="690">
        <v>1078</v>
      </c>
      <c r="Z57" s="690">
        <v>1148</v>
      </c>
    </row>
    <row r="58" spans="1:26" ht="16.5" customHeight="1" x14ac:dyDescent="0.25">
      <c r="A58" s="693">
        <v>106</v>
      </c>
      <c r="B58" s="783" t="s">
        <v>469</v>
      </c>
      <c r="C58" s="690">
        <v>659</v>
      </c>
      <c r="D58" s="690">
        <v>656</v>
      </c>
      <c r="E58" s="690">
        <v>643</v>
      </c>
      <c r="F58" s="690">
        <v>782</v>
      </c>
      <c r="G58" s="690">
        <v>654</v>
      </c>
      <c r="H58" s="690">
        <v>599</v>
      </c>
      <c r="I58" s="690">
        <v>801</v>
      </c>
      <c r="J58" s="690">
        <v>701</v>
      </c>
      <c r="K58" s="690">
        <v>675</v>
      </c>
      <c r="L58" s="690">
        <v>723</v>
      </c>
      <c r="M58" s="690">
        <v>842</v>
      </c>
      <c r="N58" s="690">
        <v>730</v>
      </c>
      <c r="O58" s="690">
        <v>840</v>
      </c>
      <c r="P58" s="690">
        <v>614</v>
      </c>
      <c r="Q58" s="690">
        <v>726</v>
      </c>
      <c r="R58" s="690">
        <v>744</v>
      </c>
      <c r="S58" s="690">
        <v>781</v>
      </c>
      <c r="T58" s="690">
        <v>731</v>
      </c>
      <c r="U58" s="690">
        <v>856</v>
      </c>
      <c r="V58" s="690">
        <v>653</v>
      </c>
      <c r="W58" s="690">
        <v>762</v>
      </c>
      <c r="X58" s="690">
        <v>972</v>
      </c>
      <c r="Y58" s="690">
        <v>1077</v>
      </c>
      <c r="Z58" s="690">
        <v>1009</v>
      </c>
    </row>
    <row r="59" spans="1:26" ht="18" customHeight="1" x14ac:dyDescent="0.25">
      <c r="A59" s="236"/>
      <c r="B59" s="776" t="s">
        <v>269</v>
      </c>
      <c r="C59" s="230">
        <v>71216</v>
      </c>
      <c r="D59" s="230">
        <v>66964</v>
      </c>
      <c r="E59" s="230">
        <v>69141</v>
      </c>
      <c r="F59" s="230">
        <v>69011</v>
      </c>
      <c r="G59" s="230">
        <v>65443</v>
      </c>
      <c r="H59" s="230">
        <v>67596</v>
      </c>
      <c r="I59" s="230">
        <v>64231</v>
      </c>
      <c r="J59" s="230">
        <v>62162</v>
      </c>
      <c r="K59" s="230">
        <v>68337</v>
      </c>
      <c r="L59" s="230">
        <v>65097</v>
      </c>
      <c r="M59" s="230">
        <v>72989</v>
      </c>
      <c r="N59" s="230">
        <v>71011</v>
      </c>
      <c r="O59" s="230">
        <v>73912</v>
      </c>
      <c r="P59" s="230">
        <v>69492</v>
      </c>
      <c r="Q59" s="230">
        <v>66395</v>
      </c>
      <c r="R59" s="230">
        <v>68949</v>
      </c>
      <c r="S59" s="230">
        <v>66329</v>
      </c>
      <c r="T59" s="230">
        <v>67719</v>
      </c>
      <c r="U59" s="230">
        <v>64391</v>
      </c>
      <c r="V59" s="230">
        <v>59478</v>
      </c>
      <c r="W59" s="230">
        <v>70635</v>
      </c>
      <c r="X59" s="230">
        <v>67738</v>
      </c>
      <c r="Y59" s="230">
        <v>71792</v>
      </c>
      <c r="Z59" s="230">
        <v>74458</v>
      </c>
    </row>
    <row r="60" spans="1:26" ht="27.75" customHeight="1" x14ac:dyDescent="0.25">
      <c r="A60" s="693" t="s">
        <v>470</v>
      </c>
      <c r="B60" s="783" t="s">
        <v>471</v>
      </c>
      <c r="C60" s="690">
        <v>25162</v>
      </c>
      <c r="D60" s="690">
        <v>24009</v>
      </c>
      <c r="E60" s="690">
        <v>25349</v>
      </c>
      <c r="F60" s="690">
        <v>24928</v>
      </c>
      <c r="G60" s="690">
        <v>23081</v>
      </c>
      <c r="H60" s="690">
        <v>20679</v>
      </c>
      <c r="I60" s="690">
        <v>23103</v>
      </c>
      <c r="J60" s="690">
        <v>23264</v>
      </c>
      <c r="K60" s="690">
        <v>25256</v>
      </c>
      <c r="L60" s="690">
        <v>24736</v>
      </c>
      <c r="M60" s="690">
        <v>27069</v>
      </c>
      <c r="N60" s="690">
        <v>25902</v>
      </c>
      <c r="O60" s="690">
        <v>27164</v>
      </c>
      <c r="P60" s="690">
        <v>25573</v>
      </c>
      <c r="Q60" s="690">
        <v>25165</v>
      </c>
      <c r="R60" s="690">
        <v>25734</v>
      </c>
      <c r="S60" s="690">
        <v>24603</v>
      </c>
      <c r="T60" s="690">
        <v>22452</v>
      </c>
      <c r="U60" s="690">
        <v>24517</v>
      </c>
      <c r="V60" s="690">
        <v>23476</v>
      </c>
      <c r="W60" s="690">
        <v>27867</v>
      </c>
      <c r="X60" s="690">
        <v>26673</v>
      </c>
      <c r="Y60" s="690">
        <v>28303</v>
      </c>
      <c r="Z60" s="690">
        <v>28646</v>
      </c>
    </row>
    <row r="61" spans="1:26" ht="16.350000000000001" customHeight="1" x14ac:dyDescent="0.25">
      <c r="A61" s="693" t="s">
        <v>472</v>
      </c>
      <c r="B61" s="783" t="s">
        <v>473</v>
      </c>
      <c r="C61" s="690">
        <v>790</v>
      </c>
      <c r="D61" s="690">
        <v>717</v>
      </c>
      <c r="E61" s="690">
        <v>741</v>
      </c>
      <c r="F61" s="690">
        <v>822</v>
      </c>
      <c r="G61" s="690">
        <v>629</v>
      </c>
      <c r="H61" s="690">
        <v>660</v>
      </c>
      <c r="I61" s="690">
        <v>679</v>
      </c>
      <c r="J61" s="690">
        <v>722</v>
      </c>
      <c r="K61" s="690">
        <v>746</v>
      </c>
      <c r="L61" s="690">
        <v>796</v>
      </c>
      <c r="M61" s="690">
        <v>877</v>
      </c>
      <c r="N61" s="690">
        <v>872</v>
      </c>
      <c r="O61" s="690">
        <v>906</v>
      </c>
      <c r="P61" s="690">
        <v>996</v>
      </c>
      <c r="Q61" s="690">
        <v>819</v>
      </c>
      <c r="R61" s="690">
        <v>818</v>
      </c>
      <c r="S61" s="690">
        <v>765</v>
      </c>
      <c r="T61" s="690">
        <v>604</v>
      </c>
      <c r="U61" s="690">
        <v>787</v>
      </c>
      <c r="V61" s="690">
        <v>716</v>
      </c>
      <c r="W61" s="690">
        <v>882</v>
      </c>
      <c r="X61" s="690">
        <v>841</v>
      </c>
      <c r="Y61" s="690">
        <v>921</v>
      </c>
      <c r="Z61" s="690">
        <v>954</v>
      </c>
    </row>
    <row r="62" spans="1:26" ht="16.350000000000001" customHeight="1" x14ac:dyDescent="0.25">
      <c r="A62" s="693" t="s">
        <v>474</v>
      </c>
      <c r="B62" s="783" t="s">
        <v>475</v>
      </c>
      <c r="C62" s="690">
        <v>11154</v>
      </c>
      <c r="D62" s="690">
        <v>10863</v>
      </c>
      <c r="E62" s="690">
        <v>10739</v>
      </c>
      <c r="F62" s="690">
        <v>11018</v>
      </c>
      <c r="G62" s="690">
        <v>10387</v>
      </c>
      <c r="H62" s="690">
        <v>10312</v>
      </c>
      <c r="I62" s="690">
        <v>11207</v>
      </c>
      <c r="J62" s="690">
        <v>10600</v>
      </c>
      <c r="K62" s="690">
        <v>11237</v>
      </c>
      <c r="L62" s="690">
        <v>11177</v>
      </c>
      <c r="M62" s="690">
        <v>11674</v>
      </c>
      <c r="N62" s="690">
        <v>10802</v>
      </c>
      <c r="O62" s="690">
        <v>11561</v>
      </c>
      <c r="P62" s="690">
        <v>11102</v>
      </c>
      <c r="Q62" s="690">
        <v>11205</v>
      </c>
      <c r="R62" s="690">
        <v>11269</v>
      </c>
      <c r="S62" s="690">
        <v>11111</v>
      </c>
      <c r="T62" s="690">
        <v>11221</v>
      </c>
      <c r="U62" s="690">
        <v>11582</v>
      </c>
      <c r="V62" s="690">
        <v>11022</v>
      </c>
      <c r="W62" s="690">
        <v>11958</v>
      </c>
      <c r="X62" s="690">
        <v>11244</v>
      </c>
      <c r="Y62" s="690">
        <v>12152</v>
      </c>
      <c r="Z62" s="690">
        <v>12432</v>
      </c>
    </row>
    <row r="63" spans="1:26" ht="18.75" customHeight="1" x14ac:dyDescent="0.25">
      <c r="A63" s="693" t="s">
        <v>476</v>
      </c>
      <c r="B63" s="783" t="s">
        <v>477</v>
      </c>
      <c r="C63" s="690">
        <v>13505</v>
      </c>
      <c r="D63" s="690">
        <v>12710</v>
      </c>
      <c r="E63" s="690">
        <v>12754</v>
      </c>
      <c r="F63" s="690">
        <v>13596</v>
      </c>
      <c r="G63" s="690">
        <v>13202</v>
      </c>
      <c r="H63" s="690">
        <v>12173</v>
      </c>
      <c r="I63" s="690">
        <v>13285</v>
      </c>
      <c r="J63" s="690">
        <v>11484</v>
      </c>
      <c r="K63" s="690">
        <v>11028</v>
      </c>
      <c r="L63" s="690">
        <v>9381</v>
      </c>
      <c r="M63" s="690">
        <v>9209</v>
      </c>
      <c r="N63" s="690">
        <v>8571</v>
      </c>
      <c r="O63" s="690">
        <v>8475</v>
      </c>
      <c r="P63" s="690">
        <v>8224</v>
      </c>
      <c r="Q63" s="690">
        <v>7862</v>
      </c>
      <c r="R63" s="690">
        <v>7881</v>
      </c>
      <c r="S63" s="690">
        <v>7677</v>
      </c>
      <c r="T63" s="690">
        <v>7491</v>
      </c>
      <c r="U63" s="690">
        <v>8080</v>
      </c>
      <c r="V63" s="690">
        <v>7697</v>
      </c>
      <c r="W63" s="690">
        <v>8186</v>
      </c>
      <c r="X63" s="690">
        <v>7428</v>
      </c>
      <c r="Y63" s="690">
        <v>8218</v>
      </c>
      <c r="Z63" s="690">
        <v>8118</v>
      </c>
    </row>
    <row r="64" spans="1:26" ht="18" customHeight="1" x14ac:dyDescent="0.25">
      <c r="A64" s="693" t="s">
        <v>478</v>
      </c>
      <c r="B64" s="783" t="s">
        <v>479</v>
      </c>
      <c r="C64" s="690">
        <v>3790</v>
      </c>
      <c r="D64" s="690">
        <v>3591</v>
      </c>
      <c r="E64" s="690">
        <v>3736</v>
      </c>
      <c r="F64" s="690">
        <v>3864</v>
      </c>
      <c r="G64" s="690">
        <v>3785</v>
      </c>
      <c r="H64" s="690">
        <v>3627</v>
      </c>
      <c r="I64" s="690">
        <v>3761</v>
      </c>
      <c r="J64" s="690">
        <v>3627</v>
      </c>
      <c r="K64" s="690">
        <v>3987</v>
      </c>
      <c r="L64" s="690">
        <v>4026</v>
      </c>
      <c r="M64" s="690">
        <v>4214</v>
      </c>
      <c r="N64" s="690">
        <v>3890</v>
      </c>
      <c r="O64" s="690">
        <v>4288</v>
      </c>
      <c r="P64" s="690">
        <v>4126</v>
      </c>
      <c r="Q64" s="690">
        <v>4138</v>
      </c>
      <c r="R64" s="690">
        <v>4211</v>
      </c>
      <c r="S64" s="690">
        <v>4355</v>
      </c>
      <c r="T64" s="690">
        <v>4344</v>
      </c>
      <c r="U64" s="690">
        <v>4485</v>
      </c>
      <c r="V64" s="690">
        <v>4133</v>
      </c>
      <c r="W64" s="690">
        <v>4465</v>
      </c>
      <c r="X64" s="690">
        <v>4352</v>
      </c>
      <c r="Y64" s="690">
        <v>4587</v>
      </c>
      <c r="Z64" s="690">
        <v>4866</v>
      </c>
    </row>
    <row r="65" spans="1:26" ht="16.5" customHeight="1" x14ac:dyDescent="0.25">
      <c r="A65" s="236"/>
      <c r="B65" s="776" t="s">
        <v>480</v>
      </c>
      <c r="C65" s="230">
        <v>54401</v>
      </c>
      <c r="D65" s="230">
        <v>51890</v>
      </c>
      <c r="E65" s="230">
        <v>53319</v>
      </c>
      <c r="F65" s="230">
        <v>54228</v>
      </c>
      <c r="G65" s="230">
        <v>51084</v>
      </c>
      <c r="H65" s="230">
        <v>47451</v>
      </c>
      <c r="I65" s="230">
        <v>52035</v>
      </c>
      <c r="J65" s="230">
        <v>49697</v>
      </c>
      <c r="K65" s="230">
        <v>52254</v>
      </c>
      <c r="L65" s="230">
        <v>50116</v>
      </c>
      <c r="M65" s="230">
        <v>53043</v>
      </c>
      <c r="N65" s="230">
        <v>50037</v>
      </c>
      <c r="O65" s="230">
        <v>52394</v>
      </c>
      <c r="P65" s="230">
        <v>50021</v>
      </c>
      <c r="Q65" s="230">
        <v>49189</v>
      </c>
      <c r="R65" s="230">
        <v>49913</v>
      </c>
      <c r="S65" s="230">
        <v>48511</v>
      </c>
      <c r="T65" s="230">
        <v>46112</v>
      </c>
      <c r="U65" s="230">
        <v>49451</v>
      </c>
      <c r="V65" s="230">
        <v>47044</v>
      </c>
      <c r="W65" s="230">
        <v>53358</v>
      </c>
      <c r="X65" s="230">
        <v>50538</v>
      </c>
      <c r="Y65" s="230">
        <v>54181</v>
      </c>
      <c r="Z65" s="230">
        <v>55016</v>
      </c>
    </row>
    <row r="66" spans="1:26" ht="29.25" customHeight="1" x14ac:dyDescent="0.25">
      <c r="A66" s="253"/>
      <c r="B66" s="778" t="s">
        <v>481</v>
      </c>
      <c r="C66" s="254">
        <v>175172</v>
      </c>
      <c r="D66" s="254">
        <v>166263</v>
      </c>
      <c r="E66" s="254">
        <v>171427</v>
      </c>
      <c r="F66" s="254">
        <v>170154</v>
      </c>
      <c r="G66" s="254">
        <v>159241</v>
      </c>
      <c r="H66" s="254">
        <v>160878</v>
      </c>
      <c r="I66" s="254">
        <v>158620</v>
      </c>
      <c r="J66" s="254">
        <v>152753</v>
      </c>
      <c r="K66" s="254">
        <v>165441</v>
      </c>
      <c r="L66" s="254">
        <v>158037</v>
      </c>
      <c r="M66" s="254">
        <v>175106</v>
      </c>
      <c r="N66" s="254">
        <v>168772</v>
      </c>
      <c r="O66" s="254">
        <v>175115</v>
      </c>
      <c r="P66" s="254">
        <v>165719</v>
      </c>
      <c r="Q66" s="254">
        <v>158973</v>
      </c>
      <c r="R66" s="254">
        <v>161747</v>
      </c>
      <c r="S66" s="254">
        <v>155801</v>
      </c>
      <c r="T66" s="254">
        <v>156418</v>
      </c>
      <c r="U66" s="254">
        <v>152370</v>
      </c>
      <c r="V66" s="254">
        <v>142932</v>
      </c>
      <c r="W66" s="254">
        <v>167543</v>
      </c>
      <c r="X66" s="254">
        <v>159824</v>
      </c>
      <c r="Y66" s="254">
        <v>172111</v>
      </c>
      <c r="Z66" s="254">
        <v>176275</v>
      </c>
    </row>
    <row r="67" spans="1:26" ht="27" customHeight="1" x14ac:dyDescent="0.25">
      <c r="A67" s="693" t="s">
        <v>482</v>
      </c>
      <c r="B67" s="783" t="s">
        <v>483</v>
      </c>
      <c r="C67" s="690" t="s">
        <v>169</v>
      </c>
      <c r="D67" s="690" t="s">
        <v>169</v>
      </c>
      <c r="E67" s="690" t="s">
        <v>169</v>
      </c>
      <c r="F67" s="690" t="s">
        <v>169</v>
      </c>
      <c r="G67" s="690" t="s">
        <v>169</v>
      </c>
      <c r="H67" s="690" t="s">
        <v>169</v>
      </c>
      <c r="I67" s="690" t="s">
        <v>169</v>
      </c>
      <c r="J67" s="690" t="s">
        <v>169</v>
      </c>
      <c r="K67" s="690" t="s">
        <v>169</v>
      </c>
      <c r="L67" s="690" t="s">
        <v>169</v>
      </c>
      <c r="M67" s="690" t="s">
        <v>169</v>
      </c>
      <c r="N67" s="690" t="s">
        <v>169</v>
      </c>
      <c r="O67" s="690" t="s">
        <v>169</v>
      </c>
      <c r="P67" s="690" t="s">
        <v>169</v>
      </c>
      <c r="Q67" s="690" t="s">
        <v>169</v>
      </c>
      <c r="R67" s="690" t="s">
        <v>169</v>
      </c>
      <c r="S67" s="690" t="s">
        <v>169</v>
      </c>
      <c r="T67" s="690" t="s">
        <v>169</v>
      </c>
      <c r="U67" s="690" t="s">
        <v>169</v>
      </c>
      <c r="V67" s="690" t="s">
        <v>169</v>
      </c>
      <c r="W67" s="690" t="s">
        <v>169</v>
      </c>
      <c r="X67" s="690" t="s">
        <v>169</v>
      </c>
      <c r="Y67" s="690" t="s">
        <v>169</v>
      </c>
      <c r="Z67" s="690" t="s">
        <v>169</v>
      </c>
    </row>
    <row r="68" spans="1:26" ht="17.25" customHeight="1" x14ac:dyDescent="0.25">
      <c r="A68" s="693" t="s">
        <v>484</v>
      </c>
      <c r="B68" s="783" t="s">
        <v>485</v>
      </c>
      <c r="C68" s="690">
        <v>3924</v>
      </c>
      <c r="D68" s="690">
        <v>3922</v>
      </c>
      <c r="E68" s="690">
        <v>3933</v>
      </c>
      <c r="F68" s="690">
        <v>3902</v>
      </c>
      <c r="G68" s="690">
        <v>3820</v>
      </c>
      <c r="H68" s="690">
        <v>3610</v>
      </c>
      <c r="I68" s="690">
        <v>3905</v>
      </c>
      <c r="J68" s="690">
        <v>3777</v>
      </c>
      <c r="K68" s="690">
        <v>3930</v>
      </c>
      <c r="L68" s="690">
        <v>3935</v>
      </c>
      <c r="M68" s="690">
        <v>4240</v>
      </c>
      <c r="N68" s="690">
        <v>3964</v>
      </c>
      <c r="O68" s="690">
        <v>4149</v>
      </c>
      <c r="P68" s="690">
        <v>3961</v>
      </c>
      <c r="Q68" s="690">
        <v>4126</v>
      </c>
      <c r="R68" s="690">
        <v>4373</v>
      </c>
      <c r="S68" s="690">
        <v>4048</v>
      </c>
      <c r="T68" s="690">
        <v>3992</v>
      </c>
      <c r="U68" s="690">
        <v>4214</v>
      </c>
      <c r="V68" s="690">
        <v>3926</v>
      </c>
      <c r="W68" s="690">
        <v>4070</v>
      </c>
      <c r="X68" s="690">
        <v>4174</v>
      </c>
      <c r="Y68" s="690">
        <v>4389</v>
      </c>
      <c r="Z68" s="690">
        <v>4463</v>
      </c>
    </row>
    <row r="69" spans="1:26" ht="17.25" customHeight="1" x14ac:dyDescent="0.25">
      <c r="A69" s="693" t="s">
        <v>486</v>
      </c>
      <c r="B69" s="783" t="s">
        <v>487</v>
      </c>
      <c r="C69" s="690">
        <v>650</v>
      </c>
      <c r="D69" s="690">
        <v>571</v>
      </c>
      <c r="E69" s="690">
        <v>814</v>
      </c>
      <c r="F69" s="690">
        <v>750</v>
      </c>
      <c r="G69" s="690">
        <v>797</v>
      </c>
      <c r="H69" s="690">
        <v>574</v>
      </c>
      <c r="I69" s="690">
        <v>702</v>
      </c>
      <c r="J69" s="690">
        <v>702</v>
      </c>
      <c r="K69" s="690">
        <v>776</v>
      </c>
      <c r="L69" s="690">
        <v>731</v>
      </c>
      <c r="M69" s="690">
        <v>801</v>
      </c>
      <c r="N69" s="690">
        <v>739</v>
      </c>
      <c r="O69" s="690">
        <v>752</v>
      </c>
      <c r="P69" s="690">
        <v>580</v>
      </c>
      <c r="Q69" s="690">
        <v>731</v>
      </c>
      <c r="R69" s="690">
        <v>761</v>
      </c>
      <c r="S69" s="690">
        <v>789</v>
      </c>
      <c r="T69" s="690">
        <v>629</v>
      </c>
      <c r="U69" s="690">
        <v>739</v>
      </c>
      <c r="V69" s="690">
        <v>665</v>
      </c>
      <c r="W69" s="690">
        <v>763</v>
      </c>
      <c r="X69" s="690">
        <v>716</v>
      </c>
      <c r="Y69" s="690">
        <v>756</v>
      </c>
      <c r="Z69" s="690">
        <v>791</v>
      </c>
    </row>
    <row r="70" spans="1:26" ht="17.25" customHeight="1" x14ac:dyDescent="0.25">
      <c r="A70" s="693" t="s">
        <v>488</v>
      </c>
      <c r="B70" s="783" t="s">
        <v>489</v>
      </c>
      <c r="C70" s="690">
        <v>473</v>
      </c>
      <c r="D70" s="690">
        <v>370</v>
      </c>
      <c r="E70" s="690">
        <v>431</v>
      </c>
      <c r="F70" s="690">
        <v>417</v>
      </c>
      <c r="G70" s="690">
        <v>427</v>
      </c>
      <c r="H70" s="690">
        <v>346</v>
      </c>
      <c r="I70" s="690">
        <v>444</v>
      </c>
      <c r="J70" s="690">
        <v>435</v>
      </c>
      <c r="K70" s="690">
        <v>524</v>
      </c>
      <c r="L70" s="690">
        <v>383</v>
      </c>
      <c r="M70" s="690">
        <v>494</v>
      </c>
      <c r="N70" s="690">
        <v>434</v>
      </c>
      <c r="O70" s="690">
        <v>392</v>
      </c>
      <c r="P70" s="690">
        <v>381</v>
      </c>
      <c r="Q70" s="690">
        <v>398</v>
      </c>
      <c r="R70" s="690">
        <v>422</v>
      </c>
      <c r="S70" s="690">
        <v>473</v>
      </c>
      <c r="T70" s="690">
        <v>416</v>
      </c>
      <c r="U70" s="690">
        <v>463</v>
      </c>
      <c r="V70" s="690">
        <v>385</v>
      </c>
      <c r="W70" s="690">
        <v>432</v>
      </c>
      <c r="X70" s="690">
        <v>423</v>
      </c>
      <c r="Y70" s="690">
        <v>479</v>
      </c>
      <c r="Z70" s="690">
        <v>451</v>
      </c>
    </row>
    <row r="71" spans="1:26" ht="17.25" customHeight="1" x14ac:dyDescent="0.25">
      <c r="A71" s="693" t="s">
        <v>490</v>
      </c>
      <c r="B71" s="783" t="s">
        <v>491</v>
      </c>
      <c r="C71" s="690">
        <v>118</v>
      </c>
      <c r="D71" s="690">
        <v>134</v>
      </c>
      <c r="E71" s="690">
        <v>165</v>
      </c>
      <c r="F71" s="690">
        <v>148</v>
      </c>
      <c r="G71" s="690">
        <v>134</v>
      </c>
      <c r="H71" s="690">
        <v>127</v>
      </c>
      <c r="I71" s="690">
        <v>162</v>
      </c>
      <c r="J71" s="690">
        <v>132</v>
      </c>
      <c r="K71" s="690">
        <v>150</v>
      </c>
      <c r="L71" s="690">
        <v>140</v>
      </c>
      <c r="M71" s="690">
        <v>161</v>
      </c>
      <c r="N71" s="690">
        <v>157</v>
      </c>
      <c r="O71" s="690">
        <v>171</v>
      </c>
      <c r="P71" s="690">
        <v>168</v>
      </c>
      <c r="Q71" s="690">
        <v>153</v>
      </c>
      <c r="R71" s="690">
        <v>170</v>
      </c>
      <c r="S71" s="690">
        <v>155</v>
      </c>
      <c r="T71" s="690">
        <v>170</v>
      </c>
      <c r="U71" s="690">
        <v>151</v>
      </c>
      <c r="V71" s="690">
        <v>171</v>
      </c>
      <c r="W71" s="690">
        <v>179</v>
      </c>
      <c r="X71" s="690">
        <v>186</v>
      </c>
      <c r="Y71" s="690">
        <v>189</v>
      </c>
      <c r="Z71" s="690">
        <v>240</v>
      </c>
    </row>
    <row r="72" spans="1:26" ht="17.25" customHeight="1" x14ac:dyDescent="0.25">
      <c r="A72" s="693" t="s">
        <v>492</v>
      </c>
      <c r="B72" s="783" t="s">
        <v>493</v>
      </c>
      <c r="C72" s="690" t="s">
        <v>169</v>
      </c>
      <c r="D72" s="690" t="s">
        <v>169</v>
      </c>
      <c r="E72" s="690" t="s">
        <v>169</v>
      </c>
      <c r="F72" s="690" t="s">
        <v>169</v>
      </c>
      <c r="G72" s="690" t="s">
        <v>169</v>
      </c>
      <c r="H72" s="690" t="s">
        <v>169</v>
      </c>
      <c r="I72" s="690" t="s">
        <v>169</v>
      </c>
      <c r="J72" s="690" t="s">
        <v>169</v>
      </c>
      <c r="K72" s="690" t="s">
        <v>169</v>
      </c>
      <c r="L72" s="690" t="s">
        <v>169</v>
      </c>
      <c r="M72" s="690" t="s">
        <v>169</v>
      </c>
      <c r="N72" s="690" t="s">
        <v>169</v>
      </c>
      <c r="O72" s="690" t="s">
        <v>169</v>
      </c>
      <c r="P72" s="690" t="s">
        <v>169</v>
      </c>
      <c r="Q72" s="690" t="s">
        <v>169</v>
      </c>
      <c r="R72" s="690" t="s">
        <v>169</v>
      </c>
      <c r="S72" s="690" t="s">
        <v>169</v>
      </c>
      <c r="T72" s="690" t="s">
        <v>169</v>
      </c>
      <c r="U72" s="690" t="s">
        <v>169</v>
      </c>
      <c r="V72" s="690" t="s">
        <v>169</v>
      </c>
      <c r="W72" s="690" t="s">
        <v>169</v>
      </c>
      <c r="X72" s="690" t="s">
        <v>169</v>
      </c>
      <c r="Y72" s="690" t="s">
        <v>169</v>
      </c>
      <c r="Z72" s="690" t="s">
        <v>169</v>
      </c>
    </row>
    <row r="73" spans="1:26" ht="17.25" customHeight="1" x14ac:dyDescent="0.25">
      <c r="A73" s="693" t="s">
        <v>494</v>
      </c>
      <c r="B73" s="783" t="s">
        <v>495</v>
      </c>
      <c r="C73" s="690">
        <v>291</v>
      </c>
      <c r="D73" s="690">
        <v>284</v>
      </c>
      <c r="E73" s="690">
        <v>278</v>
      </c>
      <c r="F73" s="690">
        <v>312</v>
      </c>
      <c r="G73" s="690">
        <v>271</v>
      </c>
      <c r="H73" s="690">
        <v>263</v>
      </c>
      <c r="I73" s="690">
        <v>295</v>
      </c>
      <c r="J73" s="690">
        <v>298</v>
      </c>
      <c r="K73" s="690">
        <v>299</v>
      </c>
      <c r="L73" s="690">
        <v>271</v>
      </c>
      <c r="M73" s="690">
        <v>285</v>
      </c>
      <c r="N73" s="690">
        <v>300</v>
      </c>
      <c r="O73" s="690">
        <v>336</v>
      </c>
      <c r="P73" s="690">
        <v>343</v>
      </c>
      <c r="Q73" s="690">
        <v>310</v>
      </c>
      <c r="R73" s="690">
        <v>320</v>
      </c>
      <c r="S73" s="690">
        <v>263</v>
      </c>
      <c r="T73" s="690">
        <v>313</v>
      </c>
      <c r="U73" s="690">
        <v>326</v>
      </c>
      <c r="V73" s="690">
        <v>310</v>
      </c>
      <c r="W73" s="690">
        <v>313</v>
      </c>
      <c r="X73" s="690">
        <v>302</v>
      </c>
      <c r="Y73" s="690">
        <v>350</v>
      </c>
      <c r="Z73" s="690">
        <v>367</v>
      </c>
    </row>
    <row r="74" spans="1:26" ht="17.25" customHeight="1" x14ac:dyDescent="0.25">
      <c r="A74" s="693" t="s">
        <v>496</v>
      </c>
      <c r="B74" s="783" t="s">
        <v>497</v>
      </c>
      <c r="C74" s="690">
        <v>73</v>
      </c>
      <c r="D74" s="690">
        <v>50</v>
      </c>
      <c r="E74" s="690">
        <v>58</v>
      </c>
      <c r="F74" s="690">
        <v>69</v>
      </c>
      <c r="G74" s="690">
        <v>97</v>
      </c>
      <c r="H74" s="690">
        <v>62</v>
      </c>
      <c r="I74" s="690">
        <v>43</v>
      </c>
      <c r="J74" s="690">
        <v>46</v>
      </c>
      <c r="K74" s="690">
        <v>79</v>
      </c>
      <c r="L74" s="690">
        <v>66</v>
      </c>
      <c r="M74" s="690">
        <v>79</v>
      </c>
      <c r="N74" s="690">
        <v>83</v>
      </c>
      <c r="O74" s="690">
        <v>60</v>
      </c>
      <c r="P74" s="690">
        <v>63</v>
      </c>
      <c r="Q74" s="690">
        <v>79</v>
      </c>
      <c r="R74" s="690">
        <v>72</v>
      </c>
      <c r="S74" s="690">
        <v>64</v>
      </c>
      <c r="T74" s="690">
        <v>59</v>
      </c>
      <c r="U74" s="690">
        <v>67</v>
      </c>
      <c r="V74" s="690">
        <v>73</v>
      </c>
      <c r="W74" s="690">
        <v>62</v>
      </c>
      <c r="X74" s="690">
        <v>68</v>
      </c>
      <c r="Y74" s="690">
        <v>93</v>
      </c>
      <c r="Z74" s="690">
        <v>84</v>
      </c>
    </row>
    <row r="75" spans="1:26" ht="17.25" customHeight="1" x14ac:dyDescent="0.25">
      <c r="A75" s="693" t="s">
        <v>498</v>
      </c>
      <c r="B75" s="783" t="s">
        <v>499</v>
      </c>
      <c r="C75" s="690">
        <v>180</v>
      </c>
      <c r="D75" s="690">
        <v>177</v>
      </c>
      <c r="E75" s="690">
        <v>163</v>
      </c>
      <c r="F75" s="690">
        <v>183</v>
      </c>
      <c r="G75" s="690">
        <v>200</v>
      </c>
      <c r="H75" s="690">
        <v>151</v>
      </c>
      <c r="I75" s="690">
        <v>173</v>
      </c>
      <c r="J75" s="690">
        <v>206</v>
      </c>
      <c r="K75" s="690">
        <v>167</v>
      </c>
      <c r="L75" s="690">
        <v>178</v>
      </c>
      <c r="M75" s="690">
        <v>191</v>
      </c>
      <c r="N75" s="690">
        <v>163</v>
      </c>
      <c r="O75" s="690">
        <v>170</v>
      </c>
      <c r="P75" s="690">
        <v>160</v>
      </c>
      <c r="Q75" s="690">
        <v>164</v>
      </c>
      <c r="R75" s="690">
        <v>201</v>
      </c>
      <c r="S75" s="690">
        <v>178</v>
      </c>
      <c r="T75" s="690">
        <v>161</v>
      </c>
      <c r="U75" s="690">
        <v>201</v>
      </c>
      <c r="V75" s="690">
        <v>158</v>
      </c>
      <c r="W75" s="690">
        <v>213</v>
      </c>
      <c r="X75" s="690">
        <v>148</v>
      </c>
      <c r="Y75" s="690">
        <v>210</v>
      </c>
      <c r="Z75" s="690">
        <v>181</v>
      </c>
    </row>
    <row r="76" spans="1:26" ht="17.25" customHeight="1" x14ac:dyDescent="0.25">
      <c r="A76" s="693" t="s">
        <v>500</v>
      </c>
      <c r="B76" s="783" t="s">
        <v>501</v>
      </c>
      <c r="C76" s="690">
        <v>13</v>
      </c>
      <c r="D76" s="690">
        <v>18</v>
      </c>
      <c r="E76" s="690">
        <v>25</v>
      </c>
      <c r="F76" s="690">
        <v>19</v>
      </c>
      <c r="G76" s="690">
        <v>20</v>
      </c>
      <c r="H76" s="690">
        <v>16</v>
      </c>
      <c r="I76" s="690">
        <v>15</v>
      </c>
      <c r="J76" s="690">
        <v>20</v>
      </c>
      <c r="K76" s="690">
        <v>16</v>
      </c>
      <c r="L76" s="690">
        <v>15</v>
      </c>
      <c r="M76" s="690">
        <v>18</v>
      </c>
      <c r="N76" s="690">
        <v>16</v>
      </c>
      <c r="O76" s="690">
        <v>24</v>
      </c>
      <c r="P76" s="690">
        <v>12</v>
      </c>
      <c r="Q76" s="690">
        <v>11</v>
      </c>
      <c r="R76" s="690">
        <v>13</v>
      </c>
      <c r="S76" s="690">
        <v>17</v>
      </c>
      <c r="T76" s="690">
        <v>16</v>
      </c>
      <c r="U76" s="690">
        <v>15</v>
      </c>
      <c r="V76" s="690">
        <v>15</v>
      </c>
      <c r="W76" s="690">
        <v>16</v>
      </c>
      <c r="X76" s="690">
        <v>15</v>
      </c>
      <c r="Y76" s="690">
        <v>19</v>
      </c>
      <c r="Z76" s="690">
        <v>14</v>
      </c>
    </row>
    <row r="77" spans="1:26" ht="18" customHeight="1" x14ac:dyDescent="0.25">
      <c r="A77" s="236"/>
      <c r="B77" s="776" t="s">
        <v>502</v>
      </c>
      <c r="C77" s="230">
        <v>5722</v>
      </c>
      <c r="D77" s="230">
        <v>5526</v>
      </c>
      <c r="E77" s="230">
        <v>5867</v>
      </c>
      <c r="F77" s="230">
        <v>5800</v>
      </c>
      <c r="G77" s="230">
        <v>5766</v>
      </c>
      <c r="H77" s="230">
        <v>5149</v>
      </c>
      <c r="I77" s="230">
        <v>5739</v>
      </c>
      <c r="J77" s="230">
        <v>5616</v>
      </c>
      <c r="K77" s="230">
        <v>5941</v>
      </c>
      <c r="L77" s="230">
        <v>5719</v>
      </c>
      <c r="M77" s="230">
        <v>6269</v>
      </c>
      <c r="N77" s="230">
        <v>5856</v>
      </c>
      <c r="O77" s="230">
        <v>6054</v>
      </c>
      <c r="P77" s="230">
        <v>5668</v>
      </c>
      <c r="Q77" s="230">
        <v>5972</v>
      </c>
      <c r="R77" s="230">
        <v>6332</v>
      </c>
      <c r="S77" s="230">
        <v>5987</v>
      </c>
      <c r="T77" s="230">
        <v>5756</v>
      </c>
      <c r="U77" s="230">
        <v>6176</v>
      </c>
      <c r="V77" s="230">
        <v>5703</v>
      </c>
      <c r="W77" s="230">
        <v>6048</v>
      </c>
      <c r="X77" s="230">
        <v>6032</v>
      </c>
      <c r="Y77" s="230">
        <v>6485</v>
      </c>
      <c r="Z77" s="230">
        <v>6591</v>
      </c>
    </row>
    <row r="78" spans="1:26" ht="30.75" customHeight="1" x14ac:dyDescent="0.25">
      <c r="A78" s="693">
        <v>16</v>
      </c>
      <c r="B78" s="783" t="s">
        <v>503</v>
      </c>
      <c r="C78" s="690" t="s">
        <v>169</v>
      </c>
      <c r="D78" s="690" t="s">
        <v>169</v>
      </c>
      <c r="E78" s="690" t="s">
        <v>169</v>
      </c>
      <c r="F78" s="690" t="s">
        <v>169</v>
      </c>
      <c r="G78" s="690" t="s">
        <v>169</v>
      </c>
      <c r="H78" s="690" t="s">
        <v>169</v>
      </c>
      <c r="I78" s="690" t="s">
        <v>169</v>
      </c>
      <c r="J78" s="690" t="s">
        <v>169</v>
      </c>
      <c r="K78" s="690" t="s">
        <v>169</v>
      </c>
      <c r="L78" s="690" t="s">
        <v>169</v>
      </c>
      <c r="M78" s="690" t="s">
        <v>169</v>
      </c>
      <c r="N78" s="690" t="s">
        <v>169</v>
      </c>
      <c r="O78" s="690" t="s">
        <v>169</v>
      </c>
      <c r="P78" s="690" t="s">
        <v>169</v>
      </c>
      <c r="Q78" s="690" t="s">
        <v>169</v>
      </c>
      <c r="R78" s="690" t="s">
        <v>169</v>
      </c>
      <c r="S78" s="690" t="s">
        <v>169</v>
      </c>
      <c r="T78" s="690" t="s">
        <v>169</v>
      </c>
      <c r="U78" s="690" t="s">
        <v>169</v>
      </c>
      <c r="V78" s="690" t="s">
        <v>169</v>
      </c>
      <c r="W78" s="690" t="s">
        <v>169</v>
      </c>
      <c r="X78" s="690" t="s">
        <v>169</v>
      </c>
      <c r="Y78" s="690" t="s">
        <v>169</v>
      </c>
      <c r="Z78" s="690" t="s">
        <v>169</v>
      </c>
    </row>
    <row r="79" spans="1:26" ht="16.5" customHeight="1" x14ac:dyDescent="0.25">
      <c r="A79" s="693">
        <v>17</v>
      </c>
      <c r="B79" s="783" t="s">
        <v>504</v>
      </c>
      <c r="C79" s="690" t="s">
        <v>169</v>
      </c>
      <c r="D79" s="690" t="s">
        <v>169</v>
      </c>
      <c r="E79" s="690" t="s">
        <v>169</v>
      </c>
      <c r="F79" s="690" t="s">
        <v>169</v>
      </c>
      <c r="G79" s="690" t="s">
        <v>169</v>
      </c>
      <c r="H79" s="690" t="s">
        <v>169</v>
      </c>
      <c r="I79" s="690" t="s">
        <v>169</v>
      </c>
      <c r="J79" s="690" t="s">
        <v>169</v>
      </c>
      <c r="K79" s="690" t="s">
        <v>169</v>
      </c>
      <c r="L79" s="690" t="s">
        <v>169</v>
      </c>
      <c r="M79" s="690" t="s">
        <v>169</v>
      </c>
      <c r="N79" s="690" t="s">
        <v>169</v>
      </c>
      <c r="O79" s="690" t="s">
        <v>169</v>
      </c>
      <c r="P79" s="690" t="s">
        <v>169</v>
      </c>
      <c r="Q79" s="690" t="s">
        <v>169</v>
      </c>
      <c r="R79" s="690" t="s">
        <v>169</v>
      </c>
      <c r="S79" s="690" t="s">
        <v>169</v>
      </c>
      <c r="T79" s="690" t="s">
        <v>169</v>
      </c>
      <c r="U79" s="690" t="s">
        <v>169</v>
      </c>
      <c r="V79" s="690" t="s">
        <v>169</v>
      </c>
      <c r="W79" s="690" t="s">
        <v>169</v>
      </c>
      <c r="X79" s="690" t="s">
        <v>169</v>
      </c>
      <c r="Y79" s="690" t="s">
        <v>169</v>
      </c>
      <c r="Z79" s="690" t="s">
        <v>169</v>
      </c>
    </row>
    <row r="80" spans="1:26" ht="16.5" customHeight="1" x14ac:dyDescent="0.25">
      <c r="A80" s="693" t="s">
        <v>505</v>
      </c>
      <c r="B80" s="783" t="s">
        <v>506</v>
      </c>
      <c r="C80" s="690">
        <v>788</v>
      </c>
      <c r="D80" s="690">
        <v>712</v>
      </c>
      <c r="E80" s="690">
        <v>785</v>
      </c>
      <c r="F80" s="690">
        <v>757</v>
      </c>
      <c r="G80" s="690">
        <v>726</v>
      </c>
      <c r="H80" s="690">
        <v>677</v>
      </c>
      <c r="I80" s="690">
        <v>701</v>
      </c>
      <c r="J80" s="690">
        <v>744</v>
      </c>
      <c r="K80" s="690">
        <v>757</v>
      </c>
      <c r="L80" s="690">
        <v>739</v>
      </c>
      <c r="M80" s="690">
        <v>872</v>
      </c>
      <c r="N80" s="690">
        <v>853</v>
      </c>
      <c r="O80" s="690">
        <v>799</v>
      </c>
      <c r="P80" s="690">
        <v>803</v>
      </c>
      <c r="Q80" s="690">
        <v>821</v>
      </c>
      <c r="R80" s="690">
        <v>905</v>
      </c>
      <c r="S80" s="690">
        <v>835</v>
      </c>
      <c r="T80" s="690">
        <v>818</v>
      </c>
      <c r="U80" s="690">
        <v>779</v>
      </c>
      <c r="V80" s="690">
        <v>748</v>
      </c>
      <c r="W80" s="690">
        <v>877</v>
      </c>
      <c r="X80" s="690">
        <v>739</v>
      </c>
      <c r="Y80" s="690">
        <v>829</v>
      </c>
      <c r="Z80" s="690">
        <v>862</v>
      </c>
    </row>
    <row r="81" spans="1:26" ht="16.5" customHeight="1" x14ac:dyDescent="0.25">
      <c r="A81" s="693" t="s">
        <v>507</v>
      </c>
      <c r="B81" s="783" t="s">
        <v>508</v>
      </c>
      <c r="C81" s="690">
        <v>338</v>
      </c>
      <c r="D81" s="690">
        <v>278</v>
      </c>
      <c r="E81" s="690">
        <v>383</v>
      </c>
      <c r="F81" s="690">
        <v>403</v>
      </c>
      <c r="G81" s="690">
        <v>452</v>
      </c>
      <c r="H81" s="690">
        <v>293</v>
      </c>
      <c r="I81" s="690">
        <v>389</v>
      </c>
      <c r="J81" s="690">
        <v>372</v>
      </c>
      <c r="K81" s="690">
        <v>399</v>
      </c>
      <c r="L81" s="690">
        <v>322</v>
      </c>
      <c r="M81" s="690">
        <v>451</v>
      </c>
      <c r="N81" s="690">
        <v>387</v>
      </c>
      <c r="O81" s="690">
        <v>387</v>
      </c>
      <c r="P81" s="690">
        <v>314</v>
      </c>
      <c r="Q81" s="690">
        <v>365</v>
      </c>
      <c r="R81" s="690">
        <v>434</v>
      </c>
      <c r="S81" s="690">
        <v>427</v>
      </c>
      <c r="T81" s="690">
        <v>351</v>
      </c>
      <c r="U81" s="690">
        <v>430</v>
      </c>
      <c r="V81" s="690">
        <v>378</v>
      </c>
      <c r="W81" s="690">
        <v>467</v>
      </c>
      <c r="X81" s="690">
        <v>354</v>
      </c>
      <c r="Y81" s="690">
        <v>440</v>
      </c>
      <c r="Z81" s="690">
        <v>390</v>
      </c>
    </row>
    <row r="82" spans="1:26" ht="16.5" customHeight="1" x14ac:dyDescent="0.25">
      <c r="A82" s="693">
        <v>18</v>
      </c>
      <c r="B82" s="783" t="s">
        <v>509</v>
      </c>
      <c r="C82" s="690" t="s">
        <v>169</v>
      </c>
      <c r="D82" s="690" t="s">
        <v>169</v>
      </c>
      <c r="E82" s="690" t="s">
        <v>169</v>
      </c>
      <c r="F82" s="690" t="s">
        <v>169</v>
      </c>
      <c r="G82" s="690" t="s">
        <v>169</v>
      </c>
      <c r="H82" s="690" t="s">
        <v>169</v>
      </c>
      <c r="I82" s="690" t="s">
        <v>169</v>
      </c>
      <c r="J82" s="690" t="s">
        <v>169</v>
      </c>
      <c r="K82" s="690" t="s">
        <v>169</v>
      </c>
      <c r="L82" s="690" t="s">
        <v>169</v>
      </c>
      <c r="M82" s="690" t="s">
        <v>169</v>
      </c>
      <c r="N82" s="690" t="s">
        <v>169</v>
      </c>
      <c r="O82" s="690" t="s">
        <v>169</v>
      </c>
      <c r="P82" s="690" t="s">
        <v>169</v>
      </c>
      <c r="Q82" s="690" t="s">
        <v>169</v>
      </c>
      <c r="R82" s="690" t="s">
        <v>169</v>
      </c>
      <c r="S82" s="690" t="s">
        <v>169</v>
      </c>
      <c r="T82" s="690" t="s">
        <v>169</v>
      </c>
      <c r="U82" s="690" t="s">
        <v>169</v>
      </c>
      <c r="V82" s="690" t="s">
        <v>169</v>
      </c>
      <c r="W82" s="690" t="s">
        <v>169</v>
      </c>
      <c r="X82" s="690" t="s">
        <v>169</v>
      </c>
      <c r="Y82" s="690" t="s">
        <v>169</v>
      </c>
      <c r="Z82" s="690" t="s">
        <v>169</v>
      </c>
    </row>
    <row r="83" spans="1:26" ht="16.5" customHeight="1" x14ac:dyDescent="0.25">
      <c r="A83" s="693">
        <v>20</v>
      </c>
      <c r="B83" s="783" t="s">
        <v>510</v>
      </c>
      <c r="C83" s="690" t="s">
        <v>169</v>
      </c>
      <c r="D83" s="690" t="s">
        <v>169</v>
      </c>
      <c r="E83" s="690" t="s">
        <v>169</v>
      </c>
      <c r="F83" s="690" t="s">
        <v>169</v>
      </c>
      <c r="G83" s="690" t="s">
        <v>169</v>
      </c>
      <c r="H83" s="690" t="s">
        <v>169</v>
      </c>
      <c r="I83" s="690" t="s">
        <v>169</v>
      </c>
      <c r="J83" s="690" t="s">
        <v>169</v>
      </c>
      <c r="K83" s="690" t="s">
        <v>169</v>
      </c>
      <c r="L83" s="690" t="s">
        <v>169</v>
      </c>
      <c r="M83" s="690" t="s">
        <v>169</v>
      </c>
      <c r="N83" s="690" t="s">
        <v>169</v>
      </c>
      <c r="O83" s="690" t="s">
        <v>169</v>
      </c>
      <c r="P83" s="690" t="s">
        <v>169</v>
      </c>
      <c r="Q83" s="690" t="s">
        <v>169</v>
      </c>
      <c r="R83" s="690" t="s">
        <v>169</v>
      </c>
      <c r="S83" s="690" t="s">
        <v>169</v>
      </c>
      <c r="T83" s="690" t="s">
        <v>169</v>
      </c>
      <c r="U83" s="690" t="s">
        <v>169</v>
      </c>
      <c r="V83" s="690" t="s">
        <v>169</v>
      </c>
      <c r="W83" s="690" t="s">
        <v>169</v>
      </c>
      <c r="X83" s="690" t="s">
        <v>169</v>
      </c>
      <c r="Y83" s="690" t="s">
        <v>169</v>
      </c>
      <c r="Z83" s="690" t="s">
        <v>169</v>
      </c>
    </row>
    <row r="84" spans="1:26" ht="16.5" customHeight="1" x14ac:dyDescent="0.25">
      <c r="A84" s="693" t="s">
        <v>511</v>
      </c>
      <c r="B84" s="783" t="s">
        <v>512</v>
      </c>
      <c r="C84" s="690">
        <v>4393</v>
      </c>
      <c r="D84" s="690">
        <v>3913</v>
      </c>
      <c r="E84" s="690">
        <v>4454</v>
      </c>
      <c r="F84" s="690">
        <v>4446</v>
      </c>
      <c r="G84" s="690">
        <v>4063</v>
      </c>
      <c r="H84" s="690">
        <v>3946</v>
      </c>
      <c r="I84" s="690">
        <v>3876</v>
      </c>
      <c r="J84" s="690">
        <v>3754</v>
      </c>
      <c r="K84" s="690">
        <v>4112</v>
      </c>
      <c r="L84" s="690">
        <v>4065</v>
      </c>
      <c r="M84" s="690">
        <v>4640</v>
      </c>
      <c r="N84" s="690">
        <v>4563</v>
      </c>
      <c r="O84" s="690">
        <v>4667</v>
      </c>
      <c r="P84" s="690">
        <v>4220</v>
      </c>
      <c r="Q84" s="690">
        <v>4327</v>
      </c>
      <c r="R84" s="690">
        <v>4407</v>
      </c>
      <c r="S84" s="690">
        <v>4369</v>
      </c>
      <c r="T84" s="690">
        <v>4074</v>
      </c>
      <c r="U84" s="690">
        <v>4125</v>
      </c>
      <c r="V84" s="690">
        <v>3776</v>
      </c>
      <c r="W84" s="690">
        <v>4339</v>
      </c>
      <c r="X84" s="690">
        <v>4079</v>
      </c>
      <c r="Y84" s="690">
        <v>4527</v>
      </c>
      <c r="Z84" s="690">
        <v>4704</v>
      </c>
    </row>
    <row r="85" spans="1:26" ht="16.5" customHeight="1" x14ac:dyDescent="0.25">
      <c r="A85" s="693" t="s">
        <v>513</v>
      </c>
      <c r="B85" s="783" t="s">
        <v>514</v>
      </c>
      <c r="C85" s="690">
        <v>1018</v>
      </c>
      <c r="D85" s="690">
        <v>759</v>
      </c>
      <c r="E85" s="690">
        <v>938</v>
      </c>
      <c r="F85" s="690">
        <v>973</v>
      </c>
      <c r="G85" s="690">
        <v>1029</v>
      </c>
      <c r="H85" s="690">
        <v>807</v>
      </c>
      <c r="I85" s="690">
        <v>976</v>
      </c>
      <c r="J85" s="690">
        <v>874</v>
      </c>
      <c r="K85" s="690">
        <v>966</v>
      </c>
      <c r="L85" s="690">
        <v>940</v>
      </c>
      <c r="M85" s="690">
        <v>1034</v>
      </c>
      <c r="N85" s="690">
        <v>978</v>
      </c>
      <c r="O85" s="690">
        <v>971</v>
      </c>
      <c r="P85" s="690">
        <v>758</v>
      </c>
      <c r="Q85" s="690">
        <v>915</v>
      </c>
      <c r="R85" s="690">
        <v>1027</v>
      </c>
      <c r="S85" s="690">
        <v>1038</v>
      </c>
      <c r="T85" s="690">
        <v>857</v>
      </c>
      <c r="U85" s="690">
        <v>1016</v>
      </c>
      <c r="V85" s="690">
        <v>946</v>
      </c>
      <c r="W85" s="690">
        <v>1045</v>
      </c>
      <c r="X85" s="690">
        <v>899</v>
      </c>
      <c r="Y85" s="690">
        <v>1077</v>
      </c>
      <c r="Z85" s="690">
        <v>1208</v>
      </c>
    </row>
    <row r="86" spans="1:26" ht="16.5" customHeight="1" x14ac:dyDescent="0.25">
      <c r="A86" s="693">
        <v>21</v>
      </c>
      <c r="B86" s="783" t="s">
        <v>515</v>
      </c>
      <c r="C86" s="690" t="s">
        <v>169</v>
      </c>
      <c r="D86" s="690" t="s">
        <v>169</v>
      </c>
      <c r="E86" s="690" t="s">
        <v>169</v>
      </c>
      <c r="F86" s="690" t="s">
        <v>169</v>
      </c>
      <c r="G86" s="690" t="s">
        <v>169</v>
      </c>
      <c r="H86" s="690" t="s">
        <v>169</v>
      </c>
      <c r="I86" s="690" t="s">
        <v>169</v>
      </c>
      <c r="J86" s="690" t="s">
        <v>169</v>
      </c>
      <c r="K86" s="690" t="s">
        <v>169</v>
      </c>
      <c r="L86" s="690" t="s">
        <v>169</v>
      </c>
      <c r="M86" s="690" t="s">
        <v>169</v>
      </c>
      <c r="N86" s="690" t="s">
        <v>169</v>
      </c>
      <c r="O86" s="690" t="s">
        <v>169</v>
      </c>
      <c r="P86" s="690" t="s">
        <v>169</v>
      </c>
      <c r="Q86" s="690" t="s">
        <v>169</v>
      </c>
      <c r="R86" s="690" t="s">
        <v>169</v>
      </c>
      <c r="S86" s="690" t="s">
        <v>169</v>
      </c>
      <c r="T86" s="690" t="s">
        <v>169</v>
      </c>
      <c r="U86" s="690" t="s">
        <v>169</v>
      </c>
      <c r="V86" s="690" t="s">
        <v>169</v>
      </c>
      <c r="W86" s="690" t="s">
        <v>169</v>
      </c>
      <c r="X86" s="690" t="s">
        <v>169</v>
      </c>
      <c r="Y86" s="690" t="s">
        <v>169</v>
      </c>
      <c r="Z86" s="690" t="s">
        <v>169</v>
      </c>
    </row>
    <row r="87" spans="1:26" ht="16.5" customHeight="1" x14ac:dyDescent="0.25">
      <c r="A87" s="693">
        <v>21</v>
      </c>
      <c r="B87" s="783" t="s">
        <v>516</v>
      </c>
      <c r="C87" s="690">
        <v>638</v>
      </c>
      <c r="D87" s="690">
        <v>562</v>
      </c>
      <c r="E87" s="690">
        <v>704</v>
      </c>
      <c r="F87" s="690">
        <v>678</v>
      </c>
      <c r="G87" s="690">
        <v>639</v>
      </c>
      <c r="H87" s="690">
        <v>534</v>
      </c>
      <c r="I87" s="690">
        <v>628</v>
      </c>
      <c r="J87" s="690">
        <v>677</v>
      </c>
      <c r="K87" s="690">
        <v>766</v>
      </c>
      <c r="L87" s="690">
        <v>685</v>
      </c>
      <c r="M87" s="690">
        <v>705</v>
      </c>
      <c r="N87" s="690">
        <v>658</v>
      </c>
      <c r="O87" s="690">
        <v>660</v>
      </c>
      <c r="P87" s="690">
        <v>493</v>
      </c>
      <c r="Q87" s="690">
        <v>543</v>
      </c>
      <c r="R87" s="690">
        <v>662</v>
      </c>
      <c r="S87" s="690">
        <v>627</v>
      </c>
      <c r="T87" s="690">
        <v>535</v>
      </c>
      <c r="U87" s="690">
        <v>656</v>
      </c>
      <c r="V87" s="690">
        <v>571</v>
      </c>
      <c r="W87" s="690">
        <v>723</v>
      </c>
      <c r="X87" s="690">
        <v>591</v>
      </c>
      <c r="Y87" s="690">
        <v>647</v>
      </c>
      <c r="Z87" s="690">
        <v>716</v>
      </c>
    </row>
    <row r="88" spans="1:26" ht="16.5" customHeight="1" x14ac:dyDescent="0.25">
      <c r="A88" s="693">
        <v>22</v>
      </c>
      <c r="B88" s="783" t="s">
        <v>517</v>
      </c>
      <c r="C88" s="690" t="s">
        <v>169</v>
      </c>
      <c r="D88" s="690" t="s">
        <v>169</v>
      </c>
      <c r="E88" s="690" t="s">
        <v>169</v>
      </c>
      <c r="F88" s="690" t="s">
        <v>169</v>
      </c>
      <c r="G88" s="690" t="s">
        <v>169</v>
      </c>
      <c r="H88" s="690" t="s">
        <v>169</v>
      </c>
      <c r="I88" s="690" t="s">
        <v>169</v>
      </c>
      <c r="J88" s="690" t="s">
        <v>169</v>
      </c>
      <c r="K88" s="690" t="s">
        <v>169</v>
      </c>
      <c r="L88" s="690" t="s">
        <v>169</v>
      </c>
      <c r="M88" s="690" t="s">
        <v>169</v>
      </c>
      <c r="N88" s="690" t="s">
        <v>169</v>
      </c>
      <c r="O88" s="690" t="s">
        <v>169</v>
      </c>
      <c r="P88" s="690" t="s">
        <v>169</v>
      </c>
      <c r="Q88" s="690" t="s">
        <v>169</v>
      </c>
      <c r="R88" s="690" t="s">
        <v>169</v>
      </c>
      <c r="S88" s="690" t="s">
        <v>169</v>
      </c>
      <c r="T88" s="690" t="s">
        <v>169</v>
      </c>
      <c r="U88" s="690" t="s">
        <v>169</v>
      </c>
      <c r="V88" s="690" t="s">
        <v>169</v>
      </c>
      <c r="W88" s="690" t="s">
        <v>169</v>
      </c>
      <c r="X88" s="690" t="s">
        <v>169</v>
      </c>
      <c r="Y88" s="690" t="s">
        <v>169</v>
      </c>
      <c r="Z88" s="690" t="s">
        <v>169</v>
      </c>
    </row>
    <row r="89" spans="1:26" ht="16.5" customHeight="1" x14ac:dyDescent="0.25">
      <c r="A89" s="693" t="s">
        <v>518</v>
      </c>
      <c r="B89" s="783" t="s">
        <v>519</v>
      </c>
      <c r="C89" s="690">
        <v>1079</v>
      </c>
      <c r="D89" s="690">
        <v>838</v>
      </c>
      <c r="E89" s="690">
        <v>959</v>
      </c>
      <c r="F89" s="690">
        <v>1065</v>
      </c>
      <c r="G89" s="690">
        <v>1124</v>
      </c>
      <c r="H89" s="690">
        <v>869</v>
      </c>
      <c r="I89" s="690">
        <v>1037</v>
      </c>
      <c r="J89" s="690">
        <v>1016</v>
      </c>
      <c r="K89" s="690">
        <v>1111</v>
      </c>
      <c r="L89" s="690">
        <v>1147</v>
      </c>
      <c r="M89" s="690">
        <v>1151</v>
      </c>
      <c r="N89" s="690">
        <v>1101</v>
      </c>
      <c r="O89" s="690">
        <v>1060</v>
      </c>
      <c r="P89" s="690">
        <v>841</v>
      </c>
      <c r="Q89" s="690">
        <v>1023</v>
      </c>
      <c r="R89" s="690">
        <v>1105</v>
      </c>
      <c r="S89" s="690">
        <v>1053</v>
      </c>
      <c r="T89" s="690">
        <v>928</v>
      </c>
      <c r="U89" s="690">
        <v>1086</v>
      </c>
      <c r="V89" s="690">
        <v>942</v>
      </c>
      <c r="W89" s="690">
        <v>1136</v>
      </c>
      <c r="X89" s="690">
        <v>942</v>
      </c>
      <c r="Y89" s="690">
        <v>1070</v>
      </c>
      <c r="Z89" s="690">
        <v>1074</v>
      </c>
    </row>
    <row r="90" spans="1:26" ht="16.5" customHeight="1" x14ac:dyDescent="0.25">
      <c r="A90" s="693" t="s">
        <v>520</v>
      </c>
      <c r="B90" s="783" t="s">
        <v>521</v>
      </c>
      <c r="C90" s="690">
        <v>114</v>
      </c>
      <c r="D90" s="690">
        <v>91</v>
      </c>
      <c r="E90" s="690">
        <v>109</v>
      </c>
      <c r="F90" s="690">
        <v>97</v>
      </c>
      <c r="G90" s="690">
        <v>106</v>
      </c>
      <c r="H90" s="690">
        <v>84</v>
      </c>
      <c r="I90" s="690">
        <v>87</v>
      </c>
      <c r="J90" s="690">
        <v>109</v>
      </c>
      <c r="K90" s="690">
        <v>89</v>
      </c>
      <c r="L90" s="690">
        <v>104</v>
      </c>
      <c r="M90" s="690">
        <v>108</v>
      </c>
      <c r="N90" s="690">
        <v>91</v>
      </c>
      <c r="O90" s="690">
        <v>112</v>
      </c>
      <c r="P90" s="690">
        <v>115</v>
      </c>
      <c r="Q90" s="690">
        <v>114</v>
      </c>
      <c r="R90" s="690">
        <v>109</v>
      </c>
      <c r="S90" s="690">
        <v>98</v>
      </c>
      <c r="T90" s="690">
        <v>108</v>
      </c>
      <c r="U90" s="690">
        <v>105</v>
      </c>
      <c r="V90" s="690">
        <v>103</v>
      </c>
      <c r="W90" s="690">
        <v>117</v>
      </c>
      <c r="X90" s="690">
        <v>103</v>
      </c>
      <c r="Y90" s="690">
        <v>115</v>
      </c>
      <c r="Z90" s="690">
        <v>123</v>
      </c>
    </row>
    <row r="91" spans="1:26" ht="16.5" customHeight="1" x14ac:dyDescent="0.25">
      <c r="A91" s="693">
        <v>23</v>
      </c>
      <c r="B91" s="783" t="s">
        <v>522</v>
      </c>
      <c r="C91" s="690">
        <v>74</v>
      </c>
      <c r="D91" s="690">
        <v>66</v>
      </c>
      <c r="E91" s="690">
        <v>72</v>
      </c>
      <c r="F91" s="690">
        <v>59</v>
      </c>
      <c r="G91" s="690">
        <v>66</v>
      </c>
      <c r="H91" s="690">
        <v>47</v>
      </c>
      <c r="I91" s="690">
        <v>66</v>
      </c>
      <c r="J91" s="690">
        <v>71</v>
      </c>
      <c r="K91" s="690">
        <v>54</v>
      </c>
      <c r="L91" s="690">
        <v>65</v>
      </c>
      <c r="M91" s="690">
        <v>78</v>
      </c>
      <c r="N91" s="690">
        <v>66</v>
      </c>
      <c r="O91" s="690">
        <v>70</v>
      </c>
      <c r="P91" s="690">
        <v>61</v>
      </c>
      <c r="Q91" s="690">
        <v>67</v>
      </c>
      <c r="R91" s="690">
        <v>78</v>
      </c>
      <c r="S91" s="690">
        <v>75</v>
      </c>
      <c r="T91" s="690">
        <v>42</v>
      </c>
      <c r="U91" s="690">
        <v>66</v>
      </c>
      <c r="V91" s="690">
        <v>56</v>
      </c>
      <c r="W91" s="690">
        <v>71</v>
      </c>
      <c r="X91" s="690">
        <v>64</v>
      </c>
      <c r="Y91" s="690">
        <v>66</v>
      </c>
      <c r="Z91" s="690">
        <v>77</v>
      </c>
    </row>
    <row r="92" spans="1:26" ht="16.5" customHeight="1" x14ac:dyDescent="0.25">
      <c r="A92" s="693">
        <v>25</v>
      </c>
      <c r="B92" s="783" t="s">
        <v>523</v>
      </c>
      <c r="C92" s="690" t="s">
        <v>169</v>
      </c>
      <c r="D92" s="690" t="s">
        <v>169</v>
      </c>
      <c r="E92" s="690" t="s">
        <v>169</v>
      </c>
      <c r="F92" s="690" t="s">
        <v>169</v>
      </c>
      <c r="G92" s="690" t="s">
        <v>169</v>
      </c>
      <c r="H92" s="690" t="s">
        <v>169</v>
      </c>
      <c r="I92" s="690" t="s">
        <v>169</v>
      </c>
      <c r="J92" s="690" t="s">
        <v>169</v>
      </c>
      <c r="K92" s="690" t="s">
        <v>169</v>
      </c>
      <c r="L92" s="690" t="s">
        <v>169</v>
      </c>
      <c r="M92" s="690" t="s">
        <v>169</v>
      </c>
      <c r="N92" s="690" t="s">
        <v>169</v>
      </c>
      <c r="O92" s="690" t="s">
        <v>169</v>
      </c>
      <c r="P92" s="690" t="s">
        <v>169</v>
      </c>
      <c r="Q92" s="690" t="s">
        <v>169</v>
      </c>
      <c r="R92" s="690" t="s">
        <v>169</v>
      </c>
      <c r="S92" s="690" t="s">
        <v>169</v>
      </c>
      <c r="T92" s="690" t="s">
        <v>169</v>
      </c>
      <c r="U92" s="690" t="s">
        <v>169</v>
      </c>
      <c r="V92" s="690" t="s">
        <v>169</v>
      </c>
      <c r="W92" s="690" t="s">
        <v>169</v>
      </c>
      <c r="X92" s="690" t="s">
        <v>169</v>
      </c>
      <c r="Y92" s="690" t="s">
        <v>169</v>
      </c>
      <c r="Z92" s="690" t="s">
        <v>169</v>
      </c>
    </row>
    <row r="93" spans="1:26" ht="16.5" customHeight="1" x14ac:dyDescent="0.25">
      <c r="A93" s="693">
        <v>70</v>
      </c>
      <c r="B93" s="783" t="s">
        <v>524</v>
      </c>
      <c r="C93" s="690">
        <v>22</v>
      </c>
      <c r="D93" s="690">
        <v>29</v>
      </c>
      <c r="E93" s="690">
        <v>16</v>
      </c>
      <c r="F93" s="690">
        <v>21</v>
      </c>
      <c r="G93" s="690">
        <v>24</v>
      </c>
      <c r="H93" s="690">
        <v>23</v>
      </c>
      <c r="I93" s="690">
        <v>31</v>
      </c>
      <c r="J93" s="690">
        <v>24</v>
      </c>
      <c r="K93" s="690">
        <v>16</v>
      </c>
      <c r="L93" s="690">
        <v>36</v>
      </c>
      <c r="M93" s="690">
        <v>29</v>
      </c>
      <c r="N93" s="690">
        <v>25</v>
      </c>
      <c r="O93" s="690">
        <v>20</v>
      </c>
      <c r="P93" s="690">
        <v>17</v>
      </c>
      <c r="Q93" s="690">
        <v>28</v>
      </c>
      <c r="R93" s="690">
        <v>29</v>
      </c>
      <c r="S93" s="690">
        <v>19</v>
      </c>
      <c r="T93" s="690">
        <v>25</v>
      </c>
      <c r="U93" s="690">
        <v>18</v>
      </c>
      <c r="V93" s="690">
        <v>24</v>
      </c>
      <c r="W93" s="690">
        <v>30</v>
      </c>
      <c r="X93" s="690">
        <v>19</v>
      </c>
      <c r="Y93" s="690">
        <v>17</v>
      </c>
      <c r="Z93" s="690">
        <v>20</v>
      </c>
    </row>
    <row r="94" spans="1:26" ht="16.5" customHeight="1" x14ac:dyDescent="0.25">
      <c r="A94" s="693">
        <v>71</v>
      </c>
      <c r="B94" s="783" t="s">
        <v>525</v>
      </c>
      <c r="C94" s="690">
        <v>72</v>
      </c>
      <c r="D94" s="690">
        <v>77</v>
      </c>
      <c r="E94" s="690">
        <v>93</v>
      </c>
      <c r="F94" s="690">
        <v>113</v>
      </c>
      <c r="G94" s="690">
        <v>73</v>
      </c>
      <c r="H94" s="690">
        <v>80</v>
      </c>
      <c r="I94" s="690">
        <v>62</v>
      </c>
      <c r="J94" s="690">
        <v>97</v>
      </c>
      <c r="K94" s="690">
        <v>91</v>
      </c>
      <c r="L94" s="690">
        <v>75</v>
      </c>
      <c r="M94" s="690">
        <v>87</v>
      </c>
      <c r="N94" s="690">
        <v>107</v>
      </c>
      <c r="O94" s="690">
        <v>91</v>
      </c>
      <c r="P94" s="690">
        <v>70</v>
      </c>
      <c r="Q94" s="690">
        <v>67</v>
      </c>
      <c r="R94" s="690">
        <v>71</v>
      </c>
      <c r="S94" s="690">
        <v>87</v>
      </c>
      <c r="T94" s="690">
        <v>66</v>
      </c>
      <c r="U94" s="690">
        <v>74</v>
      </c>
      <c r="V94" s="690">
        <v>89</v>
      </c>
      <c r="W94" s="690">
        <v>84</v>
      </c>
      <c r="X94" s="690">
        <v>82</v>
      </c>
      <c r="Y94" s="690">
        <v>103</v>
      </c>
      <c r="Z94" s="690">
        <v>74</v>
      </c>
    </row>
    <row r="95" spans="1:26" ht="16.5" customHeight="1" x14ac:dyDescent="0.25">
      <c r="A95" s="693">
        <v>72</v>
      </c>
      <c r="B95" s="783" t="s">
        <v>526</v>
      </c>
      <c r="C95" s="690">
        <v>0</v>
      </c>
      <c r="D95" s="690">
        <v>0</v>
      </c>
      <c r="E95" s="690">
        <v>0</v>
      </c>
      <c r="F95" s="690">
        <v>0</v>
      </c>
      <c r="G95" s="690">
        <v>0</v>
      </c>
      <c r="H95" s="690">
        <v>0</v>
      </c>
      <c r="I95" s="690">
        <v>0</v>
      </c>
      <c r="J95" s="690">
        <v>0</v>
      </c>
      <c r="K95" s="690">
        <v>0</v>
      </c>
      <c r="L95" s="690">
        <v>0</v>
      </c>
      <c r="M95" s="690">
        <v>0</v>
      </c>
      <c r="N95" s="690">
        <v>0</v>
      </c>
      <c r="O95" s="690">
        <v>0</v>
      </c>
      <c r="P95" s="690">
        <v>0</v>
      </c>
      <c r="Q95" s="690">
        <v>0</v>
      </c>
      <c r="R95" s="690">
        <v>0</v>
      </c>
      <c r="S95" s="690">
        <v>0</v>
      </c>
      <c r="T95" s="690">
        <v>0</v>
      </c>
      <c r="U95" s="690">
        <v>0</v>
      </c>
      <c r="V95" s="690">
        <v>0</v>
      </c>
      <c r="W95" s="690">
        <v>0</v>
      </c>
      <c r="X95" s="690">
        <v>0</v>
      </c>
      <c r="Y95" s="690">
        <v>0</v>
      </c>
      <c r="Z95" s="690">
        <v>0</v>
      </c>
    </row>
    <row r="96" spans="1:26" ht="16.5" customHeight="1" x14ac:dyDescent="0.25">
      <c r="A96" s="693">
        <v>73</v>
      </c>
      <c r="B96" s="783" t="s">
        <v>527</v>
      </c>
      <c r="C96" s="690">
        <v>28</v>
      </c>
      <c r="D96" s="690">
        <v>20</v>
      </c>
      <c r="E96" s="690">
        <v>19</v>
      </c>
      <c r="F96" s="690">
        <v>20</v>
      </c>
      <c r="G96" s="690">
        <v>24</v>
      </c>
      <c r="H96" s="690">
        <v>27</v>
      </c>
      <c r="I96" s="690">
        <v>34</v>
      </c>
      <c r="J96" s="690">
        <v>19</v>
      </c>
      <c r="K96" s="690">
        <v>25</v>
      </c>
      <c r="L96" s="690">
        <v>15</v>
      </c>
      <c r="M96" s="690">
        <v>28</v>
      </c>
      <c r="N96" s="690">
        <v>30</v>
      </c>
      <c r="O96" s="690">
        <v>33</v>
      </c>
      <c r="P96" s="690">
        <v>32</v>
      </c>
      <c r="Q96" s="690">
        <v>24</v>
      </c>
      <c r="R96" s="690">
        <v>27</v>
      </c>
      <c r="S96" s="690">
        <v>26</v>
      </c>
      <c r="T96" s="690">
        <v>19</v>
      </c>
      <c r="U96" s="690">
        <v>33</v>
      </c>
      <c r="V96" s="690">
        <v>28</v>
      </c>
      <c r="W96" s="690">
        <v>23</v>
      </c>
      <c r="X96" s="690">
        <v>22</v>
      </c>
      <c r="Y96" s="690">
        <v>28</v>
      </c>
      <c r="Z96" s="690">
        <v>34</v>
      </c>
    </row>
    <row r="97" spans="1:26" ht="16.5" customHeight="1" x14ac:dyDescent="0.25">
      <c r="A97" s="693">
        <v>74</v>
      </c>
      <c r="B97" s="783" t="s">
        <v>528</v>
      </c>
      <c r="C97" s="690" t="s">
        <v>169</v>
      </c>
      <c r="D97" s="690" t="s">
        <v>169</v>
      </c>
      <c r="E97" s="690" t="s">
        <v>169</v>
      </c>
      <c r="F97" s="690" t="s">
        <v>169</v>
      </c>
      <c r="G97" s="690" t="s">
        <v>169</v>
      </c>
      <c r="H97" s="690" t="s">
        <v>169</v>
      </c>
      <c r="I97" s="690" t="s">
        <v>169</v>
      </c>
      <c r="J97" s="690" t="s">
        <v>169</v>
      </c>
      <c r="K97" s="690" t="s">
        <v>169</v>
      </c>
      <c r="L97" s="690" t="s">
        <v>169</v>
      </c>
      <c r="M97" s="690" t="s">
        <v>169</v>
      </c>
      <c r="N97" s="690" t="s">
        <v>169</v>
      </c>
      <c r="O97" s="690" t="s">
        <v>169</v>
      </c>
      <c r="P97" s="690" t="s">
        <v>169</v>
      </c>
      <c r="Q97" s="690" t="s">
        <v>169</v>
      </c>
      <c r="R97" s="690" t="s">
        <v>169</v>
      </c>
      <c r="S97" s="690" t="s">
        <v>169</v>
      </c>
      <c r="T97" s="690" t="s">
        <v>169</v>
      </c>
      <c r="U97" s="690" t="s">
        <v>169</v>
      </c>
      <c r="V97" s="690" t="s">
        <v>169</v>
      </c>
      <c r="W97" s="690" t="s">
        <v>169</v>
      </c>
      <c r="X97" s="690" t="s">
        <v>169</v>
      </c>
      <c r="Y97" s="690" t="s">
        <v>169</v>
      </c>
      <c r="Z97" s="690" t="s">
        <v>169</v>
      </c>
    </row>
    <row r="98" spans="1:26" ht="16.5" customHeight="1" x14ac:dyDescent="0.25">
      <c r="A98" s="693" t="s">
        <v>529</v>
      </c>
      <c r="B98" s="783" t="s">
        <v>530</v>
      </c>
      <c r="C98" s="690">
        <v>667</v>
      </c>
      <c r="D98" s="690">
        <v>542</v>
      </c>
      <c r="E98" s="690">
        <v>570</v>
      </c>
      <c r="F98" s="690">
        <v>588</v>
      </c>
      <c r="G98" s="690">
        <v>657</v>
      </c>
      <c r="H98" s="690">
        <v>545</v>
      </c>
      <c r="I98" s="690">
        <v>609</v>
      </c>
      <c r="J98" s="690">
        <v>686</v>
      </c>
      <c r="K98" s="690">
        <v>636</v>
      </c>
      <c r="L98" s="690">
        <v>609</v>
      </c>
      <c r="M98" s="690">
        <v>596</v>
      </c>
      <c r="N98" s="690">
        <v>622</v>
      </c>
      <c r="O98" s="690">
        <v>597</v>
      </c>
      <c r="P98" s="690">
        <v>526</v>
      </c>
      <c r="Q98" s="690">
        <v>613</v>
      </c>
      <c r="R98" s="690">
        <v>599</v>
      </c>
      <c r="S98" s="690">
        <v>597</v>
      </c>
      <c r="T98" s="690">
        <v>580</v>
      </c>
      <c r="U98" s="690">
        <v>628</v>
      </c>
      <c r="V98" s="690">
        <v>585</v>
      </c>
      <c r="W98" s="690">
        <v>645</v>
      </c>
      <c r="X98" s="690">
        <v>618</v>
      </c>
      <c r="Y98" s="690">
        <v>690</v>
      </c>
      <c r="Z98" s="690">
        <v>686</v>
      </c>
    </row>
    <row r="99" spans="1:26" ht="16.5" customHeight="1" x14ac:dyDescent="0.25">
      <c r="A99" s="693" t="s">
        <v>531</v>
      </c>
      <c r="B99" s="783" t="s">
        <v>532</v>
      </c>
      <c r="C99" s="690" t="s">
        <v>169</v>
      </c>
      <c r="D99" s="690" t="s">
        <v>169</v>
      </c>
      <c r="E99" s="690" t="s">
        <v>169</v>
      </c>
      <c r="F99" s="690" t="s">
        <v>169</v>
      </c>
      <c r="G99" s="690" t="s">
        <v>169</v>
      </c>
      <c r="H99" s="690" t="s">
        <v>169</v>
      </c>
      <c r="I99" s="690" t="s">
        <v>169</v>
      </c>
      <c r="J99" s="690" t="s">
        <v>169</v>
      </c>
      <c r="K99" s="690" t="s">
        <v>169</v>
      </c>
      <c r="L99" s="690" t="s">
        <v>169</v>
      </c>
      <c r="M99" s="690" t="s">
        <v>169</v>
      </c>
      <c r="N99" s="690" t="s">
        <v>169</v>
      </c>
      <c r="O99" s="690" t="s">
        <v>169</v>
      </c>
      <c r="P99" s="690" t="s">
        <v>169</v>
      </c>
      <c r="Q99" s="690" t="s">
        <v>169</v>
      </c>
      <c r="R99" s="690" t="s">
        <v>169</v>
      </c>
      <c r="S99" s="690" t="s">
        <v>169</v>
      </c>
      <c r="T99" s="690" t="s">
        <v>169</v>
      </c>
      <c r="U99" s="690" t="s">
        <v>169</v>
      </c>
      <c r="V99" s="690" t="s">
        <v>169</v>
      </c>
      <c r="W99" s="690" t="s">
        <v>169</v>
      </c>
      <c r="X99" s="690" t="s">
        <v>169</v>
      </c>
      <c r="Y99" s="690" t="s">
        <v>169</v>
      </c>
      <c r="Z99" s="690" t="s">
        <v>169</v>
      </c>
    </row>
    <row r="100" spans="1:26" ht="16.5" customHeight="1" x14ac:dyDescent="0.25">
      <c r="A100" s="693" t="s">
        <v>533</v>
      </c>
      <c r="B100" s="783" t="s">
        <v>534</v>
      </c>
      <c r="C100" s="690">
        <v>74</v>
      </c>
      <c r="D100" s="690">
        <v>74</v>
      </c>
      <c r="E100" s="690">
        <v>76</v>
      </c>
      <c r="F100" s="690">
        <v>70</v>
      </c>
      <c r="G100" s="690">
        <v>59</v>
      </c>
      <c r="H100" s="690">
        <v>76</v>
      </c>
      <c r="I100" s="690">
        <v>69</v>
      </c>
      <c r="J100" s="690">
        <v>298</v>
      </c>
      <c r="K100" s="690">
        <v>638</v>
      </c>
      <c r="L100" s="690">
        <v>932</v>
      </c>
      <c r="M100" s="690">
        <v>1054</v>
      </c>
      <c r="N100" s="690">
        <v>927</v>
      </c>
      <c r="O100" s="690">
        <v>989</v>
      </c>
      <c r="P100" s="690">
        <v>900</v>
      </c>
      <c r="Q100" s="690">
        <v>979</v>
      </c>
      <c r="R100" s="690">
        <v>1024</v>
      </c>
      <c r="S100" s="690">
        <v>1077</v>
      </c>
      <c r="T100" s="690">
        <v>997</v>
      </c>
      <c r="U100" s="690">
        <v>1098</v>
      </c>
      <c r="V100" s="690">
        <v>984</v>
      </c>
      <c r="W100" s="690">
        <v>1065</v>
      </c>
      <c r="X100" s="690">
        <v>1019</v>
      </c>
      <c r="Y100" s="690">
        <v>1080</v>
      </c>
      <c r="Z100" s="690">
        <v>1176</v>
      </c>
    </row>
    <row r="101" spans="1:26" ht="16.5" customHeight="1" x14ac:dyDescent="0.25">
      <c r="A101" s="693" t="s">
        <v>535</v>
      </c>
      <c r="B101" s="783" t="s">
        <v>536</v>
      </c>
      <c r="C101" s="690">
        <v>6</v>
      </c>
      <c r="D101" s="690">
        <v>1</v>
      </c>
      <c r="E101" s="690">
        <v>5</v>
      </c>
      <c r="F101" s="690">
        <v>2</v>
      </c>
      <c r="G101" s="690">
        <v>4</v>
      </c>
      <c r="H101" s="690">
        <v>9</v>
      </c>
      <c r="I101" s="690">
        <v>7</v>
      </c>
      <c r="J101" s="690">
        <v>4</v>
      </c>
      <c r="K101" s="690">
        <v>8</v>
      </c>
      <c r="L101" s="690">
        <v>6</v>
      </c>
      <c r="M101" s="690">
        <v>3</v>
      </c>
      <c r="N101" s="690">
        <v>2</v>
      </c>
      <c r="O101" s="690">
        <v>2</v>
      </c>
      <c r="P101" s="690">
        <v>0</v>
      </c>
      <c r="Q101" s="690">
        <v>2</v>
      </c>
      <c r="R101" s="690">
        <v>8</v>
      </c>
      <c r="S101" s="690">
        <v>6</v>
      </c>
      <c r="T101" s="690">
        <v>5</v>
      </c>
      <c r="U101" s="690">
        <v>5</v>
      </c>
      <c r="V101" s="690">
        <v>3</v>
      </c>
      <c r="W101" s="690">
        <v>3</v>
      </c>
      <c r="X101" s="690">
        <v>1</v>
      </c>
      <c r="Y101" s="690">
        <v>3</v>
      </c>
      <c r="Z101" s="690">
        <v>5</v>
      </c>
    </row>
    <row r="102" spans="1:26" ht="16.5" customHeight="1" x14ac:dyDescent="0.25">
      <c r="A102" s="693" t="s">
        <v>537</v>
      </c>
      <c r="B102" s="783" t="s">
        <v>538</v>
      </c>
      <c r="C102" s="690">
        <v>1244</v>
      </c>
      <c r="D102" s="690">
        <v>1164</v>
      </c>
      <c r="E102" s="690">
        <v>1223</v>
      </c>
      <c r="F102" s="690">
        <v>1107</v>
      </c>
      <c r="G102" s="690">
        <v>909</v>
      </c>
      <c r="H102" s="690">
        <v>785</v>
      </c>
      <c r="I102" s="690">
        <v>840</v>
      </c>
      <c r="J102" s="690">
        <v>924</v>
      </c>
      <c r="K102" s="690">
        <v>1178</v>
      </c>
      <c r="L102" s="690">
        <v>1328</v>
      </c>
      <c r="M102" s="690">
        <v>1680</v>
      </c>
      <c r="N102" s="690">
        <v>1550</v>
      </c>
      <c r="O102" s="690">
        <v>1771</v>
      </c>
      <c r="P102" s="690">
        <v>1611</v>
      </c>
      <c r="Q102" s="690">
        <v>1355</v>
      </c>
      <c r="R102" s="690">
        <v>1409</v>
      </c>
      <c r="S102" s="690">
        <v>1185</v>
      </c>
      <c r="T102" s="690">
        <v>1108</v>
      </c>
      <c r="U102" s="690">
        <v>1185</v>
      </c>
      <c r="V102" s="690">
        <v>1171</v>
      </c>
      <c r="W102" s="690">
        <v>1503</v>
      </c>
      <c r="X102" s="690">
        <v>1472</v>
      </c>
      <c r="Y102" s="690">
        <v>1755</v>
      </c>
      <c r="Z102" s="690">
        <v>1826</v>
      </c>
    </row>
    <row r="103" spans="1:26" ht="16.5" customHeight="1" x14ac:dyDescent="0.25">
      <c r="A103" s="236"/>
      <c r="B103" s="779" t="s">
        <v>539</v>
      </c>
      <c r="C103" s="230">
        <v>10555</v>
      </c>
      <c r="D103" s="230">
        <v>9126</v>
      </c>
      <c r="E103" s="230">
        <v>10406</v>
      </c>
      <c r="F103" s="230">
        <v>10399</v>
      </c>
      <c r="G103" s="230">
        <v>9955</v>
      </c>
      <c r="H103" s="230">
        <v>8802</v>
      </c>
      <c r="I103" s="230">
        <v>9412</v>
      </c>
      <c r="J103" s="230">
        <v>9669</v>
      </c>
      <c r="K103" s="230">
        <v>10846</v>
      </c>
      <c r="L103" s="230">
        <v>11068</v>
      </c>
      <c r="M103" s="230">
        <v>12516</v>
      </c>
      <c r="N103" s="230">
        <v>11960</v>
      </c>
      <c r="O103" s="230">
        <v>12229</v>
      </c>
      <c r="P103" s="230">
        <v>10761</v>
      </c>
      <c r="Q103" s="230">
        <v>11243</v>
      </c>
      <c r="R103" s="230">
        <v>11894</v>
      </c>
      <c r="S103" s="230">
        <v>11519</v>
      </c>
      <c r="T103" s="230">
        <v>10513</v>
      </c>
      <c r="U103" s="230">
        <v>11304</v>
      </c>
      <c r="V103" s="230">
        <v>10404</v>
      </c>
      <c r="W103" s="230">
        <v>12128</v>
      </c>
      <c r="X103" s="230">
        <v>11004</v>
      </c>
      <c r="Y103" s="230">
        <v>12447</v>
      </c>
      <c r="Z103" s="230">
        <v>12975</v>
      </c>
    </row>
    <row r="104" spans="1:26" ht="23.25" customHeight="1" x14ac:dyDescent="0.25">
      <c r="A104" s="253"/>
      <c r="B104" s="778" t="s">
        <v>540</v>
      </c>
      <c r="C104" s="238">
        <v>16277</v>
      </c>
      <c r="D104" s="238">
        <v>14652</v>
      </c>
      <c r="E104" s="238">
        <v>16273</v>
      </c>
      <c r="F104" s="238">
        <v>16199</v>
      </c>
      <c r="G104" s="238">
        <v>15721</v>
      </c>
      <c r="H104" s="238">
        <v>13951</v>
      </c>
      <c r="I104" s="238">
        <v>15151</v>
      </c>
      <c r="J104" s="238">
        <v>15285</v>
      </c>
      <c r="K104" s="238">
        <v>16787</v>
      </c>
      <c r="L104" s="238">
        <v>16787</v>
      </c>
      <c r="M104" s="238">
        <v>18785</v>
      </c>
      <c r="N104" s="238">
        <v>17816</v>
      </c>
      <c r="O104" s="238">
        <v>18283</v>
      </c>
      <c r="P104" s="238">
        <v>16429</v>
      </c>
      <c r="Q104" s="238">
        <v>17215</v>
      </c>
      <c r="R104" s="238">
        <v>18226</v>
      </c>
      <c r="S104" s="238">
        <v>17506</v>
      </c>
      <c r="T104" s="238">
        <v>16269</v>
      </c>
      <c r="U104" s="238">
        <v>17480</v>
      </c>
      <c r="V104" s="238">
        <v>16107</v>
      </c>
      <c r="W104" s="238">
        <v>18176</v>
      </c>
      <c r="X104" s="238">
        <v>17036</v>
      </c>
      <c r="Y104" s="238">
        <v>18932</v>
      </c>
      <c r="Z104" s="238">
        <v>19566</v>
      </c>
    </row>
    <row r="105" spans="1:26" ht="32.25" customHeight="1" x14ac:dyDescent="0.25">
      <c r="A105" s="693" t="s">
        <v>541</v>
      </c>
      <c r="B105" s="783" t="s">
        <v>542</v>
      </c>
      <c r="C105" s="690">
        <v>825</v>
      </c>
      <c r="D105" s="690">
        <v>806</v>
      </c>
      <c r="E105" s="690">
        <v>806</v>
      </c>
      <c r="F105" s="690">
        <v>931</v>
      </c>
      <c r="G105" s="690">
        <v>970</v>
      </c>
      <c r="H105" s="690">
        <v>896</v>
      </c>
      <c r="I105" s="690">
        <v>971</v>
      </c>
      <c r="J105" s="690">
        <v>878</v>
      </c>
      <c r="K105" s="690">
        <v>1092</v>
      </c>
      <c r="L105" s="690">
        <v>1262</v>
      </c>
      <c r="M105" s="690">
        <v>1277</v>
      </c>
      <c r="N105" s="690">
        <v>1259</v>
      </c>
      <c r="O105" s="690">
        <v>1373</v>
      </c>
      <c r="P105" s="690">
        <v>1384</v>
      </c>
      <c r="Q105" s="690">
        <v>1265</v>
      </c>
      <c r="R105" s="690">
        <v>1369</v>
      </c>
      <c r="S105" s="690">
        <v>1333</v>
      </c>
      <c r="T105" s="690">
        <v>1190</v>
      </c>
      <c r="U105" s="690">
        <v>1304</v>
      </c>
      <c r="V105" s="690">
        <v>1168</v>
      </c>
      <c r="W105" s="690">
        <v>1297</v>
      </c>
      <c r="X105" s="690">
        <v>1978</v>
      </c>
      <c r="Y105" s="690">
        <v>2315</v>
      </c>
      <c r="Z105" s="690">
        <v>2558</v>
      </c>
    </row>
    <row r="106" spans="1:26" ht="19.5" customHeight="1" x14ac:dyDescent="0.25">
      <c r="A106" s="693" t="s">
        <v>543</v>
      </c>
      <c r="B106" s="783" t="s">
        <v>544</v>
      </c>
      <c r="C106" s="690">
        <v>5947</v>
      </c>
      <c r="D106" s="690">
        <v>5623</v>
      </c>
      <c r="E106" s="690">
        <v>6055</v>
      </c>
      <c r="F106" s="690">
        <v>6059</v>
      </c>
      <c r="G106" s="690">
        <v>5841</v>
      </c>
      <c r="H106" s="690">
        <v>6019</v>
      </c>
      <c r="I106" s="690">
        <v>5838</v>
      </c>
      <c r="J106" s="690">
        <v>5353</v>
      </c>
      <c r="K106" s="690">
        <v>5825</v>
      </c>
      <c r="L106" s="690">
        <v>5337</v>
      </c>
      <c r="M106" s="690">
        <v>6125</v>
      </c>
      <c r="N106" s="690">
        <v>5845</v>
      </c>
      <c r="O106" s="690">
        <v>5665</v>
      </c>
      <c r="P106" s="690">
        <v>5549</v>
      </c>
      <c r="Q106" s="690">
        <v>5285</v>
      </c>
      <c r="R106" s="690">
        <v>5710</v>
      </c>
      <c r="S106" s="690">
        <v>5204</v>
      </c>
      <c r="T106" s="690">
        <v>4838</v>
      </c>
      <c r="U106" s="690">
        <v>4661</v>
      </c>
      <c r="V106" s="690">
        <v>4451</v>
      </c>
      <c r="W106" s="690">
        <v>5005</v>
      </c>
      <c r="X106" s="690">
        <v>5006</v>
      </c>
      <c r="Y106" s="690">
        <v>5185</v>
      </c>
      <c r="Z106" s="690">
        <v>5204</v>
      </c>
    </row>
    <row r="107" spans="1:26" ht="20.25" customHeight="1" x14ac:dyDescent="0.25">
      <c r="A107" s="253"/>
      <c r="B107" s="778" t="s">
        <v>545</v>
      </c>
      <c r="C107" s="238">
        <v>6772</v>
      </c>
      <c r="D107" s="238">
        <v>6429</v>
      </c>
      <c r="E107" s="238">
        <v>6861</v>
      </c>
      <c r="F107" s="238">
        <v>6990</v>
      </c>
      <c r="G107" s="238">
        <v>6811</v>
      </c>
      <c r="H107" s="238">
        <v>6915</v>
      </c>
      <c r="I107" s="238">
        <v>6809</v>
      </c>
      <c r="J107" s="238">
        <v>6231</v>
      </c>
      <c r="K107" s="238">
        <v>6917</v>
      </c>
      <c r="L107" s="238">
        <v>6599</v>
      </c>
      <c r="M107" s="238">
        <v>7402</v>
      </c>
      <c r="N107" s="238">
        <v>7104</v>
      </c>
      <c r="O107" s="238">
        <v>7038</v>
      </c>
      <c r="P107" s="238">
        <v>6933</v>
      </c>
      <c r="Q107" s="238">
        <v>6550</v>
      </c>
      <c r="R107" s="238">
        <v>7079</v>
      </c>
      <c r="S107" s="238">
        <v>6537</v>
      </c>
      <c r="T107" s="238">
        <v>6028</v>
      </c>
      <c r="U107" s="238">
        <v>5965</v>
      </c>
      <c r="V107" s="238">
        <v>5619</v>
      </c>
      <c r="W107" s="238">
        <v>6302</v>
      </c>
      <c r="X107" s="238">
        <v>6984</v>
      </c>
      <c r="Y107" s="238">
        <v>7500</v>
      </c>
      <c r="Z107" s="238">
        <v>7762</v>
      </c>
    </row>
    <row r="108" spans="1:26" ht="22.5" customHeight="1" x14ac:dyDescent="0.25">
      <c r="A108" s="693"/>
      <c r="B108" s="787" t="s">
        <v>546</v>
      </c>
      <c r="C108" s="690" t="s">
        <v>169</v>
      </c>
      <c r="D108" s="690" t="s">
        <v>169</v>
      </c>
      <c r="E108" s="690" t="s">
        <v>169</v>
      </c>
      <c r="F108" s="690" t="s">
        <v>169</v>
      </c>
      <c r="G108" s="690" t="s">
        <v>169</v>
      </c>
      <c r="H108" s="690" t="s">
        <v>169</v>
      </c>
      <c r="I108" s="690" t="s">
        <v>169</v>
      </c>
      <c r="J108" s="690" t="s">
        <v>169</v>
      </c>
      <c r="K108" s="690" t="s">
        <v>169</v>
      </c>
      <c r="L108" s="690" t="s">
        <v>169</v>
      </c>
      <c r="M108" s="690" t="s">
        <v>169</v>
      </c>
      <c r="N108" s="690" t="s">
        <v>169</v>
      </c>
      <c r="O108" s="690" t="s">
        <v>169</v>
      </c>
      <c r="P108" s="690" t="s">
        <v>169</v>
      </c>
      <c r="Q108" s="690" t="s">
        <v>169</v>
      </c>
      <c r="R108" s="690" t="s">
        <v>169</v>
      </c>
      <c r="S108" s="690" t="s">
        <v>169</v>
      </c>
      <c r="T108" s="690" t="s">
        <v>169</v>
      </c>
      <c r="U108" s="690" t="s">
        <v>169</v>
      </c>
      <c r="V108" s="690" t="s">
        <v>169</v>
      </c>
      <c r="W108" s="690" t="s">
        <v>169</v>
      </c>
      <c r="X108" s="690" t="s">
        <v>169</v>
      </c>
      <c r="Y108" s="690" t="s">
        <v>169</v>
      </c>
      <c r="Z108" s="690" t="s">
        <v>169</v>
      </c>
    </row>
    <row r="109" spans="1:26" ht="16.350000000000001" customHeight="1" x14ac:dyDescent="0.25">
      <c r="A109" s="693"/>
      <c r="B109" s="787" t="s">
        <v>547</v>
      </c>
      <c r="C109" s="690" t="s">
        <v>169</v>
      </c>
      <c r="D109" s="690" t="s">
        <v>169</v>
      </c>
      <c r="E109" s="690" t="s">
        <v>169</v>
      </c>
      <c r="F109" s="690" t="s">
        <v>169</v>
      </c>
      <c r="G109" s="690" t="s">
        <v>169</v>
      </c>
      <c r="H109" s="690" t="s">
        <v>169</v>
      </c>
      <c r="I109" s="690" t="s">
        <v>169</v>
      </c>
      <c r="J109" s="690" t="s">
        <v>169</v>
      </c>
      <c r="K109" s="690" t="s">
        <v>169</v>
      </c>
      <c r="L109" s="690" t="s">
        <v>169</v>
      </c>
      <c r="M109" s="690" t="s">
        <v>169</v>
      </c>
      <c r="N109" s="690" t="s">
        <v>169</v>
      </c>
      <c r="O109" s="690" t="s">
        <v>169</v>
      </c>
      <c r="P109" s="690" t="s">
        <v>169</v>
      </c>
      <c r="Q109" s="690" t="s">
        <v>169</v>
      </c>
      <c r="R109" s="690" t="s">
        <v>169</v>
      </c>
      <c r="S109" s="690" t="s">
        <v>169</v>
      </c>
      <c r="T109" s="690" t="s">
        <v>169</v>
      </c>
      <c r="U109" s="690" t="s">
        <v>169</v>
      </c>
      <c r="V109" s="690" t="s">
        <v>169</v>
      </c>
      <c r="W109" s="690" t="s">
        <v>169</v>
      </c>
      <c r="X109" s="690" t="s">
        <v>169</v>
      </c>
      <c r="Y109" s="690" t="s">
        <v>169</v>
      </c>
      <c r="Z109" s="690" t="s">
        <v>169</v>
      </c>
    </row>
    <row r="110" spans="1:26" ht="16.350000000000001" customHeight="1" x14ac:dyDescent="0.25">
      <c r="A110" s="693"/>
      <c r="B110" s="787" t="s">
        <v>548</v>
      </c>
      <c r="C110" s="690">
        <v>15066</v>
      </c>
      <c r="D110" s="690">
        <v>15443</v>
      </c>
      <c r="E110" s="690">
        <v>14918</v>
      </c>
      <c r="F110" s="690">
        <v>16380</v>
      </c>
      <c r="G110" s="690">
        <v>15935</v>
      </c>
      <c r="H110" s="690">
        <v>16408</v>
      </c>
      <c r="I110" s="690">
        <v>16636</v>
      </c>
      <c r="J110" s="690">
        <v>14062</v>
      </c>
      <c r="K110" s="690">
        <v>14868</v>
      </c>
      <c r="L110" s="690">
        <v>14303</v>
      </c>
      <c r="M110" s="690">
        <v>13877</v>
      </c>
      <c r="N110" s="690">
        <v>13352</v>
      </c>
      <c r="O110" s="690">
        <v>13820</v>
      </c>
      <c r="P110" s="690">
        <v>13940</v>
      </c>
      <c r="Q110" s="690">
        <v>13699</v>
      </c>
      <c r="R110" s="690">
        <v>15142</v>
      </c>
      <c r="S110" s="690">
        <v>14584</v>
      </c>
      <c r="T110" s="690">
        <v>14531</v>
      </c>
      <c r="U110" s="690">
        <v>14000</v>
      </c>
      <c r="V110" s="690">
        <v>12219</v>
      </c>
      <c r="W110" s="690">
        <v>12934</v>
      </c>
      <c r="X110" s="690">
        <v>11757</v>
      </c>
      <c r="Y110" s="690">
        <v>12281</v>
      </c>
      <c r="Z110" s="690">
        <v>12468</v>
      </c>
    </row>
    <row r="111" spans="1:26" ht="16.350000000000001" customHeight="1" x14ac:dyDescent="0.25">
      <c r="A111" s="693"/>
      <c r="B111" s="787" t="s">
        <v>549</v>
      </c>
      <c r="C111" s="690">
        <v>111</v>
      </c>
      <c r="D111" s="690">
        <v>90</v>
      </c>
      <c r="E111" s="690">
        <v>98</v>
      </c>
      <c r="F111" s="690">
        <v>100</v>
      </c>
      <c r="G111" s="690">
        <v>85</v>
      </c>
      <c r="H111" s="690">
        <v>92</v>
      </c>
      <c r="I111" s="690">
        <v>85</v>
      </c>
      <c r="J111" s="690">
        <v>98</v>
      </c>
      <c r="K111" s="690">
        <v>193</v>
      </c>
      <c r="L111" s="690">
        <v>157</v>
      </c>
      <c r="M111" s="690">
        <v>174</v>
      </c>
      <c r="N111" s="690">
        <v>122</v>
      </c>
      <c r="O111" s="690">
        <v>145</v>
      </c>
      <c r="P111" s="690">
        <v>125</v>
      </c>
      <c r="Q111" s="690">
        <v>116</v>
      </c>
      <c r="R111" s="690">
        <v>140</v>
      </c>
      <c r="S111" s="690">
        <v>140</v>
      </c>
      <c r="T111" s="690">
        <v>101</v>
      </c>
      <c r="U111" s="690">
        <v>121</v>
      </c>
      <c r="V111" s="690">
        <v>92</v>
      </c>
      <c r="W111" s="690">
        <v>77</v>
      </c>
      <c r="X111" s="690">
        <v>73</v>
      </c>
      <c r="Y111" s="690">
        <v>73</v>
      </c>
      <c r="Z111" s="690">
        <v>123</v>
      </c>
    </row>
    <row r="112" spans="1:26" ht="14.25" customHeight="1" x14ac:dyDescent="0.25">
      <c r="A112" s="693"/>
      <c r="B112" s="788" t="s">
        <v>550</v>
      </c>
      <c r="C112" s="690">
        <v>11230</v>
      </c>
      <c r="D112" s="690">
        <v>11694</v>
      </c>
      <c r="E112" s="690">
        <v>11379</v>
      </c>
      <c r="F112" s="690">
        <v>12396</v>
      </c>
      <c r="G112" s="690">
        <v>11934</v>
      </c>
      <c r="H112" s="690">
        <v>12547</v>
      </c>
      <c r="I112" s="690">
        <v>12542</v>
      </c>
      <c r="J112" s="690">
        <v>10635</v>
      </c>
      <c r="K112" s="690">
        <v>10962</v>
      </c>
      <c r="L112" s="690">
        <v>10278</v>
      </c>
      <c r="M112" s="690">
        <v>10164</v>
      </c>
      <c r="N112" s="690">
        <v>9763</v>
      </c>
      <c r="O112" s="690">
        <v>10332</v>
      </c>
      <c r="P112" s="690">
        <v>10564</v>
      </c>
      <c r="Q112" s="690">
        <v>10130</v>
      </c>
      <c r="R112" s="690">
        <v>11234</v>
      </c>
      <c r="S112" s="690">
        <v>11150</v>
      </c>
      <c r="T112" s="690">
        <v>11087</v>
      </c>
      <c r="U112" s="690">
        <v>10478</v>
      </c>
      <c r="V112" s="690">
        <v>9054</v>
      </c>
      <c r="W112" s="690">
        <v>9415</v>
      </c>
      <c r="X112" s="690">
        <v>8586</v>
      </c>
      <c r="Y112" s="690">
        <v>9078</v>
      </c>
      <c r="Z112" s="690">
        <v>9248</v>
      </c>
    </row>
    <row r="113" spans="1:26" ht="14.25" customHeight="1" x14ac:dyDescent="0.25">
      <c r="A113" s="693"/>
      <c r="B113" s="789" t="s">
        <v>551</v>
      </c>
      <c r="C113" s="690">
        <v>3725</v>
      </c>
      <c r="D113" s="690">
        <v>3666</v>
      </c>
      <c r="E113" s="690">
        <v>3474</v>
      </c>
      <c r="F113" s="690">
        <v>3916</v>
      </c>
      <c r="G113" s="690">
        <v>3906</v>
      </c>
      <c r="H113" s="690">
        <v>3758</v>
      </c>
      <c r="I113" s="690">
        <v>3985</v>
      </c>
      <c r="J113" s="690">
        <v>3372</v>
      </c>
      <c r="K113" s="690">
        <v>3811</v>
      </c>
      <c r="L113" s="690">
        <v>3948</v>
      </c>
      <c r="M113" s="690">
        <v>3623</v>
      </c>
      <c r="N113" s="690">
        <v>3476</v>
      </c>
      <c r="O113" s="690">
        <v>3403</v>
      </c>
      <c r="P113" s="690">
        <v>3304</v>
      </c>
      <c r="Q113" s="690">
        <v>3490</v>
      </c>
      <c r="R113" s="690">
        <v>3810</v>
      </c>
      <c r="S113" s="690">
        <v>3354</v>
      </c>
      <c r="T113" s="690">
        <v>3363</v>
      </c>
      <c r="U113" s="690">
        <v>3429</v>
      </c>
      <c r="V113" s="690">
        <v>3070</v>
      </c>
      <c r="W113" s="690">
        <v>3423</v>
      </c>
      <c r="X113" s="690">
        <v>3074</v>
      </c>
      <c r="Y113" s="690">
        <v>3112</v>
      </c>
      <c r="Z113" s="690">
        <v>3135</v>
      </c>
    </row>
    <row r="114" spans="1:26" ht="27.75" customHeight="1" x14ac:dyDescent="0.25">
      <c r="A114" s="693"/>
      <c r="B114" s="787" t="s">
        <v>552</v>
      </c>
      <c r="C114" s="690" t="s">
        <v>169</v>
      </c>
      <c r="D114" s="690" t="s">
        <v>169</v>
      </c>
      <c r="E114" s="690" t="s">
        <v>169</v>
      </c>
      <c r="F114" s="690" t="s">
        <v>169</v>
      </c>
      <c r="G114" s="690" t="s">
        <v>169</v>
      </c>
      <c r="H114" s="690" t="s">
        <v>169</v>
      </c>
      <c r="I114" s="690" t="s">
        <v>169</v>
      </c>
      <c r="J114" s="690" t="s">
        <v>169</v>
      </c>
      <c r="K114" s="690" t="s">
        <v>169</v>
      </c>
      <c r="L114" s="690" t="s">
        <v>169</v>
      </c>
      <c r="M114" s="690" t="s">
        <v>169</v>
      </c>
      <c r="N114" s="690" t="s">
        <v>169</v>
      </c>
      <c r="O114" s="690" t="s">
        <v>169</v>
      </c>
      <c r="P114" s="690" t="s">
        <v>169</v>
      </c>
      <c r="Q114" s="690" t="s">
        <v>169</v>
      </c>
      <c r="R114" s="690" t="s">
        <v>169</v>
      </c>
      <c r="S114" s="690" t="s">
        <v>169</v>
      </c>
      <c r="T114" s="690" t="s">
        <v>169</v>
      </c>
      <c r="U114" s="690" t="s">
        <v>169</v>
      </c>
      <c r="V114" s="690" t="s">
        <v>169</v>
      </c>
      <c r="W114" s="690" t="s">
        <v>169</v>
      </c>
      <c r="X114" s="690" t="s">
        <v>169</v>
      </c>
      <c r="Y114" s="690" t="s">
        <v>169</v>
      </c>
      <c r="Z114" s="690" t="s">
        <v>169</v>
      </c>
    </row>
    <row r="115" spans="1:26" ht="13.5" customHeight="1" x14ac:dyDescent="0.25">
      <c r="A115" s="693"/>
      <c r="B115" s="787" t="s">
        <v>553</v>
      </c>
      <c r="C115" s="690">
        <v>7126</v>
      </c>
      <c r="D115" s="690">
        <v>7362</v>
      </c>
      <c r="E115" s="690">
        <v>6995</v>
      </c>
      <c r="F115" s="690">
        <v>7188</v>
      </c>
      <c r="G115" s="690">
        <v>6728</v>
      </c>
      <c r="H115" s="690">
        <v>6735</v>
      </c>
      <c r="I115" s="690">
        <v>7098</v>
      </c>
      <c r="J115" s="690">
        <v>6046</v>
      </c>
      <c r="K115" s="690">
        <v>6712</v>
      </c>
      <c r="L115" s="690">
        <v>7400</v>
      </c>
      <c r="M115" s="690">
        <v>6993</v>
      </c>
      <c r="N115" s="690">
        <v>6857</v>
      </c>
      <c r="O115" s="690">
        <v>7239</v>
      </c>
      <c r="P115" s="690">
        <v>7219</v>
      </c>
      <c r="Q115" s="690">
        <v>6691</v>
      </c>
      <c r="R115" s="690">
        <v>6769</v>
      </c>
      <c r="S115" s="690">
        <v>6227</v>
      </c>
      <c r="T115" s="690">
        <v>6019</v>
      </c>
      <c r="U115" s="690">
        <v>6123</v>
      </c>
      <c r="V115" s="690">
        <v>5398</v>
      </c>
      <c r="W115" s="690">
        <v>5795</v>
      </c>
      <c r="X115" s="690">
        <v>5835</v>
      </c>
      <c r="Y115" s="690">
        <v>6148</v>
      </c>
      <c r="Z115" s="690">
        <v>5957</v>
      </c>
    </row>
    <row r="116" spans="1:26" ht="17.25" customHeight="1" x14ac:dyDescent="0.25">
      <c r="A116" s="236"/>
      <c r="B116" s="775" t="s">
        <v>554</v>
      </c>
      <c r="C116" s="230">
        <v>22192</v>
      </c>
      <c r="D116" s="230">
        <v>22805</v>
      </c>
      <c r="E116" s="230">
        <v>21913</v>
      </c>
      <c r="F116" s="230">
        <v>23568</v>
      </c>
      <c r="G116" s="230">
        <v>22663</v>
      </c>
      <c r="H116" s="230">
        <v>23143</v>
      </c>
      <c r="I116" s="230">
        <v>23734</v>
      </c>
      <c r="J116" s="230">
        <v>20108</v>
      </c>
      <c r="K116" s="230">
        <v>21580</v>
      </c>
      <c r="L116" s="230">
        <v>21703</v>
      </c>
      <c r="M116" s="230">
        <v>20870</v>
      </c>
      <c r="N116" s="230">
        <v>20209</v>
      </c>
      <c r="O116" s="230">
        <v>21059</v>
      </c>
      <c r="P116" s="230">
        <v>21159</v>
      </c>
      <c r="Q116" s="230">
        <v>20390</v>
      </c>
      <c r="R116" s="230">
        <v>21911</v>
      </c>
      <c r="S116" s="230">
        <v>20811</v>
      </c>
      <c r="T116" s="230">
        <v>20550</v>
      </c>
      <c r="U116" s="230">
        <v>20123</v>
      </c>
      <c r="V116" s="230">
        <v>17617</v>
      </c>
      <c r="W116" s="230">
        <v>18729</v>
      </c>
      <c r="X116" s="230">
        <v>17592</v>
      </c>
      <c r="Y116" s="230">
        <v>18429</v>
      </c>
      <c r="Z116" s="230">
        <v>18425</v>
      </c>
    </row>
    <row r="117" spans="1:26" ht="36.75" customHeight="1" x14ac:dyDescent="0.25">
      <c r="A117" s="693">
        <v>37.200000000000003</v>
      </c>
      <c r="B117" s="783" t="s">
        <v>555</v>
      </c>
      <c r="C117" s="690">
        <v>412</v>
      </c>
      <c r="D117" s="690">
        <v>409</v>
      </c>
      <c r="E117" s="690">
        <v>345</v>
      </c>
      <c r="F117" s="690">
        <v>409</v>
      </c>
      <c r="G117" s="690">
        <v>389</v>
      </c>
      <c r="H117" s="690">
        <v>442</v>
      </c>
      <c r="I117" s="690">
        <v>375</v>
      </c>
      <c r="J117" s="690">
        <v>315</v>
      </c>
      <c r="K117" s="690">
        <v>375</v>
      </c>
      <c r="L117" s="690">
        <v>388</v>
      </c>
      <c r="M117" s="690">
        <v>379</v>
      </c>
      <c r="N117" s="690">
        <v>403</v>
      </c>
      <c r="O117" s="690">
        <v>402</v>
      </c>
      <c r="P117" s="690">
        <v>395</v>
      </c>
      <c r="Q117" s="690">
        <v>376</v>
      </c>
      <c r="R117" s="690">
        <v>371</v>
      </c>
      <c r="S117" s="690">
        <v>316</v>
      </c>
      <c r="T117" s="690">
        <v>330</v>
      </c>
      <c r="U117" s="690">
        <v>358</v>
      </c>
      <c r="V117" s="690">
        <v>279</v>
      </c>
      <c r="W117" s="690">
        <v>341</v>
      </c>
      <c r="X117" s="690">
        <v>324</v>
      </c>
      <c r="Y117" s="690">
        <v>308</v>
      </c>
      <c r="Z117" s="690">
        <v>324</v>
      </c>
    </row>
    <row r="118" spans="1:26" ht="16.350000000000001" customHeight="1" x14ac:dyDescent="0.25">
      <c r="A118" s="693">
        <v>45</v>
      </c>
      <c r="B118" s="783" t="s">
        <v>556</v>
      </c>
      <c r="C118" s="690">
        <v>16369</v>
      </c>
      <c r="D118" s="690">
        <v>16565</v>
      </c>
      <c r="E118" s="690">
        <v>16128</v>
      </c>
      <c r="F118" s="690">
        <v>18447</v>
      </c>
      <c r="G118" s="690">
        <v>16794</v>
      </c>
      <c r="H118" s="690">
        <v>15368</v>
      </c>
      <c r="I118" s="690">
        <v>16465</v>
      </c>
      <c r="J118" s="690">
        <v>14198</v>
      </c>
      <c r="K118" s="690">
        <v>15443</v>
      </c>
      <c r="L118" s="690">
        <v>16006</v>
      </c>
      <c r="M118" s="690">
        <v>15778</v>
      </c>
      <c r="N118" s="690">
        <v>15164</v>
      </c>
      <c r="O118" s="690">
        <v>15199</v>
      </c>
      <c r="P118" s="690">
        <v>14453</v>
      </c>
      <c r="Q118" s="690">
        <v>15112</v>
      </c>
      <c r="R118" s="690">
        <v>15796</v>
      </c>
      <c r="S118" s="690">
        <v>14299</v>
      </c>
      <c r="T118" s="690">
        <v>13588</v>
      </c>
      <c r="U118" s="690">
        <v>13522</v>
      </c>
      <c r="V118" s="690">
        <v>12214</v>
      </c>
      <c r="W118" s="690">
        <v>12612</v>
      </c>
      <c r="X118" s="690">
        <v>12228</v>
      </c>
      <c r="Y118" s="690">
        <v>12679</v>
      </c>
      <c r="Z118" s="690">
        <v>11872</v>
      </c>
    </row>
    <row r="119" spans="1:26" ht="16.350000000000001" customHeight="1" x14ac:dyDescent="0.25">
      <c r="A119" s="693">
        <v>48</v>
      </c>
      <c r="B119" s="783" t="s">
        <v>557</v>
      </c>
      <c r="C119" s="690">
        <v>10941</v>
      </c>
      <c r="D119" s="690">
        <v>11077</v>
      </c>
      <c r="E119" s="690">
        <v>10997</v>
      </c>
      <c r="F119" s="690">
        <v>11216</v>
      </c>
      <c r="G119" s="690">
        <v>11030</v>
      </c>
      <c r="H119" s="690">
        <v>9892</v>
      </c>
      <c r="I119" s="690">
        <v>10847</v>
      </c>
      <c r="J119" s="690">
        <v>9841</v>
      </c>
      <c r="K119" s="690">
        <v>10554</v>
      </c>
      <c r="L119" s="690">
        <v>10490</v>
      </c>
      <c r="M119" s="690">
        <v>10786</v>
      </c>
      <c r="N119" s="690">
        <v>10504</v>
      </c>
      <c r="O119" s="690">
        <v>10831</v>
      </c>
      <c r="P119" s="690">
        <v>10821</v>
      </c>
      <c r="Q119" s="690">
        <v>10360</v>
      </c>
      <c r="R119" s="690">
        <v>10907</v>
      </c>
      <c r="S119" s="690">
        <v>9968</v>
      </c>
      <c r="T119" s="690">
        <v>9031</v>
      </c>
      <c r="U119" s="690">
        <v>9489</v>
      </c>
      <c r="V119" s="690">
        <v>8713</v>
      </c>
      <c r="W119" s="690">
        <v>9689</v>
      </c>
      <c r="X119" s="690">
        <v>9462</v>
      </c>
      <c r="Y119" s="690">
        <v>10046</v>
      </c>
      <c r="Z119" s="690">
        <v>9723</v>
      </c>
    </row>
    <row r="120" spans="1:26" ht="16.350000000000001" customHeight="1" x14ac:dyDescent="0.25">
      <c r="A120" s="693">
        <v>126</v>
      </c>
      <c r="B120" s="783" t="s">
        <v>558</v>
      </c>
      <c r="C120" s="690">
        <v>4224</v>
      </c>
      <c r="D120" s="690">
        <v>4601</v>
      </c>
      <c r="E120" s="690">
        <v>4292</v>
      </c>
      <c r="F120" s="690">
        <v>4802</v>
      </c>
      <c r="G120" s="690">
        <v>4641</v>
      </c>
      <c r="H120" s="690">
        <v>4316</v>
      </c>
      <c r="I120" s="690">
        <v>5091</v>
      </c>
      <c r="J120" s="690">
        <v>4510</v>
      </c>
      <c r="K120" s="690">
        <v>4568</v>
      </c>
      <c r="L120" s="690">
        <v>4608</v>
      </c>
      <c r="M120" s="690">
        <v>4502</v>
      </c>
      <c r="N120" s="690">
        <v>4278</v>
      </c>
      <c r="O120" s="690">
        <v>4304</v>
      </c>
      <c r="P120" s="690">
        <v>4311</v>
      </c>
      <c r="Q120" s="690">
        <v>4197</v>
      </c>
      <c r="R120" s="690">
        <v>4453</v>
      </c>
      <c r="S120" s="690">
        <v>4212</v>
      </c>
      <c r="T120" s="690">
        <v>3870</v>
      </c>
      <c r="U120" s="690">
        <v>4082</v>
      </c>
      <c r="V120" s="690">
        <v>3707</v>
      </c>
      <c r="W120" s="690">
        <v>3752</v>
      </c>
      <c r="X120" s="690">
        <v>3761</v>
      </c>
      <c r="Y120" s="690">
        <v>3660</v>
      </c>
      <c r="Z120" s="690">
        <v>3442</v>
      </c>
    </row>
    <row r="121" spans="1:26" ht="16.350000000000001" customHeight="1" x14ac:dyDescent="0.25">
      <c r="A121" s="236"/>
      <c r="B121" s="779" t="s">
        <v>559</v>
      </c>
      <c r="C121" s="230">
        <v>31946</v>
      </c>
      <c r="D121" s="230">
        <v>32652</v>
      </c>
      <c r="E121" s="230">
        <v>31762</v>
      </c>
      <c r="F121" s="230">
        <v>34874</v>
      </c>
      <c r="G121" s="230">
        <v>32854</v>
      </c>
      <c r="H121" s="230">
        <v>30018</v>
      </c>
      <c r="I121" s="230">
        <v>32778</v>
      </c>
      <c r="J121" s="230">
        <v>28864</v>
      </c>
      <c r="K121" s="230">
        <v>30940</v>
      </c>
      <c r="L121" s="230">
        <v>31492</v>
      </c>
      <c r="M121" s="230">
        <v>31445</v>
      </c>
      <c r="N121" s="230">
        <v>30349</v>
      </c>
      <c r="O121" s="230">
        <v>30736</v>
      </c>
      <c r="P121" s="230">
        <v>29980</v>
      </c>
      <c r="Q121" s="230">
        <v>30045</v>
      </c>
      <c r="R121" s="230">
        <v>31527</v>
      </c>
      <c r="S121" s="230">
        <v>28795</v>
      </c>
      <c r="T121" s="230">
        <v>26819</v>
      </c>
      <c r="U121" s="230">
        <v>27451</v>
      </c>
      <c r="V121" s="230">
        <v>24913</v>
      </c>
      <c r="W121" s="230">
        <v>26394</v>
      </c>
      <c r="X121" s="230">
        <v>25775</v>
      </c>
      <c r="Y121" s="230">
        <v>26693</v>
      </c>
      <c r="Z121" s="230">
        <v>25361</v>
      </c>
    </row>
    <row r="122" spans="1:26" ht="30.75" customHeight="1" x14ac:dyDescent="0.25">
      <c r="A122" s="693">
        <v>39</v>
      </c>
      <c r="B122" s="783" t="s">
        <v>272</v>
      </c>
      <c r="C122" s="690">
        <v>9765</v>
      </c>
      <c r="D122" s="690">
        <v>9313</v>
      </c>
      <c r="E122" s="690">
        <v>9156</v>
      </c>
      <c r="F122" s="690">
        <v>10942</v>
      </c>
      <c r="G122" s="690">
        <v>13103</v>
      </c>
      <c r="H122" s="690">
        <v>12591</v>
      </c>
      <c r="I122" s="690">
        <v>10779</v>
      </c>
      <c r="J122" s="690">
        <v>11962</v>
      </c>
      <c r="K122" s="690">
        <v>13697</v>
      </c>
      <c r="L122" s="690">
        <v>13210</v>
      </c>
      <c r="M122" s="690">
        <v>12188</v>
      </c>
      <c r="N122" s="690">
        <v>12528</v>
      </c>
      <c r="O122" s="690">
        <v>12436</v>
      </c>
      <c r="P122" s="690">
        <v>11603</v>
      </c>
      <c r="Q122" s="690">
        <v>10909</v>
      </c>
      <c r="R122" s="690">
        <v>13678</v>
      </c>
      <c r="S122" s="690">
        <v>14934</v>
      </c>
      <c r="T122" s="690">
        <v>14346</v>
      </c>
      <c r="U122" s="690">
        <v>11329</v>
      </c>
      <c r="V122" s="690">
        <v>11500</v>
      </c>
      <c r="W122" s="690">
        <v>12454</v>
      </c>
      <c r="X122" s="690">
        <v>11230</v>
      </c>
      <c r="Y122" s="690">
        <v>10897</v>
      </c>
      <c r="Z122" s="690">
        <v>10544</v>
      </c>
    </row>
    <row r="123" spans="1:26" ht="14.25" customHeight="1" x14ac:dyDescent="0.25">
      <c r="A123" s="236"/>
      <c r="B123" s="779" t="s">
        <v>272</v>
      </c>
      <c r="C123" s="230">
        <v>9765</v>
      </c>
      <c r="D123" s="230">
        <v>9313</v>
      </c>
      <c r="E123" s="230">
        <v>9156</v>
      </c>
      <c r="F123" s="230">
        <v>10942</v>
      </c>
      <c r="G123" s="230">
        <v>13103</v>
      </c>
      <c r="H123" s="230">
        <v>12591</v>
      </c>
      <c r="I123" s="230">
        <v>10779</v>
      </c>
      <c r="J123" s="230">
        <v>11962</v>
      </c>
      <c r="K123" s="230">
        <v>13697</v>
      </c>
      <c r="L123" s="230">
        <v>13210</v>
      </c>
      <c r="M123" s="230">
        <v>12188</v>
      </c>
      <c r="N123" s="230">
        <v>12528</v>
      </c>
      <c r="O123" s="230">
        <v>12436</v>
      </c>
      <c r="P123" s="230">
        <v>11603</v>
      </c>
      <c r="Q123" s="230">
        <v>10909</v>
      </c>
      <c r="R123" s="230">
        <v>13678</v>
      </c>
      <c r="S123" s="230">
        <v>14934</v>
      </c>
      <c r="T123" s="230">
        <v>14346</v>
      </c>
      <c r="U123" s="230">
        <v>11329</v>
      </c>
      <c r="V123" s="230">
        <v>11500</v>
      </c>
      <c r="W123" s="230">
        <v>12454</v>
      </c>
      <c r="X123" s="230">
        <v>11230</v>
      </c>
      <c r="Y123" s="230">
        <v>10897</v>
      </c>
      <c r="Z123" s="230">
        <v>10544</v>
      </c>
    </row>
    <row r="124" spans="1:26" ht="33.75" customHeight="1" x14ac:dyDescent="0.25">
      <c r="A124" s="693">
        <v>44</v>
      </c>
      <c r="B124" s="783" t="s">
        <v>560</v>
      </c>
      <c r="C124" s="690">
        <v>6803</v>
      </c>
      <c r="D124" s="690">
        <v>6377</v>
      </c>
      <c r="E124" s="690">
        <v>6752</v>
      </c>
      <c r="F124" s="690">
        <v>6965</v>
      </c>
      <c r="G124" s="690">
        <v>5225</v>
      </c>
      <c r="H124" s="690">
        <v>3853</v>
      </c>
      <c r="I124" s="690">
        <v>4316</v>
      </c>
      <c r="J124" s="690">
        <v>4027</v>
      </c>
      <c r="K124" s="690">
        <v>4649</v>
      </c>
      <c r="L124" s="690">
        <v>4815</v>
      </c>
      <c r="M124" s="690">
        <v>5805</v>
      </c>
      <c r="N124" s="690">
        <v>5827</v>
      </c>
      <c r="O124" s="690">
        <v>5907</v>
      </c>
      <c r="P124" s="690">
        <v>6061</v>
      </c>
      <c r="Q124" s="690">
        <v>5939</v>
      </c>
      <c r="R124" s="690">
        <v>5775</v>
      </c>
      <c r="S124" s="690">
        <v>4884</v>
      </c>
      <c r="T124" s="690">
        <v>3500</v>
      </c>
      <c r="U124" s="690">
        <v>3482</v>
      </c>
      <c r="V124" s="690">
        <v>3377</v>
      </c>
      <c r="W124" s="690">
        <v>4527</v>
      </c>
      <c r="X124" s="690">
        <v>4791</v>
      </c>
      <c r="Y124" s="690">
        <v>5418</v>
      </c>
      <c r="Z124" s="690">
        <v>5307</v>
      </c>
    </row>
    <row r="125" spans="1:26" ht="15" customHeight="1" x14ac:dyDescent="0.25">
      <c r="A125" s="236"/>
      <c r="B125" s="779" t="s">
        <v>561</v>
      </c>
      <c r="C125" s="230">
        <v>6803</v>
      </c>
      <c r="D125" s="230">
        <v>6377</v>
      </c>
      <c r="E125" s="230">
        <v>6752</v>
      </c>
      <c r="F125" s="230">
        <v>6965</v>
      </c>
      <c r="G125" s="230">
        <v>5225</v>
      </c>
      <c r="H125" s="230">
        <v>3853</v>
      </c>
      <c r="I125" s="230">
        <v>4316</v>
      </c>
      <c r="J125" s="230">
        <v>4027</v>
      </c>
      <c r="K125" s="230">
        <v>4649</v>
      </c>
      <c r="L125" s="230">
        <v>4815</v>
      </c>
      <c r="M125" s="230">
        <v>5805</v>
      </c>
      <c r="N125" s="230">
        <v>5827</v>
      </c>
      <c r="O125" s="230">
        <v>5907</v>
      </c>
      <c r="P125" s="230">
        <v>6061</v>
      </c>
      <c r="Q125" s="230">
        <v>5939</v>
      </c>
      <c r="R125" s="230">
        <v>5775</v>
      </c>
      <c r="S125" s="230">
        <v>4884</v>
      </c>
      <c r="T125" s="230">
        <v>3500</v>
      </c>
      <c r="U125" s="230">
        <v>3482</v>
      </c>
      <c r="V125" s="230">
        <v>3377</v>
      </c>
      <c r="W125" s="230">
        <v>4527</v>
      </c>
      <c r="X125" s="230">
        <v>4791</v>
      </c>
      <c r="Y125" s="230">
        <v>5418</v>
      </c>
      <c r="Z125" s="230">
        <v>5307</v>
      </c>
    </row>
    <row r="126" spans="1:26" ht="27.75" customHeight="1" x14ac:dyDescent="0.25">
      <c r="A126" s="693">
        <v>46</v>
      </c>
      <c r="B126" s="783" t="s">
        <v>562</v>
      </c>
      <c r="C126" s="690">
        <v>39654</v>
      </c>
      <c r="D126" s="690">
        <v>39705</v>
      </c>
      <c r="E126" s="690">
        <v>37122</v>
      </c>
      <c r="F126" s="690">
        <v>39049</v>
      </c>
      <c r="G126" s="690">
        <v>36287</v>
      </c>
      <c r="H126" s="690">
        <v>32612</v>
      </c>
      <c r="I126" s="690">
        <v>37621</v>
      </c>
      <c r="J126" s="690">
        <v>35785</v>
      </c>
      <c r="K126" s="690">
        <v>41117</v>
      </c>
      <c r="L126" s="690">
        <v>44993</v>
      </c>
      <c r="M126" s="690">
        <v>43494</v>
      </c>
      <c r="N126" s="690">
        <v>42259</v>
      </c>
      <c r="O126" s="690">
        <v>45725</v>
      </c>
      <c r="P126" s="690">
        <v>48080</v>
      </c>
      <c r="Q126" s="690">
        <v>45746</v>
      </c>
      <c r="R126" s="690">
        <v>48094</v>
      </c>
      <c r="S126" s="690">
        <v>45535</v>
      </c>
      <c r="T126" s="690">
        <v>38294</v>
      </c>
      <c r="U126" s="690">
        <v>41291</v>
      </c>
      <c r="V126" s="690">
        <v>41304</v>
      </c>
      <c r="W126" s="690">
        <v>45624</v>
      </c>
      <c r="X126" s="690">
        <v>43757</v>
      </c>
      <c r="Y126" s="690">
        <v>44224</v>
      </c>
      <c r="Z126" s="690">
        <v>42320</v>
      </c>
    </row>
    <row r="127" spans="1:26" ht="16.350000000000001" customHeight="1" x14ac:dyDescent="0.25">
      <c r="A127" s="236"/>
      <c r="B127" s="779" t="s">
        <v>562</v>
      </c>
      <c r="C127" s="230">
        <v>39654</v>
      </c>
      <c r="D127" s="230">
        <v>39705</v>
      </c>
      <c r="E127" s="230">
        <v>37122</v>
      </c>
      <c r="F127" s="230">
        <v>39049</v>
      </c>
      <c r="G127" s="230">
        <v>36287</v>
      </c>
      <c r="H127" s="230">
        <v>32612</v>
      </c>
      <c r="I127" s="230">
        <v>37621</v>
      </c>
      <c r="J127" s="230">
        <v>35785</v>
      </c>
      <c r="K127" s="230">
        <v>41117</v>
      </c>
      <c r="L127" s="230">
        <v>44993</v>
      </c>
      <c r="M127" s="230">
        <v>43494</v>
      </c>
      <c r="N127" s="230">
        <v>42259</v>
      </c>
      <c r="O127" s="230">
        <v>45725</v>
      </c>
      <c r="P127" s="230">
        <v>48080</v>
      </c>
      <c r="Q127" s="230">
        <v>45746</v>
      </c>
      <c r="R127" s="230">
        <v>48094</v>
      </c>
      <c r="S127" s="230">
        <v>45535</v>
      </c>
      <c r="T127" s="230">
        <v>38294</v>
      </c>
      <c r="U127" s="230">
        <v>41291</v>
      </c>
      <c r="V127" s="230">
        <v>41304</v>
      </c>
      <c r="W127" s="230">
        <v>45624</v>
      </c>
      <c r="X127" s="230">
        <v>43757</v>
      </c>
      <c r="Y127" s="230">
        <v>44224</v>
      </c>
      <c r="Z127" s="230">
        <v>42320</v>
      </c>
    </row>
    <row r="128" spans="1:26" ht="29.25" customHeight="1" x14ac:dyDescent="0.25">
      <c r="A128" s="693">
        <v>35</v>
      </c>
      <c r="B128" s="783" t="s">
        <v>563</v>
      </c>
      <c r="C128" s="690">
        <v>3672</v>
      </c>
      <c r="D128" s="690">
        <v>3877</v>
      </c>
      <c r="E128" s="690">
        <v>3367</v>
      </c>
      <c r="F128" s="690">
        <v>3198</v>
      </c>
      <c r="G128" s="690">
        <v>2804</v>
      </c>
      <c r="H128" s="690">
        <v>2351</v>
      </c>
      <c r="I128" s="690">
        <v>2796</v>
      </c>
      <c r="J128" s="690">
        <v>2598</v>
      </c>
      <c r="K128" s="690">
        <v>2608</v>
      </c>
      <c r="L128" s="690">
        <v>2640</v>
      </c>
      <c r="M128" s="690">
        <v>2820</v>
      </c>
      <c r="N128" s="690">
        <v>2558</v>
      </c>
      <c r="O128" s="690">
        <v>2711</v>
      </c>
      <c r="P128" s="690">
        <v>2703</v>
      </c>
      <c r="Q128" s="690">
        <v>2615</v>
      </c>
      <c r="R128" s="690">
        <v>2583</v>
      </c>
      <c r="S128" s="690">
        <v>2450</v>
      </c>
      <c r="T128" s="690">
        <v>2177</v>
      </c>
      <c r="U128" s="690">
        <v>2614</v>
      </c>
      <c r="V128" s="690">
        <v>2342</v>
      </c>
      <c r="W128" s="690">
        <v>2551</v>
      </c>
      <c r="X128" s="690">
        <v>2481</v>
      </c>
      <c r="Y128" s="690">
        <v>2571</v>
      </c>
      <c r="Z128" s="690">
        <v>2566</v>
      </c>
    </row>
    <row r="129" spans="1:26" ht="16.350000000000001" customHeight="1" x14ac:dyDescent="0.25">
      <c r="A129" s="693">
        <v>40</v>
      </c>
      <c r="B129" s="783" t="s">
        <v>564</v>
      </c>
      <c r="C129" s="690">
        <v>3538</v>
      </c>
      <c r="D129" s="690">
        <v>3480</v>
      </c>
      <c r="E129" s="690">
        <v>3294</v>
      </c>
      <c r="F129" s="690">
        <v>3264</v>
      </c>
      <c r="G129" s="690">
        <v>3179</v>
      </c>
      <c r="H129" s="690">
        <v>3198</v>
      </c>
      <c r="I129" s="690">
        <v>3311</v>
      </c>
      <c r="J129" s="690">
        <v>2982</v>
      </c>
      <c r="K129" s="690">
        <v>3318</v>
      </c>
      <c r="L129" s="690">
        <v>3223</v>
      </c>
      <c r="M129" s="690">
        <v>3302</v>
      </c>
      <c r="N129" s="690">
        <v>3277</v>
      </c>
      <c r="O129" s="690">
        <v>3312</v>
      </c>
      <c r="P129" s="690">
        <v>3278</v>
      </c>
      <c r="Q129" s="690">
        <v>2971</v>
      </c>
      <c r="R129" s="690">
        <v>3140</v>
      </c>
      <c r="S129" s="690">
        <v>2914</v>
      </c>
      <c r="T129" s="690">
        <v>2844</v>
      </c>
      <c r="U129" s="690">
        <v>2899</v>
      </c>
      <c r="V129" s="690">
        <v>2687</v>
      </c>
      <c r="W129" s="690">
        <v>2922</v>
      </c>
      <c r="X129" s="690">
        <v>2860</v>
      </c>
      <c r="Y129" s="690">
        <v>3046</v>
      </c>
      <c r="Z129" s="690">
        <v>3002</v>
      </c>
    </row>
    <row r="130" spans="1:26" ht="16.350000000000001" customHeight="1" x14ac:dyDescent="0.25">
      <c r="A130" s="693">
        <v>41</v>
      </c>
      <c r="B130" s="783" t="s">
        <v>565</v>
      </c>
      <c r="C130" s="690">
        <v>584</v>
      </c>
      <c r="D130" s="690">
        <v>553</v>
      </c>
      <c r="E130" s="690">
        <v>548</v>
      </c>
      <c r="F130" s="690">
        <v>543</v>
      </c>
      <c r="G130" s="690">
        <v>575</v>
      </c>
      <c r="H130" s="690">
        <v>506</v>
      </c>
      <c r="I130" s="690">
        <v>549</v>
      </c>
      <c r="J130" s="690">
        <v>488</v>
      </c>
      <c r="K130" s="690">
        <v>409</v>
      </c>
      <c r="L130" s="690">
        <v>440</v>
      </c>
      <c r="M130" s="690">
        <v>488</v>
      </c>
      <c r="N130" s="690">
        <v>442</v>
      </c>
      <c r="O130" s="690">
        <v>442</v>
      </c>
      <c r="P130" s="690">
        <v>435</v>
      </c>
      <c r="Q130" s="690">
        <v>494</v>
      </c>
      <c r="R130" s="690">
        <v>477</v>
      </c>
      <c r="S130" s="690">
        <v>469</v>
      </c>
      <c r="T130" s="690">
        <v>469</v>
      </c>
      <c r="U130" s="690">
        <v>424</v>
      </c>
      <c r="V130" s="690">
        <v>390</v>
      </c>
      <c r="W130" s="690">
        <v>406</v>
      </c>
      <c r="X130" s="690">
        <v>386</v>
      </c>
      <c r="Y130" s="690">
        <v>404</v>
      </c>
      <c r="Z130" s="690">
        <v>381</v>
      </c>
    </row>
    <row r="131" spans="1:26" ht="16.350000000000001" customHeight="1" x14ac:dyDescent="0.25">
      <c r="A131" s="693">
        <v>42</v>
      </c>
      <c r="B131" s="783" t="s">
        <v>566</v>
      </c>
      <c r="C131" s="690">
        <v>459</v>
      </c>
      <c r="D131" s="690">
        <v>430</v>
      </c>
      <c r="E131" s="690">
        <v>394</v>
      </c>
      <c r="F131" s="690">
        <v>447</v>
      </c>
      <c r="G131" s="690">
        <v>542</v>
      </c>
      <c r="H131" s="690">
        <v>692</v>
      </c>
      <c r="I131" s="690">
        <v>493</v>
      </c>
      <c r="J131" s="690">
        <v>382</v>
      </c>
      <c r="K131" s="690">
        <v>620</v>
      </c>
      <c r="L131" s="690">
        <v>622</v>
      </c>
      <c r="M131" s="690">
        <v>639</v>
      </c>
      <c r="N131" s="690">
        <v>572</v>
      </c>
      <c r="O131" s="690">
        <v>615</v>
      </c>
      <c r="P131" s="690">
        <v>576</v>
      </c>
      <c r="Q131" s="690">
        <v>569</v>
      </c>
      <c r="R131" s="690">
        <v>745</v>
      </c>
      <c r="S131" s="690">
        <v>894</v>
      </c>
      <c r="T131" s="690">
        <v>1266</v>
      </c>
      <c r="U131" s="690">
        <v>878</v>
      </c>
      <c r="V131" s="690">
        <v>707</v>
      </c>
      <c r="W131" s="690">
        <v>742</v>
      </c>
      <c r="X131" s="690">
        <v>647</v>
      </c>
      <c r="Y131" s="690">
        <v>705</v>
      </c>
      <c r="Z131" s="690">
        <v>695</v>
      </c>
    </row>
    <row r="132" spans="1:26" ht="16.5" customHeight="1" x14ac:dyDescent="0.25">
      <c r="A132" s="693">
        <v>43</v>
      </c>
      <c r="B132" s="783" t="s">
        <v>567</v>
      </c>
      <c r="C132" s="690">
        <v>244</v>
      </c>
      <c r="D132" s="690">
        <v>218</v>
      </c>
      <c r="E132" s="690">
        <v>216</v>
      </c>
      <c r="F132" s="690">
        <v>231</v>
      </c>
      <c r="G132" s="690">
        <v>259</v>
      </c>
      <c r="H132" s="690">
        <v>238</v>
      </c>
      <c r="I132" s="690">
        <v>260</v>
      </c>
      <c r="J132" s="690">
        <v>279</v>
      </c>
      <c r="K132" s="690">
        <v>259</v>
      </c>
      <c r="L132" s="690">
        <v>237</v>
      </c>
      <c r="M132" s="690">
        <v>241</v>
      </c>
      <c r="N132" s="690">
        <v>178</v>
      </c>
      <c r="O132" s="690">
        <v>183</v>
      </c>
      <c r="P132" s="690">
        <v>184</v>
      </c>
      <c r="Q132" s="690">
        <v>186</v>
      </c>
      <c r="R132" s="690">
        <v>189</v>
      </c>
      <c r="S132" s="690">
        <v>241</v>
      </c>
      <c r="T132" s="690">
        <v>175</v>
      </c>
      <c r="U132" s="690">
        <v>205</v>
      </c>
      <c r="V132" s="690">
        <v>212</v>
      </c>
      <c r="W132" s="690">
        <v>204</v>
      </c>
      <c r="X132" s="690">
        <v>175</v>
      </c>
      <c r="Y132" s="690">
        <v>171</v>
      </c>
      <c r="Z132" s="690">
        <v>163</v>
      </c>
    </row>
    <row r="133" spans="1:26" ht="18.75" customHeight="1" x14ac:dyDescent="0.25">
      <c r="A133" s="693">
        <v>47</v>
      </c>
      <c r="B133" s="783" t="s">
        <v>568</v>
      </c>
      <c r="C133" s="690">
        <v>125</v>
      </c>
      <c r="D133" s="690">
        <v>120</v>
      </c>
      <c r="E133" s="690">
        <v>106</v>
      </c>
      <c r="F133" s="690">
        <v>110</v>
      </c>
      <c r="G133" s="690">
        <v>99</v>
      </c>
      <c r="H133" s="690">
        <v>104</v>
      </c>
      <c r="I133" s="690">
        <v>100</v>
      </c>
      <c r="J133" s="690">
        <v>99</v>
      </c>
      <c r="K133" s="690">
        <v>115</v>
      </c>
      <c r="L133" s="690">
        <v>144</v>
      </c>
      <c r="M133" s="690">
        <v>133</v>
      </c>
      <c r="N133" s="690">
        <v>114</v>
      </c>
      <c r="O133" s="690">
        <v>108</v>
      </c>
      <c r="P133" s="690">
        <v>133</v>
      </c>
      <c r="Q133" s="690">
        <v>118</v>
      </c>
      <c r="R133" s="690">
        <v>116</v>
      </c>
      <c r="S133" s="690">
        <v>97</v>
      </c>
      <c r="T133" s="690">
        <v>95</v>
      </c>
      <c r="U133" s="690">
        <v>69</v>
      </c>
      <c r="V133" s="690">
        <v>85</v>
      </c>
      <c r="W133" s="690">
        <v>85</v>
      </c>
      <c r="X133" s="690">
        <v>94</v>
      </c>
      <c r="Y133" s="690">
        <v>68</v>
      </c>
      <c r="Z133" s="690">
        <v>68</v>
      </c>
    </row>
    <row r="134" spans="1:26" ht="16.350000000000001" customHeight="1" x14ac:dyDescent="0.25">
      <c r="A134" s="693">
        <v>49</v>
      </c>
      <c r="B134" s="783" t="s">
        <v>569</v>
      </c>
      <c r="C134" s="690">
        <v>31176</v>
      </c>
      <c r="D134" s="690">
        <v>29740</v>
      </c>
      <c r="E134" s="690">
        <v>28723</v>
      </c>
      <c r="F134" s="690">
        <v>30763</v>
      </c>
      <c r="G134" s="690">
        <v>30195</v>
      </c>
      <c r="H134" s="690">
        <v>28954</v>
      </c>
      <c r="I134" s="690">
        <v>26821</v>
      </c>
      <c r="J134" s="690">
        <v>26231</v>
      </c>
      <c r="K134" s="690">
        <v>25979</v>
      </c>
      <c r="L134" s="690">
        <v>26141</v>
      </c>
      <c r="M134" s="690">
        <v>27724</v>
      </c>
      <c r="N134" s="690">
        <v>28586</v>
      </c>
      <c r="O134" s="690">
        <v>28732</v>
      </c>
      <c r="P134" s="690">
        <v>27087</v>
      </c>
      <c r="Q134" s="690">
        <v>25478</v>
      </c>
      <c r="R134" s="690">
        <v>27180</v>
      </c>
      <c r="S134" s="690">
        <v>26904</v>
      </c>
      <c r="T134" s="690">
        <v>27412</v>
      </c>
      <c r="U134" s="690">
        <v>23955</v>
      </c>
      <c r="V134" s="690">
        <v>22412</v>
      </c>
      <c r="W134" s="690">
        <v>25126</v>
      </c>
      <c r="X134" s="690">
        <v>25430</v>
      </c>
      <c r="Y134" s="690">
        <v>26925</v>
      </c>
      <c r="Z134" s="690">
        <v>26616</v>
      </c>
    </row>
    <row r="135" spans="1:26" ht="16.350000000000001" customHeight="1" x14ac:dyDescent="0.25">
      <c r="A135" s="693" t="s">
        <v>570</v>
      </c>
      <c r="B135" s="783" t="s">
        <v>571</v>
      </c>
      <c r="C135" s="690">
        <v>4384</v>
      </c>
      <c r="D135" s="690">
        <v>4368</v>
      </c>
      <c r="E135" s="690">
        <v>4229</v>
      </c>
      <c r="F135" s="690">
        <v>4399</v>
      </c>
      <c r="G135" s="690">
        <v>4196</v>
      </c>
      <c r="H135" s="690">
        <v>4024</v>
      </c>
      <c r="I135" s="690">
        <v>3900</v>
      </c>
      <c r="J135" s="690">
        <v>3708</v>
      </c>
      <c r="K135" s="690">
        <v>4034</v>
      </c>
      <c r="L135" s="690">
        <v>4385</v>
      </c>
      <c r="M135" s="690">
        <v>4226</v>
      </c>
      <c r="N135" s="690">
        <v>4042</v>
      </c>
      <c r="O135" s="690">
        <v>4104</v>
      </c>
      <c r="P135" s="690">
        <v>4029</v>
      </c>
      <c r="Q135" s="690">
        <v>3327</v>
      </c>
      <c r="R135" s="690">
        <v>3194</v>
      </c>
      <c r="S135" s="690">
        <v>2841</v>
      </c>
      <c r="T135" s="690">
        <v>2369</v>
      </c>
      <c r="U135" s="690">
        <v>2225</v>
      </c>
      <c r="V135" s="690">
        <v>2134</v>
      </c>
      <c r="W135" s="690">
        <v>2375</v>
      </c>
      <c r="X135" s="690">
        <v>2359</v>
      </c>
      <c r="Y135" s="690">
        <v>2479</v>
      </c>
      <c r="Z135" s="690">
        <v>2296</v>
      </c>
    </row>
    <row r="136" spans="1:26" ht="20.25" customHeight="1" x14ac:dyDescent="0.25">
      <c r="A136" s="236"/>
      <c r="B136" s="779" t="s">
        <v>572</v>
      </c>
      <c r="C136" s="230">
        <v>44182</v>
      </c>
      <c r="D136" s="230">
        <v>42786</v>
      </c>
      <c r="E136" s="230">
        <v>40877</v>
      </c>
      <c r="F136" s="230">
        <v>42955</v>
      </c>
      <c r="G136" s="230">
        <v>41849</v>
      </c>
      <c r="H136" s="230">
        <v>40067</v>
      </c>
      <c r="I136" s="230">
        <v>38230</v>
      </c>
      <c r="J136" s="230">
        <v>36767</v>
      </c>
      <c r="K136" s="230">
        <v>37342</v>
      </c>
      <c r="L136" s="230">
        <v>37832</v>
      </c>
      <c r="M136" s="230">
        <v>39573</v>
      </c>
      <c r="N136" s="230">
        <v>39769</v>
      </c>
      <c r="O136" s="230">
        <v>40207</v>
      </c>
      <c r="P136" s="230">
        <v>38425</v>
      </c>
      <c r="Q136" s="230">
        <v>35758</v>
      </c>
      <c r="R136" s="230">
        <v>37624</v>
      </c>
      <c r="S136" s="230">
        <v>36810</v>
      </c>
      <c r="T136" s="230">
        <v>36807</v>
      </c>
      <c r="U136" s="230">
        <v>33269</v>
      </c>
      <c r="V136" s="230">
        <v>30969</v>
      </c>
      <c r="W136" s="230">
        <v>34411</v>
      </c>
      <c r="X136" s="230">
        <v>34432</v>
      </c>
      <c r="Y136" s="230">
        <v>36369</v>
      </c>
      <c r="Z136" s="230">
        <v>35787</v>
      </c>
    </row>
    <row r="137" spans="1:26" ht="26.25" customHeight="1" x14ac:dyDescent="0.25">
      <c r="A137" s="253"/>
      <c r="B137" s="780" t="s">
        <v>573</v>
      </c>
      <c r="C137" s="254">
        <v>154542</v>
      </c>
      <c r="D137" s="254">
        <v>153638</v>
      </c>
      <c r="E137" s="254">
        <v>147582</v>
      </c>
      <c r="F137" s="254">
        <v>158353</v>
      </c>
      <c r="G137" s="254">
        <v>151981</v>
      </c>
      <c r="H137" s="254">
        <v>142284</v>
      </c>
      <c r="I137" s="254">
        <v>147458</v>
      </c>
      <c r="J137" s="254">
        <v>137513</v>
      </c>
      <c r="K137" s="254">
        <v>149325</v>
      </c>
      <c r="L137" s="254">
        <v>154045</v>
      </c>
      <c r="M137" s="254">
        <v>153375</v>
      </c>
      <c r="N137" s="254">
        <v>150941</v>
      </c>
      <c r="O137" s="254">
        <v>156070</v>
      </c>
      <c r="P137" s="254">
        <v>155308</v>
      </c>
      <c r="Q137" s="254">
        <v>148787</v>
      </c>
      <c r="R137" s="254">
        <v>158609</v>
      </c>
      <c r="S137" s="254">
        <v>151769</v>
      </c>
      <c r="T137" s="254">
        <v>140316</v>
      </c>
      <c r="U137" s="254">
        <v>136945</v>
      </c>
      <c r="V137" s="254">
        <v>129680</v>
      </c>
      <c r="W137" s="254">
        <v>142139</v>
      </c>
      <c r="X137" s="254">
        <v>137577</v>
      </c>
      <c r="Y137" s="254">
        <v>142030</v>
      </c>
      <c r="Z137" s="254">
        <v>137744</v>
      </c>
    </row>
    <row r="138" spans="1:26" ht="23.25" customHeight="1" x14ac:dyDescent="0.25">
      <c r="A138" s="693">
        <v>56</v>
      </c>
      <c r="B138" s="783" t="s">
        <v>574</v>
      </c>
      <c r="C138" s="690" t="s">
        <v>169</v>
      </c>
      <c r="D138" s="690" t="s">
        <v>169</v>
      </c>
      <c r="E138" s="690" t="s">
        <v>169</v>
      </c>
      <c r="F138" s="690" t="s">
        <v>169</v>
      </c>
      <c r="G138" s="690" t="s">
        <v>169</v>
      </c>
      <c r="H138" s="690" t="s">
        <v>169</v>
      </c>
      <c r="I138" s="690" t="s">
        <v>169</v>
      </c>
      <c r="J138" s="690" t="s">
        <v>169</v>
      </c>
      <c r="K138" s="690" t="s">
        <v>169</v>
      </c>
      <c r="L138" s="690" t="s">
        <v>169</v>
      </c>
      <c r="M138" s="690" t="s">
        <v>169</v>
      </c>
      <c r="N138" s="690" t="s">
        <v>169</v>
      </c>
      <c r="O138" s="690" t="s">
        <v>169</v>
      </c>
      <c r="P138" s="690" t="s">
        <v>169</v>
      </c>
      <c r="Q138" s="690" t="s">
        <v>169</v>
      </c>
      <c r="R138" s="690" t="s">
        <v>169</v>
      </c>
      <c r="S138" s="690" t="s">
        <v>169</v>
      </c>
      <c r="T138" s="690" t="s">
        <v>169</v>
      </c>
      <c r="U138" s="690" t="s">
        <v>169</v>
      </c>
      <c r="V138" s="690" t="s">
        <v>169</v>
      </c>
      <c r="W138" s="690" t="s">
        <v>169</v>
      </c>
      <c r="X138" s="690" t="s">
        <v>169</v>
      </c>
      <c r="Y138" s="690" t="s">
        <v>169</v>
      </c>
      <c r="Z138" s="690" t="s">
        <v>169</v>
      </c>
    </row>
    <row r="139" spans="1:26" ht="16.350000000000001" customHeight="1" x14ac:dyDescent="0.25">
      <c r="A139" s="693" t="s">
        <v>575</v>
      </c>
      <c r="B139" s="783" t="s">
        <v>576</v>
      </c>
      <c r="C139" s="690">
        <v>364</v>
      </c>
      <c r="D139" s="690">
        <v>372</v>
      </c>
      <c r="E139" s="690">
        <v>354</v>
      </c>
      <c r="F139" s="690">
        <v>361</v>
      </c>
      <c r="G139" s="690">
        <v>384</v>
      </c>
      <c r="H139" s="690">
        <v>309</v>
      </c>
      <c r="I139" s="690">
        <v>314</v>
      </c>
      <c r="J139" s="690">
        <v>259</v>
      </c>
      <c r="K139" s="690">
        <v>310</v>
      </c>
      <c r="L139" s="690">
        <v>297</v>
      </c>
      <c r="M139" s="690">
        <v>316</v>
      </c>
      <c r="N139" s="690">
        <v>327</v>
      </c>
      <c r="O139" s="690">
        <v>385</v>
      </c>
      <c r="P139" s="690">
        <v>337</v>
      </c>
      <c r="Q139" s="690">
        <v>316</v>
      </c>
      <c r="R139" s="690">
        <v>332</v>
      </c>
      <c r="S139" s="690">
        <v>414</v>
      </c>
      <c r="T139" s="690">
        <v>318</v>
      </c>
      <c r="U139" s="690">
        <v>298</v>
      </c>
      <c r="V139" s="690">
        <v>286</v>
      </c>
      <c r="W139" s="690">
        <v>343</v>
      </c>
      <c r="X139" s="690">
        <v>362</v>
      </c>
      <c r="Y139" s="690">
        <v>357</v>
      </c>
      <c r="Z139" s="690">
        <v>371</v>
      </c>
    </row>
    <row r="140" spans="1:26" ht="16.350000000000001" customHeight="1" x14ac:dyDescent="0.25">
      <c r="A140" s="693" t="s">
        <v>577</v>
      </c>
      <c r="B140" s="783" t="s">
        <v>578</v>
      </c>
      <c r="C140" s="690">
        <v>2029</v>
      </c>
      <c r="D140" s="690">
        <v>1891</v>
      </c>
      <c r="E140" s="690">
        <v>1779</v>
      </c>
      <c r="F140" s="690">
        <v>1677</v>
      </c>
      <c r="G140" s="690">
        <v>1328</v>
      </c>
      <c r="H140" s="690">
        <v>1046</v>
      </c>
      <c r="I140" s="690">
        <v>1261</v>
      </c>
      <c r="J140" s="690">
        <v>1126</v>
      </c>
      <c r="K140" s="690">
        <v>1309</v>
      </c>
      <c r="L140" s="690">
        <v>1607</v>
      </c>
      <c r="M140" s="690">
        <v>1678</v>
      </c>
      <c r="N140" s="690">
        <v>1841</v>
      </c>
      <c r="O140" s="690">
        <v>1877</v>
      </c>
      <c r="P140" s="690">
        <v>2037</v>
      </c>
      <c r="Q140" s="690">
        <v>1558</v>
      </c>
      <c r="R140" s="690">
        <v>1553</v>
      </c>
      <c r="S140" s="690">
        <v>1638</v>
      </c>
      <c r="T140" s="690">
        <v>1177</v>
      </c>
      <c r="U140" s="690">
        <v>1164</v>
      </c>
      <c r="V140" s="690">
        <v>1162</v>
      </c>
      <c r="W140" s="690">
        <v>1802</v>
      </c>
      <c r="X140" s="690">
        <v>2390</v>
      </c>
      <c r="Y140" s="690">
        <v>2310</v>
      </c>
      <c r="Z140" s="690">
        <v>1907</v>
      </c>
    </row>
    <row r="141" spans="1:26" ht="19.5" customHeight="1" x14ac:dyDescent="0.25">
      <c r="A141" s="236"/>
      <c r="B141" s="779" t="s">
        <v>579</v>
      </c>
      <c r="C141" s="230">
        <v>2393</v>
      </c>
      <c r="D141" s="230">
        <v>2263</v>
      </c>
      <c r="E141" s="230">
        <v>2133</v>
      </c>
      <c r="F141" s="230">
        <v>2038</v>
      </c>
      <c r="G141" s="230">
        <v>1712</v>
      </c>
      <c r="H141" s="230">
        <v>1355</v>
      </c>
      <c r="I141" s="230">
        <v>1575</v>
      </c>
      <c r="J141" s="230">
        <v>1385</v>
      </c>
      <c r="K141" s="230">
        <v>1619</v>
      </c>
      <c r="L141" s="230">
        <v>1904</v>
      </c>
      <c r="M141" s="230">
        <v>1994</v>
      </c>
      <c r="N141" s="230">
        <v>2168</v>
      </c>
      <c r="O141" s="230">
        <v>2262</v>
      </c>
      <c r="P141" s="230">
        <v>2374</v>
      </c>
      <c r="Q141" s="230">
        <v>1874</v>
      </c>
      <c r="R141" s="230">
        <v>1885</v>
      </c>
      <c r="S141" s="230">
        <v>2052</v>
      </c>
      <c r="T141" s="230">
        <v>1495</v>
      </c>
      <c r="U141" s="230">
        <v>1462</v>
      </c>
      <c r="V141" s="230">
        <v>1448</v>
      </c>
      <c r="W141" s="230">
        <v>2145</v>
      </c>
      <c r="X141" s="230">
        <v>2752</v>
      </c>
      <c r="Y141" s="230">
        <v>2667</v>
      </c>
      <c r="Z141" s="230">
        <v>2278</v>
      </c>
    </row>
    <row r="142" spans="1:26" ht="27.75" customHeight="1" x14ac:dyDescent="0.25">
      <c r="A142" s="693" t="s">
        <v>580</v>
      </c>
      <c r="B142" s="783" t="s">
        <v>581</v>
      </c>
      <c r="C142" s="690">
        <v>11615</v>
      </c>
      <c r="D142" s="690">
        <v>11477</v>
      </c>
      <c r="E142" s="690">
        <v>10937</v>
      </c>
      <c r="F142" s="690">
        <v>11570</v>
      </c>
      <c r="G142" s="690">
        <v>10942</v>
      </c>
      <c r="H142" s="690">
        <v>10251</v>
      </c>
      <c r="I142" s="690">
        <v>10633</v>
      </c>
      <c r="J142" s="690">
        <v>9759</v>
      </c>
      <c r="K142" s="690">
        <v>10709</v>
      </c>
      <c r="L142" s="690">
        <v>10683</v>
      </c>
      <c r="M142" s="690">
        <v>11078</v>
      </c>
      <c r="N142" s="690">
        <v>10790</v>
      </c>
      <c r="O142" s="690">
        <v>10488</v>
      </c>
      <c r="P142" s="690">
        <v>10407</v>
      </c>
      <c r="Q142" s="690">
        <v>9699</v>
      </c>
      <c r="R142" s="690">
        <v>10443</v>
      </c>
      <c r="S142" s="690">
        <v>10173</v>
      </c>
      <c r="T142" s="690">
        <v>9517</v>
      </c>
      <c r="U142" s="690">
        <v>9099</v>
      </c>
      <c r="V142" s="690">
        <v>8609</v>
      </c>
      <c r="W142" s="690">
        <v>10065</v>
      </c>
      <c r="X142" s="690">
        <v>9654</v>
      </c>
      <c r="Y142" s="690">
        <v>10091</v>
      </c>
      <c r="Z142" s="690">
        <v>10096</v>
      </c>
    </row>
    <row r="143" spans="1:26" ht="16.350000000000001" customHeight="1" x14ac:dyDescent="0.25">
      <c r="A143" s="693" t="s">
        <v>582</v>
      </c>
      <c r="B143" s="783" t="s">
        <v>583</v>
      </c>
      <c r="C143" s="690">
        <v>4908</v>
      </c>
      <c r="D143" s="690">
        <v>4870</v>
      </c>
      <c r="E143" s="690">
        <v>4473</v>
      </c>
      <c r="F143" s="690">
        <v>4779</v>
      </c>
      <c r="G143" s="690">
        <v>4459</v>
      </c>
      <c r="H143" s="690">
        <v>4099</v>
      </c>
      <c r="I143" s="690">
        <v>4116</v>
      </c>
      <c r="J143" s="690">
        <v>4252</v>
      </c>
      <c r="K143" s="690">
        <v>4711</v>
      </c>
      <c r="L143" s="690">
        <v>4952</v>
      </c>
      <c r="M143" s="690">
        <v>4986</v>
      </c>
      <c r="N143" s="690">
        <v>4693</v>
      </c>
      <c r="O143" s="690">
        <v>4984</v>
      </c>
      <c r="P143" s="690">
        <v>4688</v>
      </c>
      <c r="Q143" s="690">
        <v>4373</v>
      </c>
      <c r="R143" s="690">
        <v>4603</v>
      </c>
      <c r="S143" s="690">
        <v>4365</v>
      </c>
      <c r="T143" s="690">
        <v>4059</v>
      </c>
      <c r="U143" s="690">
        <v>3876</v>
      </c>
      <c r="V143" s="690">
        <v>3834</v>
      </c>
      <c r="W143" s="690">
        <v>4399</v>
      </c>
      <c r="X143" s="690">
        <v>4172</v>
      </c>
      <c r="Y143" s="690">
        <v>4391</v>
      </c>
      <c r="Z143" s="690">
        <v>4244</v>
      </c>
    </row>
    <row r="144" spans="1:26" ht="16.350000000000001" customHeight="1" x14ac:dyDescent="0.25">
      <c r="A144" s="693" t="s">
        <v>584</v>
      </c>
      <c r="B144" s="783" t="s">
        <v>289</v>
      </c>
      <c r="C144" s="690">
        <v>12906</v>
      </c>
      <c r="D144" s="690">
        <v>13009</v>
      </c>
      <c r="E144" s="690">
        <v>12276</v>
      </c>
      <c r="F144" s="690">
        <v>13070</v>
      </c>
      <c r="G144" s="690">
        <v>12584</v>
      </c>
      <c r="H144" s="690">
        <v>11876</v>
      </c>
      <c r="I144" s="690">
        <v>11595</v>
      </c>
      <c r="J144" s="690">
        <v>11255</v>
      </c>
      <c r="K144" s="690">
        <v>12125</v>
      </c>
      <c r="L144" s="690">
        <v>12076</v>
      </c>
      <c r="M144" s="690">
        <v>12507</v>
      </c>
      <c r="N144" s="690">
        <v>12108</v>
      </c>
      <c r="O144" s="690">
        <v>12562</v>
      </c>
      <c r="P144" s="690">
        <v>12453</v>
      </c>
      <c r="Q144" s="690">
        <v>11511</v>
      </c>
      <c r="R144" s="690">
        <v>12195</v>
      </c>
      <c r="S144" s="690">
        <v>11493</v>
      </c>
      <c r="T144" s="690">
        <v>11058</v>
      </c>
      <c r="U144" s="690">
        <v>10264</v>
      </c>
      <c r="V144" s="690">
        <v>9654</v>
      </c>
      <c r="W144" s="690">
        <v>11352</v>
      </c>
      <c r="X144" s="690">
        <v>10964</v>
      </c>
      <c r="Y144" s="690">
        <v>11571</v>
      </c>
      <c r="Z144" s="690">
        <v>11094</v>
      </c>
    </row>
    <row r="145" spans="1:26" ht="16.350000000000001" customHeight="1" x14ac:dyDescent="0.25">
      <c r="A145" s="693" t="s">
        <v>585</v>
      </c>
      <c r="B145" s="783" t="s">
        <v>586</v>
      </c>
      <c r="C145" s="690">
        <v>12217</v>
      </c>
      <c r="D145" s="690">
        <v>11627</v>
      </c>
      <c r="E145" s="690">
        <v>10970</v>
      </c>
      <c r="F145" s="690">
        <v>11209</v>
      </c>
      <c r="G145" s="690">
        <v>9830</v>
      </c>
      <c r="H145" s="690">
        <v>9746</v>
      </c>
      <c r="I145" s="690">
        <v>9820</v>
      </c>
      <c r="J145" s="690">
        <v>9590</v>
      </c>
      <c r="K145" s="690">
        <v>9888</v>
      </c>
      <c r="L145" s="690">
        <v>10174</v>
      </c>
      <c r="M145" s="690">
        <v>10999</v>
      </c>
      <c r="N145" s="690">
        <v>11194</v>
      </c>
      <c r="O145" s="690">
        <v>12179</v>
      </c>
      <c r="P145" s="690">
        <v>11475</v>
      </c>
      <c r="Q145" s="690">
        <v>9824</v>
      </c>
      <c r="R145" s="690">
        <v>10322</v>
      </c>
      <c r="S145" s="690">
        <v>9708</v>
      </c>
      <c r="T145" s="690">
        <v>9185</v>
      </c>
      <c r="U145" s="690">
        <v>9151</v>
      </c>
      <c r="V145" s="690">
        <v>8778</v>
      </c>
      <c r="W145" s="690">
        <v>10581</v>
      </c>
      <c r="X145" s="690">
        <v>11043</v>
      </c>
      <c r="Y145" s="690">
        <v>11944</v>
      </c>
      <c r="Z145" s="690">
        <v>11696</v>
      </c>
    </row>
    <row r="146" spans="1:26" ht="16.350000000000001" customHeight="1" x14ac:dyDescent="0.25">
      <c r="A146" s="693" t="s">
        <v>587</v>
      </c>
      <c r="B146" s="783" t="s">
        <v>588</v>
      </c>
      <c r="C146" s="690" t="s">
        <v>169</v>
      </c>
      <c r="D146" s="690" t="s">
        <v>169</v>
      </c>
      <c r="E146" s="690" t="s">
        <v>169</v>
      </c>
      <c r="F146" s="690" t="s">
        <v>169</v>
      </c>
      <c r="G146" s="690" t="s">
        <v>169</v>
      </c>
      <c r="H146" s="690" t="s">
        <v>169</v>
      </c>
      <c r="I146" s="690" t="s">
        <v>169</v>
      </c>
      <c r="J146" s="690" t="s">
        <v>169</v>
      </c>
      <c r="K146" s="690" t="s">
        <v>169</v>
      </c>
      <c r="L146" s="690" t="s">
        <v>169</v>
      </c>
      <c r="M146" s="690" t="s">
        <v>169</v>
      </c>
      <c r="N146" s="690" t="s">
        <v>169</v>
      </c>
      <c r="O146" s="690" t="s">
        <v>169</v>
      </c>
      <c r="P146" s="690" t="s">
        <v>169</v>
      </c>
      <c r="Q146" s="690" t="s">
        <v>169</v>
      </c>
      <c r="R146" s="690" t="s">
        <v>169</v>
      </c>
      <c r="S146" s="690" t="s">
        <v>169</v>
      </c>
      <c r="T146" s="690" t="s">
        <v>169</v>
      </c>
      <c r="U146" s="690" t="s">
        <v>169</v>
      </c>
      <c r="V146" s="690" t="s">
        <v>169</v>
      </c>
      <c r="W146" s="690" t="s">
        <v>169</v>
      </c>
      <c r="X146" s="690" t="s">
        <v>169</v>
      </c>
      <c r="Y146" s="690" t="s">
        <v>169</v>
      </c>
      <c r="Z146" s="690" t="s">
        <v>169</v>
      </c>
    </row>
    <row r="147" spans="1:26" ht="16.350000000000001" customHeight="1" x14ac:dyDescent="0.25">
      <c r="A147" s="693" t="s">
        <v>589</v>
      </c>
      <c r="B147" s="783" t="s">
        <v>590</v>
      </c>
      <c r="C147" s="690" t="s">
        <v>169</v>
      </c>
      <c r="D147" s="690" t="s">
        <v>169</v>
      </c>
      <c r="E147" s="690" t="s">
        <v>169</v>
      </c>
      <c r="F147" s="690" t="s">
        <v>169</v>
      </c>
      <c r="G147" s="690" t="s">
        <v>169</v>
      </c>
      <c r="H147" s="690" t="s">
        <v>169</v>
      </c>
      <c r="I147" s="690" t="s">
        <v>169</v>
      </c>
      <c r="J147" s="690" t="s">
        <v>169</v>
      </c>
      <c r="K147" s="690" t="s">
        <v>169</v>
      </c>
      <c r="L147" s="690" t="s">
        <v>169</v>
      </c>
      <c r="M147" s="690" t="s">
        <v>169</v>
      </c>
      <c r="N147" s="690" t="s">
        <v>169</v>
      </c>
      <c r="O147" s="690" t="s">
        <v>169</v>
      </c>
      <c r="P147" s="690" t="s">
        <v>169</v>
      </c>
      <c r="Q147" s="690" t="s">
        <v>169</v>
      </c>
      <c r="R147" s="690" t="s">
        <v>169</v>
      </c>
      <c r="S147" s="690" t="s">
        <v>169</v>
      </c>
      <c r="T147" s="690" t="s">
        <v>169</v>
      </c>
      <c r="U147" s="690" t="s">
        <v>169</v>
      </c>
      <c r="V147" s="690" t="s">
        <v>169</v>
      </c>
      <c r="W147" s="690" t="s">
        <v>169</v>
      </c>
      <c r="X147" s="690" t="s">
        <v>169</v>
      </c>
      <c r="Y147" s="690" t="s">
        <v>169</v>
      </c>
      <c r="Z147" s="690" t="s">
        <v>169</v>
      </c>
    </row>
    <row r="148" spans="1:26" ht="16.350000000000001" customHeight="1" x14ac:dyDescent="0.25">
      <c r="A148" s="693" t="s">
        <v>591</v>
      </c>
      <c r="B148" s="783" t="s">
        <v>592</v>
      </c>
      <c r="C148" s="690" t="s">
        <v>169</v>
      </c>
      <c r="D148" s="690" t="s">
        <v>169</v>
      </c>
      <c r="E148" s="690" t="s">
        <v>169</v>
      </c>
      <c r="F148" s="690" t="s">
        <v>169</v>
      </c>
      <c r="G148" s="690" t="s">
        <v>169</v>
      </c>
      <c r="H148" s="690" t="s">
        <v>169</v>
      </c>
      <c r="I148" s="690" t="s">
        <v>169</v>
      </c>
      <c r="J148" s="690" t="s">
        <v>169</v>
      </c>
      <c r="K148" s="690" t="s">
        <v>169</v>
      </c>
      <c r="L148" s="690" t="s">
        <v>169</v>
      </c>
      <c r="M148" s="690" t="s">
        <v>169</v>
      </c>
      <c r="N148" s="690" t="s">
        <v>169</v>
      </c>
      <c r="O148" s="690" t="s">
        <v>169</v>
      </c>
      <c r="P148" s="690" t="s">
        <v>169</v>
      </c>
      <c r="Q148" s="690" t="s">
        <v>169</v>
      </c>
      <c r="R148" s="690" t="s">
        <v>169</v>
      </c>
      <c r="S148" s="690" t="s">
        <v>169</v>
      </c>
      <c r="T148" s="690" t="s">
        <v>169</v>
      </c>
      <c r="U148" s="690" t="s">
        <v>169</v>
      </c>
      <c r="V148" s="690" t="s">
        <v>169</v>
      </c>
      <c r="W148" s="690" t="s">
        <v>169</v>
      </c>
      <c r="X148" s="690" t="s">
        <v>169</v>
      </c>
      <c r="Y148" s="690" t="s">
        <v>169</v>
      </c>
      <c r="Z148" s="690" t="s">
        <v>169</v>
      </c>
    </row>
    <row r="149" spans="1:26" ht="16.350000000000001" customHeight="1" x14ac:dyDescent="0.25">
      <c r="A149" s="693" t="s">
        <v>593</v>
      </c>
      <c r="B149" s="783" t="s">
        <v>594</v>
      </c>
      <c r="C149" s="690" t="s">
        <v>169</v>
      </c>
      <c r="D149" s="690" t="s">
        <v>169</v>
      </c>
      <c r="E149" s="690" t="s">
        <v>169</v>
      </c>
      <c r="F149" s="690" t="s">
        <v>169</v>
      </c>
      <c r="G149" s="690" t="s">
        <v>169</v>
      </c>
      <c r="H149" s="690" t="s">
        <v>169</v>
      </c>
      <c r="I149" s="690" t="s">
        <v>169</v>
      </c>
      <c r="J149" s="690" t="s">
        <v>169</v>
      </c>
      <c r="K149" s="690" t="s">
        <v>169</v>
      </c>
      <c r="L149" s="690" t="s">
        <v>169</v>
      </c>
      <c r="M149" s="690" t="s">
        <v>169</v>
      </c>
      <c r="N149" s="690" t="s">
        <v>169</v>
      </c>
      <c r="O149" s="690" t="s">
        <v>169</v>
      </c>
      <c r="P149" s="690" t="s">
        <v>169</v>
      </c>
      <c r="Q149" s="690" t="s">
        <v>169</v>
      </c>
      <c r="R149" s="690" t="s">
        <v>169</v>
      </c>
      <c r="S149" s="690" t="s">
        <v>169</v>
      </c>
      <c r="T149" s="690" t="s">
        <v>169</v>
      </c>
      <c r="U149" s="690" t="s">
        <v>169</v>
      </c>
      <c r="V149" s="690" t="s">
        <v>169</v>
      </c>
      <c r="W149" s="690" t="s">
        <v>169</v>
      </c>
      <c r="X149" s="690" t="s">
        <v>169</v>
      </c>
      <c r="Y149" s="690" t="s">
        <v>169</v>
      </c>
      <c r="Z149" s="690" t="s">
        <v>169</v>
      </c>
    </row>
    <row r="150" spans="1:26" ht="15.75" customHeight="1" x14ac:dyDescent="0.25">
      <c r="A150" s="693" t="s">
        <v>595</v>
      </c>
      <c r="B150" s="783" t="s">
        <v>596</v>
      </c>
      <c r="C150" s="690">
        <v>223</v>
      </c>
      <c r="D150" s="690">
        <v>225</v>
      </c>
      <c r="E150" s="690">
        <v>212</v>
      </c>
      <c r="F150" s="690">
        <v>371</v>
      </c>
      <c r="G150" s="690">
        <v>309</v>
      </c>
      <c r="H150" s="690">
        <v>207</v>
      </c>
      <c r="I150" s="690">
        <v>200</v>
      </c>
      <c r="J150" s="690">
        <v>175</v>
      </c>
      <c r="K150" s="690">
        <v>208</v>
      </c>
      <c r="L150" s="690">
        <v>203</v>
      </c>
      <c r="M150" s="690">
        <v>220</v>
      </c>
      <c r="N150" s="690">
        <v>214</v>
      </c>
      <c r="O150" s="690">
        <v>223</v>
      </c>
      <c r="P150" s="690">
        <v>348</v>
      </c>
      <c r="Q150" s="690">
        <v>202</v>
      </c>
      <c r="R150" s="690">
        <v>218</v>
      </c>
      <c r="S150" s="690">
        <v>186</v>
      </c>
      <c r="T150" s="690">
        <v>150</v>
      </c>
      <c r="U150" s="690">
        <v>185</v>
      </c>
      <c r="V150" s="690">
        <v>183</v>
      </c>
      <c r="W150" s="690">
        <v>228</v>
      </c>
      <c r="X150" s="690">
        <v>240</v>
      </c>
      <c r="Y150" s="690">
        <v>253</v>
      </c>
      <c r="Z150" s="690">
        <v>271</v>
      </c>
    </row>
    <row r="151" spans="1:26" ht="21" customHeight="1" x14ac:dyDescent="0.25">
      <c r="A151" s="236"/>
      <c r="B151" s="779" t="s">
        <v>597</v>
      </c>
      <c r="C151" s="230">
        <v>41869</v>
      </c>
      <c r="D151" s="230">
        <v>41208</v>
      </c>
      <c r="E151" s="230">
        <v>38868</v>
      </c>
      <c r="F151" s="230">
        <v>40999</v>
      </c>
      <c r="G151" s="230">
        <v>38124</v>
      </c>
      <c r="H151" s="230">
        <v>36179</v>
      </c>
      <c r="I151" s="230">
        <v>36364</v>
      </c>
      <c r="J151" s="230">
        <v>35031</v>
      </c>
      <c r="K151" s="230">
        <v>37641</v>
      </c>
      <c r="L151" s="230">
        <v>38088</v>
      </c>
      <c r="M151" s="230">
        <v>39790</v>
      </c>
      <c r="N151" s="230">
        <v>38999</v>
      </c>
      <c r="O151" s="230">
        <v>40436</v>
      </c>
      <c r="P151" s="230">
        <v>39371</v>
      </c>
      <c r="Q151" s="230">
        <v>35609</v>
      </c>
      <c r="R151" s="230">
        <v>37781</v>
      </c>
      <c r="S151" s="230">
        <v>35925</v>
      </c>
      <c r="T151" s="230">
        <v>33969</v>
      </c>
      <c r="U151" s="230">
        <v>32575</v>
      </c>
      <c r="V151" s="230">
        <v>31058</v>
      </c>
      <c r="W151" s="230">
        <v>36625</v>
      </c>
      <c r="X151" s="230">
        <v>36073</v>
      </c>
      <c r="Y151" s="230">
        <v>38250</v>
      </c>
      <c r="Z151" s="230">
        <v>37401</v>
      </c>
    </row>
    <row r="152" spans="1:26" ht="32.25" customHeight="1" x14ac:dyDescent="0.25">
      <c r="A152" s="236"/>
      <c r="B152" s="780" t="s">
        <v>598</v>
      </c>
      <c r="C152" s="238">
        <v>44262</v>
      </c>
      <c r="D152" s="238">
        <v>43471</v>
      </c>
      <c r="E152" s="238">
        <v>41001</v>
      </c>
      <c r="F152" s="238">
        <v>43037</v>
      </c>
      <c r="G152" s="238">
        <v>39836</v>
      </c>
      <c r="H152" s="238">
        <v>37534</v>
      </c>
      <c r="I152" s="238">
        <v>37939</v>
      </c>
      <c r="J152" s="238">
        <v>36416</v>
      </c>
      <c r="K152" s="238">
        <v>39260</v>
      </c>
      <c r="L152" s="238">
        <v>39992</v>
      </c>
      <c r="M152" s="238">
        <v>41784</v>
      </c>
      <c r="N152" s="238">
        <v>41167</v>
      </c>
      <c r="O152" s="238">
        <v>42698</v>
      </c>
      <c r="P152" s="238">
        <v>41745</v>
      </c>
      <c r="Q152" s="238">
        <v>37483</v>
      </c>
      <c r="R152" s="238">
        <v>39666</v>
      </c>
      <c r="S152" s="238">
        <v>37977</v>
      </c>
      <c r="T152" s="238">
        <v>35464</v>
      </c>
      <c r="U152" s="238">
        <v>34037</v>
      </c>
      <c r="V152" s="238">
        <v>32506</v>
      </c>
      <c r="W152" s="238">
        <v>38770</v>
      </c>
      <c r="X152" s="238">
        <v>38825</v>
      </c>
      <c r="Y152" s="238">
        <v>40917</v>
      </c>
      <c r="Z152" s="238">
        <v>39679</v>
      </c>
    </row>
    <row r="153" spans="1:26" ht="29.25" customHeight="1" x14ac:dyDescent="0.25">
      <c r="A153" s="255"/>
      <c r="B153" s="224" t="s">
        <v>599</v>
      </c>
      <c r="C153" s="256">
        <v>74414</v>
      </c>
      <c r="D153" s="256">
        <v>72383</v>
      </c>
      <c r="E153" s="256">
        <v>72661</v>
      </c>
      <c r="F153" s="256">
        <v>70931</v>
      </c>
      <c r="G153" s="256">
        <v>65203</v>
      </c>
      <c r="H153" s="256">
        <v>60566</v>
      </c>
      <c r="I153" s="256">
        <v>62478</v>
      </c>
      <c r="J153" s="256">
        <v>62288</v>
      </c>
      <c r="K153" s="256">
        <v>67759</v>
      </c>
      <c r="L153" s="256">
        <v>65827</v>
      </c>
      <c r="M153" s="256">
        <v>74543</v>
      </c>
      <c r="N153" s="256">
        <v>72340</v>
      </c>
      <c r="O153" s="256">
        <v>76161</v>
      </c>
      <c r="P153" s="256">
        <v>74436</v>
      </c>
      <c r="Q153" s="256">
        <v>70187</v>
      </c>
      <c r="R153" s="256">
        <v>72551</v>
      </c>
      <c r="S153" s="256">
        <v>68485</v>
      </c>
      <c r="T153" s="256">
        <v>61994</v>
      </c>
      <c r="U153" s="256">
        <v>65656</v>
      </c>
      <c r="V153" s="256">
        <v>62251</v>
      </c>
      <c r="W153" s="256">
        <v>74639</v>
      </c>
      <c r="X153" s="256">
        <v>73386</v>
      </c>
      <c r="Y153" s="256">
        <v>77326</v>
      </c>
      <c r="Z153" s="256">
        <v>77149</v>
      </c>
    </row>
    <row r="154" spans="1:26" ht="21" customHeight="1" x14ac:dyDescent="0.25">
      <c r="A154" s="693" t="s">
        <v>600</v>
      </c>
      <c r="B154" s="783" t="s">
        <v>601</v>
      </c>
      <c r="C154" s="690">
        <v>4697</v>
      </c>
      <c r="D154" s="690">
        <v>4597</v>
      </c>
      <c r="E154" s="690">
        <v>4221</v>
      </c>
      <c r="F154" s="690">
        <v>4207</v>
      </c>
      <c r="G154" s="690">
        <v>4433</v>
      </c>
      <c r="H154" s="690">
        <v>3906</v>
      </c>
      <c r="I154" s="690">
        <v>4272</v>
      </c>
      <c r="J154" s="690">
        <v>4220</v>
      </c>
      <c r="K154" s="690">
        <v>4379</v>
      </c>
      <c r="L154" s="690">
        <v>4422</v>
      </c>
      <c r="M154" s="690">
        <v>4606</v>
      </c>
      <c r="N154" s="690">
        <v>4622</v>
      </c>
      <c r="O154" s="690">
        <v>5594</v>
      </c>
      <c r="P154" s="690">
        <v>4220</v>
      </c>
      <c r="Q154" s="690">
        <v>5906</v>
      </c>
      <c r="R154" s="690">
        <v>6109</v>
      </c>
      <c r="S154" s="690">
        <v>6457</v>
      </c>
      <c r="T154" s="690">
        <v>5649</v>
      </c>
      <c r="U154" s="690">
        <v>6397</v>
      </c>
      <c r="V154" s="690">
        <v>6078</v>
      </c>
      <c r="W154" s="690">
        <v>6538</v>
      </c>
      <c r="X154" s="690">
        <v>7086</v>
      </c>
      <c r="Y154" s="690">
        <v>6933</v>
      </c>
      <c r="Z154" s="690">
        <v>6107</v>
      </c>
    </row>
    <row r="155" spans="1:26" ht="16.350000000000001" customHeight="1" x14ac:dyDescent="0.25">
      <c r="A155" s="236"/>
      <c r="B155" s="776" t="s">
        <v>602</v>
      </c>
      <c r="C155" s="230">
        <v>4697</v>
      </c>
      <c r="D155" s="230">
        <v>4597</v>
      </c>
      <c r="E155" s="230">
        <v>4221</v>
      </c>
      <c r="F155" s="230">
        <v>4207</v>
      </c>
      <c r="G155" s="230">
        <v>4433</v>
      </c>
      <c r="H155" s="230">
        <v>3906</v>
      </c>
      <c r="I155" s="230">
        <v>4272</v>
      </c>
      <c r="J155" s="230">
        <v>4220</v>
      </c>
      <c r="K155" s="230">
        <v>4379</v>
      </c>
      <c r="L155" s="230">
        <v>4422</v>
      </c>
      <c r="M155" s="230">
        <v>4606</v>
      </c>
      <c r="N155" s="230">
        <v>4622</v>
      </c>
      <c r="O155" s="230">
        <v>5594</v>
      </c>
      <c r="P155" s="230">
        <v>4220</v>
      </c>
      <c r="Q155" s="230">
        <v>5906</v>
      </c>
      <c r="R155" s="230">
        <v>6109</v>
      </c>
      <c r="S155" s="230">
        <v>6457</v>
      </c>
      <c r="T155" s="230">
        <v>5649</v>
      </c>
      <c r="U155" s="230">
        <v>6397</v>
      </c>
      <c r="V155" s="230">
        <v>6078</v>
      </c>
      <c r="W155" s="230">
        <v>6538</v>
      </c>
      <c r="X155" s="230">
        <v>7086</v>
      </c>
      <c r="Y155" s="230">
        <v>6933</v>
      </c>
      <c r="Z155" s="230">
        <v>6107</v>
      </c>
    </row>
    <row r="156" spans="1:26" ht="31.5" customHeight="1" x14ac:dyDescent="0.25">
      <c r="A156" s="693" t="s">
        <v>603</v>
      </c>
      <c r="B156" s="783" t="s">
        <v>604</v>
      </c>
      <c r="C156" s="690" t="s">
        <v>169</v>
      </c>
      <c r="D156" s="690" t="s">
        <v>169</v>
      </c>
      <c r="E156" s="690" t="s">
        <v>169</v>
      </c>
      <c r="F156" s="690" t="s">
        <v>169</v>
      </c>
      <c r="G156" s="690" t="s">
        <v>169</v>
      </c>
      <c r="H156" s="690" t="s">
        <v>169</v>
      </c>
      <c r="I156" s="690" t="s">
        <v>169</v>
      </c>
      <c r="J156" s="690" t="s">
        <v>169</v>
      </c>
      <c r="K156" s="690" t="s">
        <v>169</v>
      </c>
      <c r="L156" s="690" t="s">
        <v>169</v>
      </c>
      <c r="M156" s="690" t="s">
        <v>169</v>
      </c>
      <c r="N156" s="690" t="s">
        <v>169</v>
      </c>
      <c r="O156" s="690" t="s">
        <v>169</v>
      </c>
      <c r="P156" s="690" t="s">
        <v>169</v>
      </c>
      <c r="Q156" s="690" t="s">
        <v>169</v>
      </c>
      <c r="R156" s="690" t="s">
        <v>169</v>
      </c>
      <c r="S156" s="690" t="s">
        <v>169</v>
      </c>
      <c r="T156" s="690" t="s">
        <v>169</v>
      </c>
      <c r="U156" s="690" t="s">
        <v>169</v>
      </c>
      <c r="V156" s="690" t="s">
        <v>169</v>
      </c>
      <c r="W156" s="690" t="s">
        <v>169</v>
      </c>
      <c r="X156" s="690" t="s">
        <v>169</v>
      </c>
      <c r="Y156" s="690" t="s">
        <v>169</v>
      </c>
      <c r="Z156" s="690" t="s">
        <v>169</v>
      </c>
    </row>
    <row r="157" spans="1:26" ht="16.350000000000001" customHeight="1" x14ac:dyDescent="0.25">
      <c r="A157" s="693" t="s">
        <v>605</v>
      </c>
      <c r="B157" s="783" t="s">
        <v>606</v>
      </c>
      <c r="C157" s="690">
        <v>72</v>
      </c>
      <c r="D157" s="690">
        <v>54</v>
      </c>
      <c r="E157" s="690">
        <v>47</v>
      </c>
      <c r="F157" s="690">
        <v>59</v>
      </c>
      <c r="G157" s="690">
        <v>44</v>
      </c>
      <c r="H157" s="690">
        <v>41</v>
      </c>
      <c r="I157" s="690">
        <v>48</v>
      </c>
      <c r="J157" s="690">
        <v>48</v>
      </c>
      <c r="K157" s="690">
        <v>48</v>
      </c>
      <c r="L157" s="690">
        <v>53</v>
      </c>
      <c r="M157" s="690">
        <v>49</v>
      </c>
      <c r="N157" s="690">
        <v>28</v>
      </c>
      <c r="O157" s="690">
        <v>45</v>
      </c>
      <c r="P157" s="690">
        <v>38</v>
      </c>
      <c r="Q157" s="690">
        <v>45</v>
      </c>
      <c r="R157" s="690">
        <v>40</v>
      </c>
      <c r="S157" s="690">
        <v>37</v>
      </c>
      <c r="T157" s="690">
        <v>42</v>
      </c>
      <c r="U157" s="690">
        <v>41</v>
      </c>
      <c r="V157" s="690">
        <v>49</v>
      </c>
      <c r="W157" s="690">
        <v>43</v>
      </c>
      <c r="X157" s="690">
        <v>47</v>
      </c>
      <c r="Y157" s="690">
        <v>67</v>
      </c>
      <c r="Z157" s="690">
        <v>68</v>
      </c>
    </row>
    <row r="158" spans="1:26" ht="16.350000000000001" customHeight="1" x14ac:dyDescent="0.25">
      <c r="A158" s="693" t="s">
        <v>607</v>
      </c>
      <c r="B158" s="783" t="s">
        <v>608</v>
      </c>
      <c r="C158" s="690">
        <v>3024</v>
      </c>
      <c r="D158" s="690">
        <v>3205</v>
      </c>
      <c r="E158" s="690">
        <v>2892</v>
      </c>
      <c r="F158" s="690">
        <v>2947</v>
      </c>
      <c r="G158" s="690">
        <v>3055</v>
      </c>
      <c r="H158" s="690">
        <v>3442</v>
      </c>
      <c r="I158" s="690">
        <v>3210</v>
      </c>
      <c r="J158" s="690">
        <v>3203</v>
      </c>
      <c r="K158" s="690">
        <v>3539</v>
      </c>
      <c r="L158" s="690">
        <v>3168</v>
      </c>
      <c r="M158" s="690">
        <v>3310</v>
      </c>
      <c r="N158" s="690">
        <v>3285</v>
      </c>
      <c r="O158" s="690">
        <v>3315</v>
      </c>
      <c r="P158" s="690">
        <v>3882</v>
      </c>
      <c r="Q158" s="690">
        <v>3357</v>
      </c>
      <c r="R158" s="690">
        <v>3569</v>
      </c>
      <c r="S158" s="690">
        <v>3614</v>
      </c>
      <c r="T158" s="690">
        <v>3641</v>
      </c>
      <c r="U158" s="690">
        <v>3570</v>
      </c>
      <c r="V158" s="690">
        <v>3364</v>
      </c>
      <c r="W158" s="690">
        <v>3902</v>
      </c>
      <c r="X158" s="690">
        <v>3803</v>
      </c>
      <c r="Y158" s="690">
        <v>3916</v>
      </c>
      <c r="Z158" s="690">
        <v>4099</v>
      </c>
    </row>
    <row r="159" spans="1:26" ht="18" customHeight="1" x14ac:dyDescent="0.25">
      <c r="A159" s="693" t="s">
        <v>609</v>
      </c>
      <c r="B159" s="783" t="s">
        <v>610</v>
      </c>
      <c r="C159" s="690">
        <v>8265</v>
      </c>
      <c r="D159" s="690">
        <v>8385</v>
      </c>
      <c r="E159" s="690">
        <v>7562</v>
      </c>
      <c r="F159" s="690">
        <v>7827</v>
      </c>
      <c r="G159" s="690">
        <v>7374</v>
      </c>
      <c r="H159" s="690">
        <v>7256</v>
      </c>
      <c r="I159" s="690">
        <v>7716</v>
      </c>
      <c r="J159" s="690">
        <v>7312</v>
      </c>
      <c r="K159" s="690">
        <v>7670</v>
      </c>
      <c r="L159" s="690">
        <v>6961</v>
      </c>
      <c r="M159" s="690">
        <v>7734</v>
      </c>
      <c r="N159" s="690">
        <v>7437</v>
      </c>
      <c r="O159" s="690">
        <v>7586</v>
      </c>
      <c r="P159" s="690">
        <v>8030</v>
      </c>
      <c r="Q159" s="690">
        <v>7610</v>
      </c>
      <c r="R159" s="690">
        <v>8744</v>
      </c>
      <c r="S159" s="690">
        <v>8405</v>
      </c>
      <c r="T159" s="690">
        <v>7906</v>
      </c>
      <c r="U159" s="690">
        <v>8492</v>
      </c>
      <c r="V159" s="690">
        <v>7793</v>
      </c>
      <c r="W159" s="690">
        <v>8881</v>
      </c>
      <c r="X159" s="690">
        <v>8441</v>
      </c>
      <c r="Y159" s="690">
        <v>8630</v>
      </c>
      <c r="Z159" s="690">
        <v>8608</v>
      </c>
    </row>
    <row r="160" spans="1:26" ht="18.75" customHeight="1" x14ac:dyDescent="0.25">
      <c r="A160" s="236"/>
      <c r="B160" s="776" t="s">
        <v>611</v>
      </c>
      <c r="C160" s="230">
        <v>11361</v>
      </c>
      <c r="D160" s="230">
        <v>11644</v>
      </c>
      <c r="E160" s="230">
        <v>10501</v>
      </c>
      <c r="F160" s="230">
        <v>10833</v>
      </c>
      <c r="G160" s="230">
        <v>10473</v>
      </c>
      <c r="H160" s="230">
        <v>10739</v>
      </c>
      <c r="I160" s="230">
        <v>10974</v>
      </c>
      <c r="J160" s="230">
        <v>10563</v>
      </c>
      <c r="K160" s="230">
        <v>11257</v>
      </c>
      <c r="L160" s="230">
        <v>10182</v>
      </c>
      <c r="M160" s="230">
        <v>11093</v>
      </c>
      <c r="N160" s="230">
        <v>10750</v>
      </c>
      <c r="O160" s="230">
        <v>10946</v>
      </c>
      <c r="P160" s="230">
        <v>11950</v>
      </c>
      <c r="Q160" s="230">
        <v>11012</v>
      </c>
      <c r="R160" s="230">
        <v>12353</v>
      </c>
      <c r="S160" s="230">
        <v>12056</v>
      </c>
      <c r="T160" s="230">
        <v>11589</v>
      </c>
      <c r="U160" s="230">
        <v>12103</v>
      </c>
      <c r="V160" s="230">
        <v>11206</v>
      </c>
      <c r="W160" s="230">
        <v>12826</v>
      </c>
      <c r="X160" s="230">
        <v>12291</v>
      </c>
      <c r="Y160" s="230">
        <v>12613</v>
      </c>
      <c r="Z160" s="230">
        <v>12775</v>
      </c>
    </row>
    <row r="161" spans="1:26" ht="29.25" customHeight="1" x14ac:dyDescent="0.25">
      <c r="A161" s="236"/>
      <c r="B161" s="778" t="s">
        <v>612</v>
      </c>
      <c r="C161" s="238">
        <v>16058</v>
      </c>
      <c r="D161" s="238">
        <v>16241</v>
      </c>
      <c r="E161" s="238">
        <v>14722</v>
      </c>
      <c r="F161" s="238">
        <v>15040</v>
      </c>
      <c r="G161" s="238">
        <v>14906</v>
      </c>
      <c r="H161" s="238">
        <v>14645</v>
      </c>
      <c r="I161" s="238">
        <v>15246</v>
      </c>
      <c r="J161" s="238">
        <v>14783</v>
      </c>
      <c r="K161" s="238">
        <v>15636</v>
      </c>
      <c r="L161" s="238">
        <v>14604</v>
      </c>
      <c r="M161" s="238">
        <v>15699</v>
      </c>
      <c r="N161" s="238">
        <v>15372</v>
      </c>
      <c r="O161" s="238">
        <v>16540</v>
      </c>
      <c r="P161" s="238">
        <v>16170</v>
      </c>
      <c r="Q161" s="238">
        <v>16918</v>
      </c>
      <c r="R161" s="238">
        <v>18462</v>
      </c>
      <c r="S161" s="238">
        <v>18513</v>
      </c>
      <c r="T161" s="238">
        <v>17238</v>
      </c>
      <c r="U161" s="238">
        <v>18500</v>
      </c>
      <c r="V161" s="238">
        <v>17284</v>
      </c>
      <c r="W161" s="238">
        <v>19364</v>
      </c>
      <c r="X161" s="238">
        <v>19377</v>
      </c>
      <c r="Y161" s="238">
        <v>19546</v>
      </c>
      <c r="Z161" s="238">
        <v>18882</v>
      </c>
    </row>
    <row r="162" spans="1:26" ht="24.75" customHeight="1" x14ac:dyDescent="0.25">
      <c r="A162" s="710" t="s">
        <v>613</v>
      </c>
      <c r="B162" s="783" t="s">
        <v>614</v>
      </c>
      <c r="C162" s="690" t="s">
        <v>169</v>
      </c>
      <c r="D162" s="690" t="s">
        <v>169</v>
      </c>
      <c r="E162" s="690" t="s">
        <v>169</v>
      </c>
      <c r="F162" s="690" t="s">
        <v>169</v>
      </c>
      <c r="G162" s="690" t="s">
        <v>169</v>
      </c>
      <c r="H162" s="690" t="s">
        <v>169</v>
      </c>
      <c r="I162" s="690" t="s">
        <v>169</v>
      </c>
      <c r="J162" s="690" t="s">
        <v>169</v>
      </c>
      <c r="K162" s="690" t="s">
        <v>169</v>
      </c>
      <c r="L162" s="690" t="s">
        <v>169</v>
      </c>
      <c r="M162" s="690" t="s">
        <v>169</v>
      </c>
      <c r="N162" s="690" t="s">
        <v>169</v>
      </c>
      <c r="O162" s="690" t="s">
        <v>169</v>
      </c>
      <c r="P162" s="690" t="s">
        <v>169</v>
      </c>
      <c r="Q162" s="690" t="s">
        <v>169</v>
      </c>
      <c r="R162" s="690" t="s">
        <v>169</v>
      </c>
      <c r="S162" s="690" t="s">
        <v>169</v>
      </c>
      <c r="T162" s="690" t="s">
        <v>169</v>
      </c>
      <c r="U162" s="690" t="s">
        <v>169</v>
      </c>
      <c r="V162" s="690" t="s">
        <v>169</v>
      </c>
      <c r="W162" s="690" t="s">
        <v>169</v>
      </c>
      <c r="X162" s="690" t="s">
        <v>169</v>
      </c>
      <c r="Y162" s="690" t="s">
        <v>169</v>
      </c>
      <c r="Z162" s="690" t="s">
        <v>169</v>
      </c>
    </row>
    <row r="163" spans="1:26" ht="16.350000000000001" customHeight="1" x14ac:dyDescent="0.25">
      <c r="A163" s="693" t="s">
        <v>615</v>
      </c>
      <c r="B163" s="783" t="s">
        <v>616</v>
      </c>
      <c r="C163" s="690">
        <v>265</v>
      </c>
      <c r="D163" s="690">
        <v>234</v>
      </c>
      <c r="E163" s="690">
        <v>224</v>
      </c>
      <c r="F163" s="690">
        <v>228</v>
      </c>
      <c r="G163" s="690">
        <v>184</v>
      </c>
      <c r="H163" s="690">
        <v>204</v>
      </c>
      <c r="I163" s="690">
        <v>189</v>
      </c>
      <c r="J163" s="690">
        <v>180</v>
      </c>
      <c r="K163" s="690">
        <v>253</v>
      </c>
      <c r="L163" s="690">
        <v>203</v>
      </c>
      <c r="M163" s="690">
        <v>251</v>
      </c>
      <c r="N163" s="690">
        <v>264</v>
      </c>
      <c r="O163" s="690">
        <v>250</v>
      </c>
      <c r="P163" s="690">
        <v>238</v>
      </c>
      <c r="Q163" s="690">
        <v>191</v>
      </c>
      <c r="R163" s="690">
        <v>231</v>
      </c>
      <c r="S163" s="690">
        <v>179</v>
      </c>
      <c r="T163" s="690">
        <v>187</v>
      </c>
      <c r="U163" s="690">
        <v>153</v>
      </c>
      <c r="V163" s="690">
        <v>175</v>
      </c>
      <c r="W163" s="690">
        <v>223</v>
      </c>
      <c r="X163" s="690">
        <v>219</v>
      </c>
      <c r="Y163" s="690">
        <v>233</v>
      </c>
      <c r="Z163" s="690">
        <v>235</v>
      </c>
    </row>
    <row r="164" spans="1:26" ht="16.350000000000001" customHeight="1" x14ac:dyDescent="0.25">
      <c r="A164" s="693" t="s">
        <v>617</v>
      </c>
      <c r="B164" s="783" t="s">
        <v>618</v>
      </c>
      <c r="C164" s="690">
        <v>302</v>
      </c>
      <c r="D164" s="690">
        <v>328</v>
      </c>
      <c r="E164" s="690">
        <v>340</v>
      </c>
      <c r="F164" s="690">
        <v>328</v>
      </c>
      <c r="G164" s="690">
        <v>281</v>
      </c>
      <c r="H164" s="690">
        <v>268</v>
      </c>
      <c r="I164" s="690">
        <v>270</v>
      </c>
      <c r="J164" s="690">
        <v>270</v>
      </c>
      <c r="K164" s="690">
        <v>280</v>
      </c>
      <c r="L164" s="690">
        <v>285</v>
      </c>
      <c r="M164" s="690">
        <v>327</v>
      </c>
      <c r="N164" s="690">
        <v>282</v>
      </c>
      <c r="O164" s="690">
        <v>280</v>
      </c>
      <c r="P164" s="690">
        <v>295</v>
      </c>
      <c r="Q164" s="690">
        <v>257</v>
      </c>
      <c r="R164" s="690">
        <v>251</v>
      </c>
      <c r="S164" s="690">
        <v>268</v>
      </c>
      <c r="T164" s="690">
        <v>221</v>
      </c>
      <c r="U164" s="690">
        <v>232</v>
      </c>
      <c r="V164" s="690">
        <v>254</v>
      </c>
      <c r="W164" s="690">
        <v>262</v>
      </c>
      <c r="X164" s="690">
        <v>233</v>
      </c>
      <c r="Y164" s="690">
        <v>243</v>
      </c>
      <c r="Z164" s="690">
        <v>282</v>
      </c>
    </row>
    <row r="165" spans="1:26" ht="16.350000000000001" customHeight="1" x14ac:dyDescent="0.25">
      <c r="A165" s="693" t="s">
        <v>619</v>
      </c>
      <c r="B165" s="783" t="s">
        <v>620</v>
      </c>
      <c r="C165" s="690">
        <v>1880</v>
      </c>
      <c r="D165" s="690">
        <v>1931</v>
      </c>
      <c r="E165" s="690">
        <v>1842</v>
      </c>
      <c r="F165" s="690">
        <v>1788</v>
      </c>
      <c r="G165" s="690">
        <v>1625</v>
      </c>
      <c r="H165" s="690">
        <v>1649</v>
      </c>
      <c r="I165" s="690">
        <v>1663</v>
      </c>
      <c r="J165" s="690">
        <v>1603</v>
      </c>
      <c r="K165" s="690">
        <v>1877</v>
      </c>
      <c r="L165" s="690">
        <v>1617</v>
      </c>
      <c r="M165" s="690">
        <v>1884</v>
      </c>
      <c r="N165" s="690">
        <v>1857</v>
      </c>
      <c r="O165" s="690">
        <v>1954</v>
      </c>
      <c r="P165" s="690">
        <v>2046</v>
      </c>
      <c r="Q165" s="690">
        <v>1873</v>
      </c>
      <c r="R165" s="690">
        <v>1978</v>
      </c>
      <c r="S165" s="690">
        <v>1790</v>
      </c>
      <c r="T165" s="690">
        <v>1635</v>
      </c>
      <c r="U165" s="690">
        <v>1810</v>
      </c>
      <c r="V165" s="690">
        <v>1609</v>
      </c>
      <c r="W165" s="690">
        <v>2042</v>
      </c>
      <c r="X165" s="690">
        <v>2066</v>
      </c>
      <c r="Y165" s="690">
        <v>2251</v>
      </c>
      <c r="Z165" s="690">
        <v>2168</v>
      </c>
    </row>
    <row r="166" spans="1:26" ht="16.350000000000001" customHeight="1" x14ac:dyDescent="0.25">
      <c r="A166" s="693" t="s">
        <v>621</v>
      </c>
      <c r="B166" s="783" t="s">
        <v>622</v>
      </c>
      <c r="C166" s="690">
        <v>2459</v>
      </c>
      <c r="D166" s="690">
        <v>2292</v>
      </c>
      <c r="E166" s="690">
        <v>2401</v>
      </c>
      <c r="F166" s="690">
        <v>2292</v>
      </c>
      <c r="G166" s="690">
        <v>2131</v>
      </c>
      <c r="H166" s="690">
        <v>2003</v>
      </c>
      <c r="I166" s="690">
        <v>2189</v>
      </c>
      <c r="J166" s="690">
        <v>2121</v>
      </c>
      <c r="K166" s="690">
        <v>2418</v>
      </c>
      <c r="L166" s="690">
        <v>2337</v>
      </c>
      <c r="M166" s="690">
        <v>2629</v>
      </c>
      <c r="N166" s="690">
        <v>2488</v>
      </c>
      <c r="O166" s="690">
        <v>2557</v>
      </c>
      <c r="P166" s="690">
        <v>2588</v>
      </c>
      <c r="Q166" s="690">
        <v>2412</v>
      </c>
      <c r="R166" s="690">
        <v>2406</v>
      </c>
      <c r="S166" s="690">
        <v>2150</v>
      </c>
      <c r="T166" s="690">
        <v>2045</v>
      </c>
      <c r="U166" s="690">
        <v>2153</v>
      </c>
      <c r="V166" s="690">
        <v>2168</v>
      </c>
      <c r="W166" s="690">
        <v>2552</v>
      </c>
      <c r="X166" s="690">
        <v>2441</v>
      </c>
      <c r="Y166" s="690">
        <v>2515</v>
      </c>
      <c r="Z166" s="690">
        <v>2512</v>
      </c>
    </row>
    <row r="167" spans="1:26" ht="16.350000000000001" customHeight="1" x14ac:dyDescent="0.25">
      <c r="A167" s="693">
        <v>81</v>
      </c>
      <c r="B167" s="885" t="s">
        <v>1520</v>
      </c>
      <c r="C167" s="690">
        <v>441</v>
      </c>
      <c r="D167" s="690">
        <v>269</v>
      </c>
      <c r="E167" s="690">
        <v>137</v>
      </c>
      <c r="F167" s="690">
        <v>144</v>
      </c>
      <c r="G167" s="690">
        <v>191</v>
      </c>
      <c r="H167" s="690">
        <v>224</v>
      </c>
      <c r="I167" s="690">
        <v>356</v>
      </c>
      <c r="J167" s="690">
        <v>254</v>
      </c>
      <c r="K167" s="690">
        <v>92</v>
      </c>
      <c r="L167" s="690">
        <v>108</v>
      </c>
      <c r="M167" s="690">
        <v>104</v>
      </c>
      <c r="N167" s="690">
        <v>92</v>
      </c>
      <c r="O167" s="690">
        <v>78</v>
      </c>
      <c r="P167" s="690">
        <v>66</v>
      </c>
      <c r="Q167" s="690">
        <v>105</v>
      </c>
      <c r="R167" s="690">
        <v>114</v>
      </c>
      <c r="S167" s="690">
        <v>58</v>
      </c>
      <c r="T167" s="690">
        <v>62</v>
      </c>
      <c r="U167" s="690">
        <v>127</v>
      </c>
      <c r="V167" s="690">
        <v>79</v>
      </c>
      <c r="W167" s="690">
        <v>119</v>
      </c>
      <c r="X167" s="690">
        <v>143</v>
      </c>
      <c r="Y167" s="690">
        <v>99</v>
      </c>
      <c r="Z167" s="690">
        <v>186</v>
      </c>
    </row>
    <row r="168" spans="1:26" ht="16.350000000000001" customHeight="1" x14ac:dyDescent="0.25">
      <c r="A168" s="693">
        <v>90</v>
      </c>
      <c r="B168" s="783" t="s">
        <v>623</v>
      </c>
      <c r="C168" s="690" t="s">
        <v>169</v>
      </c>
      <c r="D168" s="690" t="s">
        <v>169</v>
      </c>
      <c r="E168" s="690" t="s">
        <v>169</v>
      </c>
      <c r="F168" s="690" t="s">
        <v>169</v>
      </c>
      <c r="G168" s="690" t="s">
        <v>169</v>
      </c>
      <c r="H168" s="690" t="s">
        <v>169</v>
      </c>
      <c r="I168" s="690" t="s">
        <v>169</v>
      </c>
      <c r="J168" s="690" t="s">
        <v>169</v>
      </c>
      <c r="K168" s="690" t="s">
        <v>169</v>
      </c>
      <c r="L168" s="690" t="s">
        <v>169</v>
      </c>
      <c r="M168" s="690" t="s">
        <v>169</v>
      </c>
      <c r="N168" s="690" t="s">
        <v>169</v>
      </c>
      <c r="O168" s="690" t="s">
        <v>169</v>
      </c>
      <c r="P168" s="690" t="s">
        <v>169</v>
      </c>
      <c r="Q168" s="690" t="s">
        <v>169</v>
      </c>
      <c r="R168" s="690" t="s">
        <v>169</v>
      </c>
      <c r="S168" s="690" t="s">
        <v>169</v>
      </c>
      <c r="T168" s="690" t="s">
        <v>169</v>
      </c>
      <c r="U168" s="690" t="s">
        <v>169</v>
      </c>
      <c r="V168" s="690" t="s">
        <v>169</v>
      </c>
      <c r="W168" s="690" t="s">
        <v>169</v>
      </c>
      <c r="X168" s="690" t="s">
        <v>169</v>
      </c>
      <c r="Y168" s="690" t="s">
        <v>169</v>
      </c>
      <c r="Z168" s="690" t="s">
        <v>169</v>
      </c>
    </row>
    <row r="169" spans="1:26" ht="26.25" customHeight="1" x14ac:dyDescent="0.25">
      <c r="A169" s="236"/>
      <c r="B169" s="778" t="s">
        <v>624</v>
      </c>
      <c r="C169" s="238">
        <v>5347</v>
      </c>
      <c r="D169" s="238">
        <v>5054</v>
      </c>
      <c r="E169" s="238">
        <v>4944</v>
      </c>
      <c r="F169" s="238">
        <v>4780</v>
      </c>
      <c r="G169" s="238">
        <v>4412</v>
      </c>
      <c r="H169" s="238">
        <v>4348</v>
      </c>
      <c r="I169" s="238">
        <v>4667</v>
      </c>
      <c r="J169" s="238">
        <v>4428</v>
      </c>
      <c r="K169" s="238">
        <v>4920</v>
      </c>
      <c r="L169" s="238">
        <v>4550</v>
      </c>
      <c r="M169" s="238">
        <v>5195</v>
      </c>
      <c r="N169" s="238">
        <v>4983</v>
      </c>
      <c r="O169" s="238">
        <v>5119</v>
      </c>
      <c r="P169" s="238">
        <v>5233</v>
      </c>
      <c r="Q169" s="238">
        <v>4838</v>
      </c>
      <c r="R169" s="238">
        <v>4980</v>
      </c>
      <c r="S169" s="238">
        <v>4445</v>
      </c>
      <c r="T169" s="238">
        <v>4150</v>
      </c>
      <c r="U169" s="238">
        <v>4475</v>
      </c>
      <c r="V169" s="238">
        <v>4285</v>
      </c>
      <c r="W169" s="238">
        <v>5198</v>
      </c>
      <c r="X169" s="238">
        <v>5102</v>
      </c>
      <c r="Y169" s="238">
        <v>5341</v>
      </c>
      <c r="Z169" s="238">
        <v>5383</v>
      </c>
    </row>
    <row r="170" spans="1:26" ht="30" customHeight="1" x14ac:dyDescent="0.25">
      <c r="A170" s="710" t="s">
        <v>625</v>
      </c>
      <c r="B170" s="783" t="s">
        <v>626</v>
      </c>
      <c r="C170" s="690">
        <v>32718</v>
      </c>
      <c r="D170" s="690">
        <v>31790</v>
      </c>
      <c r="E170" s="690">
        <v>33192</v>
      </c>
      <c r="F170" s="690">
        <v>31082</v>
      </c>
      <c r="G170" s="690">
        <v>26985</v>
      </c>
      <c r="H170" s="690">
        <v>24570</v>
      </c>
      <c r="I170" s="690">
        <v>24428</v>
      </c>
      <c r="J170" s="690">
        <v>25144</v>
      </c>
      <c r="K170" s="690">
        <v>27644</v>
      </c>
      <c r="L170" s="690">
        <v>27295</v>
      </c>
      <c r="M170" s="690">
        <v>31992</v>
      </c>
      <c r="N170" s="690">
        <v>31037</v>
      </c>
      <c r="O170" s="690">
        <v>32326</v>
      </c>
      <c r="P170" s="690">
        <v>30162</v>
      </c>
      <c r="Q170" s="690">
        <v>27881</v>
      </c>
      <c r="R170" s="690">
        <v>28083</v>
      </c>
      <c r="S170" s="690">
        <v>25291</v>
      </c>
      <c r="T170" s="690">
        <v>22201</v>
      </c>
      <c r="U170" s="690">
        <v>22851</v>
      </c>
      <c r="V170" s="690">
        <v>22029</v>
      </c>
      <c r="W170" s="690">
        <v>28248</v>
      </c>
      <c r="X170" s="690">
        <v>27733</v>
      </c>
      <c r="Y170" s="690">
        <v>30133</v>
      </c>
      <c r="Z170" s="690">
        <v>30002</v>
      </c>
    </row>
    <row r="171" spans="1:26" ht="16.350000000000001" customHeight="1" x14ac:dyDescent="0.25">
      <c r="A171" s="693" t="s">
        <v>627</v>
      </c>
      <c r="B171" s="783" t="s">
        <v>628</v>
      </c>
      <c r="C171" s="690">
        <v>4690</v>
      </c>
      <c r="D171" s="690">
        <v>4453</v>
      </c>
      <c r="E171" s="690">
        <v>4430</v>
      </c>
      <c r="F171" s="690">
        <v>4723</v>
      </c>
      <c r="G171" s="690">
        <v>4390</v>
      </c>
      <c r="H171" s="690">
        <v>3873</v>
      </c>
      <c r="I171" s="690">
        <v>3634</v>
      </c>
      <c r="J171" s="690">
        <v>3769</v>
      </c>
      <c r="K171" s="690">
        <v>4278</v>
      </c>
      <c r="L171" s="690">
        <v>4223</v>
      </c>
      <c r="M171" s="690">
        <v>5133</v>
      </c>
      <c r="N171" s="690">
        <v>4970</v>
      </c>
      <c r="O171" s="690">
        <v>5487</v>
      </c>
      <c r="P171" s="690">
        <v>7058</v>
      </c>
      <c r="Q171" s="690">
        <v>4813</v>
      </c>
      <c r="R171" s="690">
        <v>4596</v>
      </c>
      <c r="S171" s="690">
        <v>4351</v>
      </c>
      <c r="T171" s="690">
        <v>3874</v>
      </c>
      <c r="U171" s="690">
        <v>3876</v>
      </c>
      <c r="V171" s="690">
        <v>3844</v>
      </c>
      <c r="W171" s="690">
        <v>4576</v>
      </c>
      <c r="X171" s="690">
        <v>4738</v>
      </c>
      <c r="Y171" s="690">
        <v>5286</v>
      </c>
      <c r="Z171" s="690">
        <v>5348</v>
      </c>
    </row>
    <row r="172" spans="1:26" ht="16.350000000000001" customHeight="1" x14ac:dyDescent="0.25">
      <c r="A172" s="693">
        <v>62</v>
      </c>
      <c r="B172" s="783" t="s">
        <v>629</v>
      </c>
      <c r="C172" s="690" t="s">
        <v>169</v>
      </c>
      <c r="D172" s="690" t="s">
        <v>169</v>
      </c>
      <c r="E172" s="690" t="s">
        <v>169</v>
      </c>
      <c r="F172" s="690" t="s">
        <v>169</v>
      </c>
      <c r="G172" s="690" t="s">
        <v>169</v>
      </c>
      <c r="H172" s="690" t="s">
        <v>169</v>
      </c>
      <c r="I172" s="690" t="s">
        <v>169</v>
      </c>
      <c r="J172" s="690" t="s">
        <v>169</v>
      </c>
      <c r="K172" s="690" t="s">
        <v>169</v>
      </c>
      <c r="L172" s="690" t="s">
        <v>169</v>
      </c>
      <c r="M172" s="690" t="s">
        <v>169</v>
      </c>
      <c r="N172" s="690" t="s">
        <v>169</v>
      </c>
      <c r="O172" s="690" t="s">
        <v>169</v>
      </c>
      <c r="P172" s="690" t="s">
        <v>169</v>
      </c>
      <c r="Q172" s="690" t="s">
        <v>169</v>
      </c>
      <c r="R172" s="690" t="s">
        <v>169</v>
      </c>
      <c r="S172" s="690" t="s">
        <v>169</v>
      </c>
      <c r="T172" s="690" t="s">
        <v>169</v>
      </c>
      <c r="U172" s="690" t="s">
        <v>169</v>
      </c>
      <c r="V172" s="690" t="s">
        <v>169</v>
      </c>
      <c r="W172" s="690" t="s">
        <v>169</v>
      </c>
      <c r="X172" s="690" t="s">
        <v>169</v>
      </c>
      <c r="Y172" s="690" t="s">
        <v>169</v>
      </c>
      <c r="Z172" s="690" t="s">
        <v>169</v>
      </c>
    </row>
    <row r="173" spans="1:26" ht="18" customHeight="1" x14ac:dyDescent="0.25">
      <c r="A173" s="693" t="s">
        <v>630</v>
      </c>
      <c r="B173" s="783" t="s">
        <v>631</v>
      </c>
      <c r="C173" s="690">
        <v>129</v>
      </c>
      <c r="D173" s="690">
        <v>124</v>
      </c>
      <c r="E173" s="690">
        <v>121</v>
      </c>
      <c r="F173" s="690">
        <v>151</v>
      </c>
      <c r="G173" s="690">
        <v>129</v>
      </c>
      <c r="H173" s="690">
        <v>128</v>
      </c>
      <c r="I173" s="690">
        <v>117</v>
      </c>
      <c r="J173" s="690">
        <v>96</v>
      </c>
      <c r="K173" s="690">
        <v>118</v>
      </c>
      <c r="L173" s="690">
        <v>130</v>
      </c>
      <c r="M173" s="690">
        <v>159</v>
      </c>
      <c r="N173" s="690">
        <v>165</v>
      </c>
      <c r="O173" s="690">
        <v>136</v>
      </c>
      <c r="P173" s="690">
        <v>210</v>
      </c>
      <c r="Q173" s="690">
        <v>100</v>
      </c>
      <c r="R173" s="690">
        <v>123</v>
      </c>
      <c r="S173" s="690">
        <v>101</v>
      </c>
      <c r="T173" s="690">
        <v>101</v>
      </c>
      <c r="U173" s="690">
        <v>105</v>
      </c>
      <c r="V173" s="690">
        <v>83</v>
      </c>
      <c r="W173" s="690">
        <v>125</v>
      </c>
      <c r="X173" s="690">
        <v>102</v>
      </c>
      <c r="Y173" s="690">
        <v>118</v>
      </c>
      <c r="Z173" s="690">
        <v>141</v>
      </c>
    </row>
    <row r="174" spans="1:26" ht="17.25" customHeight="1" x14ac:dyDescent="0.25">
      <c r="A174" s="693">
        <v>63</v>
      </c>
      <c r="B174" s="783" t="s">
        <v>632</v>
      </c>
      <c r="C174" s="690" t="s">
        <v>169</v>
      </c>
      <c r="D174" s="690" t="s">
        <v>169</v>
      </c>
      <c r="E174" s="690" t="s">
        <v>169</v>
      </c>
      <c r="F174" s="690" t="s">
        <v>169</v>
      </c>
      <c r="G174" s="690" t="s">
        <v>169</v>
      </c>
      <c r="H174" s="690" t="s">
        <v>169</v>
      </c>
      <c r="I174" s="690" t="s">
        <v>169</v>
      </c>
      <c r="J174" s="690" t="s">
        <v>169</v>
      </c>
      <c r="K174" s="690" t="s">
        <v>169</v>
      </c>
      <c r="L174" s="690" t="s">
        <v>169</v>
      </c>
      <c r="M174" s="690" t="s">
        <v>169</v>
      </c>
      <c r="N174" s="690" t="s">
        <v>169</v>
      </c>
      <c r="O174" s="690" t="s">
        <v>169</v>
      </c>
      <c r="P174" s="690" t="s">
        <v>169</v>
      </c>
      <c r="Q174" s="690" t="s">
        <v>169</v>
      </c>
      <c r="R174" s="690" t="s">
        <v>169</v>
      </c>
      <c r="S174" s="690" t="s">
        <v>169</v>
      </c>
      <c r="T174" s="690" t="s">
        <v>169</v>
      </c>
      <c r="U174" s="690" t="s">
        <v>169</v>
      </c>
      <c r="V174" s="690" t="s">
        <v>169</v>
      </c>
      <c r="W174" s="690" t="s">
        <v>169</v>
      </c>
      <c r="X174" s="690" t="s">
        <v>169</v>
      </c>
      <c r="Y174" s="690" t="s">
        <v>169</v>
      </c>
      <c r="Z174" s="690" t="s">
        <v>169</v>
      </c>
    </row>
    <row r="175" spans="1:26" ht="17.25" customHeight="1" x14ac:dyDescent="0.25">
      <c r="A175" s="693">
        <v>64</v>
      </c>
      <c r="B175" s="783" t="s">
        <v>633</v>
      </c>
      <c r="C175" s="690" t="s">
        <v>169</v>
      </c>
      <c r="D175" s="690" t="s">
        <v>169</v>
      </c>
      <c r="E175" s="690" t="s">
        <v>169</v>
      </c>
      <c r="F175" s="690" t="s">
        <v>169</v>
      </c>
      <c r="G175" s="690" t="s">
        <v>169</v>
      </c>
      <c r="H175" s="690" t="s">
        <v>169</v>
      </c>
      <c r="I175" s="690" t="s">
        <v>169</v>
      </c>
      <c r="J175" s="690" t="s">
        <v>169</v>
      </c>
      <c r="K175" s="690" t="s">
        <v>169</v>
      </c>
      <c r="L175" s="690" t="s">
        <v>169</v>
      </c>
      <c r="M175" s="690" t="s">
        <v>169</v>
      </c>
      <c r="N175" s="690" t="s">
        <v>169</v>
      </c>
      <c r="O175" s="690" t="s">
        <v>169</v>
      </c>
      <c r="P175" s="690" t="s">
        <v>169</v>
      </c>
      <c r="Q175" s="690" t="s">
        <v>169</v>
      </c>
      <c r="R175" s="690" t="s">
        <v>169</v>
      </c>
      <c r="S175" s="690" t="s">
        <v>169</v>
      </c>
      <c r="T175" s="690" t="s">
        <v>169</v>
      </c>
      <c r="U175" s="690" t="s">
        <v>169</v>
      </c>
      <c r="V175" s="690" t="s">
        <v>169</v>
      </c>
      <c r="W175" s="690" t="s">
        <v>169</v>
      </c>
      <c r="X175" s="690" t="s">
        <v>169</v>
      </c>
      <c r="Y175" s="690" t="s">
        <v>169</v>
      </c>
      <c r="Z175" s="690" t="s">
        <v>169</v>
      </c>
    </row>
    <row r="176" spans="1:26" ht="17.25" customHeight="1" x14ac:dyDescent="0.25">
      <c r="A176" s="693">
        <v>65</v>
      </c>
      <c r="B176" s="783" t="s">
        <v>631</v>
      </c>
      <c r="C176" s="690" t="s">
        <v>169</v>
      </c>
      <c r="D176" s="690" t="s">
        <v>169</v>
      </c>
      <c r="E176" s="690" t="s">
        <v>169</v>
      </c>
      <c r="F176" s="690" t="s">
        <v>169</v>
      </c>
      <c r="G176" s="690" t="s">
        <v>169</v>
      </c>
      <c r="H176" s="690" t="s">
        <v>169</v>
      </c>
      <c r="I176" s="690" t="s">
        <v>169</v>
      </c>
      <c r="J176" s="690" t="s">
        <v>169</v>
      </c>
      <c r="K176" s="690" t="s">
        <v>169</v>
      </c>
      <c r="L176" s="690" t="s">
        <v>169</v>
      </c>
      <c r="M176" s="690" t="s">
        <v>169</v>
      </c>
      <c r="N176" s="690" t="s">
        <v>169</v>
      </c>
      <c r="O176" s="690" t="s">
        <v>169</v>
      </c>
      <c r="P176" s="690" t="s">
        <v>169</v>
      </c>
      <c r="Q176" s="690" t="s">
        <v>169</v>
      </c>
      <c r="R176" s="690" t="s">
        <v>169</v>
      </c>
      <c r="S176" s="690" t="s">
        <v>169</v>
      </c>
      <c r="T176" s="690" t="s">
        <v>169</v>
      </c>
      <c r="U176" s="690" t="s">
        <v>169</v>
      </c>
      <c r="V176" s="690" t="s">
        <v>169</v>
      </c>
      <c r="W176" s="690" t="s">
        <v>169</v>
      </c>
      <c r="X176" s="690" t="s">
        <v>169</v>
      </c>
      <c r="Y176" s="690" t="s">
        <v>169</v>
      </c>
      <c r="Z176" s="690" t="s">
        <v>169</v>
      </c>
    </row>
    <row r="177" spans="1:26" ht="17.25" customHeight="1" x14ac:dyDescent="0.25">
      <c r="A177" s="693">
        <v>66</v>
      </c>
      <c r="B177" s="783" t="s">
        <v>634</v>
      </c>
      <c r="C177" s="690">
        <v>5742</v>
      </c>
      <c r="D177" s="690">
        <v>5696</v>
      </c>
      <c r="E177" s="690">
        <v>5642</v>
      </c>
      <c r="F177" s="690">
        <v>5519</v>
      </c>
      <c r="G177" s="690">
        <v>5084</v>
      </c>
      <c r="H177" s="690">
        <v>4771</v>
      </c>
      <c r="I177" s="690">
        <v>4903</v>
      </c>
      <c r="J177" s="690">
        <v>4754</v>
      </c>
      <c r="K177" s="690">
        <v>5281</v>
      </c>
      <c r="L177" s="690">
        <v>5247</v>
      </c>
      <c r="M177" s="690">
        <v>6037</v>
      </c>
      <c r="N177" s="690">
        <v>5647</v>
      </c>
      <c r="O177" s="690">
        <v>5940</v>
      </c>
      <c r="P177" s="690">
        <v>5845</v>
      </c>
      <c r="Q177" s="690">
        <v>5485</v>
      </c>
      <c r="R177" s="690">
        <v>5599</v>
      </c>
      <c r="S177" s="690">
        <v>5250</v>
      </c>
      <c r="T177" s="690">
        <v>4940</v>
      </c>
      <c r="U177" s="690">
        <v>5150</v>
      </c>
      <c r="V177" s="690">
        <v>4804</v>
      </c>
      <c r="W177" s="690">
        <v>5672</v>
      </c>
      <c r="X177" s="690">
        <v>5589</v>
      </c>
      <c r="Y177" s="690">
        <v>5950</v>
      </c>
      <c r="Z177" s="690">
        <v>6161</v>
      </c>
    </row>
    <row r="178" spans="1:26" ht="25.5" customHeight="1" x14ac:dyDescent="0.25">
      <c r="A178" s="236"/>
      <c r="B178" s="780" t="s">
        <v>635</v>
      </c>
      <c r="C178" s="238">
        <v>43279</v>
      </c>
      <c r="D178" s="238">
        <v>42063</v>
      </c>
      <c r="E178" s="238">
        <v>43385</v>
      </c>
      <c r="F178" s="238">
        <v>41475</v>
      </c>
      <c r="G178" s="238">
        <v>36588</v>
      </c>
      <c r="H178" s="238">
        <v>33342</v>
      </c>
      <c r="I178" s="238">
        <v>33082</v>
      </c>
      <c r="J178" s="238">
        <v>33763</v>
      </c>
      <c r="K178" s="238">
        <v>37321</v>
      </c>
      <c r="L178" s="238">
        <v>36895</v>
      </c>
      <c r="M178" s="238">
        <v>43321</v>
      </c>
      <c r="N178" s="238">
        <v>41819</v>
      </c>
      <c r="O178" s="238">
        <v>43889</v>
      </c>
      <c r="P178" s="238">
        <v>43275</v>
      </c>
      <c r="Q178" s="238">
        <v>38279</v>
      </c>
      <c r="R178" s="238">
        <v>38401</v>
      </c>
      <c r="S178" s="238">
        <v>34993</v>
      </c>
      <c r="T178" s="238">
        <v>31116</v>
      </c>
      <c r="U178" s="238">
        <v>31982</v>
      </c>
      <c r="V178" s="238">
        <v>30760</v>
      </c>
      <c r="W178" s="238">
        <v>38621</v>
      </c>
      <c r="X178" s="238">
        <v>38162</v>
      </c>
      <c r="Y178" s="238">
        <v>41487</v>
      </c>
      <c r="Z178" s="238">
        <v>41652</v>
      </c>
    </row>
    <row r="179" spans="1:26" ht="30" customHeight="1" x14ac:dyDescent="0.25">
      <c r="A179" s="710">
        <v>15</v>
      </c>
      <c r="B179" s="783" t="s">
        <v>636</v>
      </c>
      <c r="C179" s="690">
        <v>1</v>
      </c>
      <c r="D179" s="690">
        <v>1</v>
      </c>
      <c r="E179" s="690">
        <v>0</v>
      </c>
      <c r="F179" s="690">
        <v>0</v>
      </c>
      <c r="G179" s="690">
        <v>0</v>
      </c>
      <c r="H179" s="690">
        <v>0</v>
      </c>
      <c r="I179" s="690">
        <v>0</v>
      </c>
      <c r="J179" s="690">
        <v>3</v>
      </c>
      <c r="K179" s="690">
        <v>1</v>
      </c>
      <c r="L179" s="690">
        <v>0</v>
      </c>
      <c r="M179" s="690">
        <v>0</v>
      </c>
      <c r="N179" s="690">
        <v>0</v>
      </c>
      <c r="O179" s="690">
        <v>2</v>
      </c>
      <c r="P179" s="690">
        <v>0</v>
      </c>
      <c r="Q179" s="690">
        <v>2</v>
      </c>
      <c r="R179" s="690">
        <v>2</v>
      </c>
      <c r="S179" s="690">
        <v>1</v>
      </c>
      <c r="T179" s="690">
        <v>0</v>
      </c>
      <c r="U179" s="690">
        <v>0</v>
      </c>
      <c r="V179" s="690">
        <v>0</v>
      </c>
      <c r="W179" s="690">
        <v>1</v>
      </c>
      <c r="X179" s="690">
        <v>1</v>
      </c>
      <c r="Y179" s="690">
        <v>0</v>
      </c>
      <c r="Z179" s="690">
        <v>1</v>
      </c>
    </row>
    <row r="180" spans="1:26" ht="16.5" customHeight="1" x14ac:dyDescent="0.25">
      <c r="A180" s="693">
        <v>24</v>
      </c>
      <c r="B180" s="783" t="s">
        <v>637</v>
      </c>
      <c r="C180" s="690">
        <v>11</v>
      </c>
      <c r="D180" s="690">
        <v>18</v>
      </c>
      <c r="E180" s="690">
        <v>28</v>
      </c>
      <c r="F180" s="690">
        <v>18</v>
      </c>
      <c r="G180" s="690">
        <v>22</v>
      </c>
      <c r="H180" s="690">
        <v>13</v>
      </c>
      <c r="I180" s="690">
        <v>17</v>
      </c>
      <c r="J180" s="690">
        <v>19</v>
      </c>
      <c r="K180" s="690">
        <v>24</v>
      </c>
      <c r="L180" s="690">
        <v>26</v>
      </c>
      <c r="M180" s="690">
        <v>19</v>
      </c>
      <c r="N180" s="690">
        <v>20</v>
      </c>
      <c r="O180" s="690">
        <v>19</v>
      </c>
      <c r="P180" s="690">
        <v>21</v>
      </c>
      <c r="Q180" s="690">
        <v>18</v>
      </c>
      <c r="R180" s="690">
        <v>22</v>
      </c>
      <c r="S180" s="690">
        <v>18</v>
      </c>
      <c r="T180" s="690">
        <v>11</v>
      </c>
      <c r="U180" s="690">
        <v>23</v>
      </c>
      <c r="V180" s="690">
        <v>26</v>
      </c>
      <c r="W180" s="690">
        <v>39</v>
      </c>
      <c r="X180" s="690">
        <v>21</v>
      </c>
      <c r="Y180" s="690">
        <v>31</v>
      </c>
      <c r="Z180" s="690">
        <v>21</v>
      </c>
    </row>
    <row r="181" spans="1:26" ht="16.5" customHeight="1" x14ac:dyDescent="0.25">
      <c r="A181" s="693">
        <v>26</v>
      </c>
      <c r="B181" s="783" t="s">
        <v>638</v>
      </c>
      <c r="C181" s="690">
        <v>9</v>
      </c>
      <c r="D181" s="690">
        <v>12</v>
      </c>
      <c r="E181" s="690">
        <v>7</v>
      </c>
      <c r="F181" s="690">
        <v>4</v>
      </c>
      <c r="G181" s="690">
        <v>8</v>
      </c>
      <c r="H181" s="690">
        <v>4</v>
      </c>
      <c r="I181" s="690">
        <v>5</v>
      </c>
      <c r="J181" s="690">
        <v>5</v>
      </c>
      <c r="K181" s="690">
        <v>2</v>
      </c>
      <c r="L181" s="690">
        <v>4</v>
      </c>
      <c r="M181" s="690">
        <v>2</v>
      </c>
      <c r="N181" s="690">
        <v>7</v>
      </c>
      <c r="O181" s="690">
        <v>5</v>
      </c>
      <c r="P181" s="690">
        <v>3</v>
      </c>
      <c r="Q181" s="690">
        <v>5</v>
      </c>
      <c r="R181" s="690">
        <v>8</v>
      </c>
      <c r="S181" s="690">
        <v>4</v>
      </c>
      <c r="T181" s="690">
        <v>3</v>
      </c>
      <c r="U181" s="690">
        <v>3</v>
      </c>
      <c r="V181" s="690">
        <v>4</v>
      </c>
      <c r="W181" s="690">
        <v>7</v>
      </c>
      <c r="X181" s="690">
        <v>3</v>
      </c>
      <c r="Y181" s="690">
        <v>2</v>
      </c>
      <c r="Z181" s="690">
        <v>5</v>
      </c>
    </row>
    <row r="182" spans="1:26" ht="16.5" customHeight="1" x14ac:dyDescent="0.25">
      <c r="A182" s="693">
        <v>27</v>
      </c>
      <c r="B182" s="783" t="s">
        <v>639</v>
      </c>
      <c r="C182" s="690">
        <v>21</v>
      </c>
      <c r="D182" s="690">
        <v>18</v>
      </c>
      <c r="E182" s="690">
        <v>15</v>
      </c>
      <c r="F182" s="690">
        <v>12</v>
      </c>
      <c r="G182" s="690">
        <v>19</v>
      </c>
      <c r="H182" s="690">
        <v>4</v>
      </c>
      <c r="I182" s="690">
        <v>8</v>
      </c>
      <c r="J182" s="690">
        <v>13</v>
      </c>
      <c r="K182" s="690">
        <v>16</v>
      </c>
      <c r="L182" s="690">
        <v>4</v>
      </c>
      <c r="M182" s="690">
        <v>12</v>
      </c>
      <c r="N182" s="690">
        <v>12</v>
      </c>
      <c r="O182" s="690">
        <v>15</v>
      </c>
      <c r="P182" s="690">
        <v>8</v>
      </c>
      <c r="Q182" s="690">
        <v>18</v>
      </c>
      <c r="R182" s="690">
        <v>9</v>
      </c>
      <c r="S182" s="690">
        <v>11</v>
      </c>
      <c r="T182" s="690">
        <v>13</v>
      </c>
      <c r="U182" s="690">
        <v>18</v>
      </c>
      <c r="V182" s="690">
        <v>13</v>
      </c>
      <c r="W182" s="690">
        <v>17</v>
      </c>
      <c r="X182" s="690">
        <v>8</v>
      </c>
      <c r="Y182" s="690">
        <v>12</v>
      </c>
      <c r="Z182" s="690">
        <v>14</v>
      </c>
    </row>
    <row r="183" spans="1:26" ht="16.5" customHeight="1" x14ac:dyDescent="0.25">
      <c r="A183" s="693">
        <v>33</v>
      </c>
      <c r="B183" s="783" t="s">
        <v>640</v>
      </c>
      <c r="C183" s="690">
        <v>218</v>
      </c>
      <c r="D183" s="690">
        <v>229</v>
      </c>
      <c r="E183" s="690">
        <v>206</v>
      </c>
      <c r="F183" s="690">
        <v>235</v>
      </c>
      <c r="G183" s="690">
        <v>233</v>
      </c>
      <c r="H183" s="690">
        <v>216</v>
      </c>
      <c r="I183" s="690">
        <v>197</v>
      </c>
      <c r="J183" s="690">
        <v>198</v>
      </c>
      <c r="K183" s="690">
        <v>218</v>
      </c>
      <c r="L183" s="690">
        <v>227</v>
      </c>
      <c r="M183" s="690">
        <v>202</v>
      </c>
      <c r="N183" s="690">
        <v>197</v>
      </c>
      <c r="O183" s="690">
        <v>199</v>
      </c>
      <c r="P183" s="690">
        <v>197</v>
      </c>
      <c r="Q183" s="690">
        <v>206</v>
      </c>
      <c r="R183" s="690">
        <v>213</v>
      </c>
      <c r="S183" s="690">
        <v>209</v>
      </c>
      <c r="T183" s="690">
        <v>193</v>
      </c>
      <c r="U183" s="690">
        <v>197</v>
      </c>
      <c r="V183" s="690">
        <v>203</v>
      </c>
      <c r="W183" s="690">
        <v>201</v>
      </c>
      <c r="X183" s="690">
        <v>220</v>
      </c>
      <c r="Y183" s="690">
        <v>230</v>
      </c>
      <c r="Z183" s="690">
        <v>194</v>
      </c>
    </row>
    <row r="184" spans="1:26" ht="16.5" customHeight="1" x14ac:dyDescent="0.25">
      <c r="A184" s="693" t="s">
        <v>641</v>
      </c>
      <c r="B184" s="783" t="s">
        <v>642</v>
      </c>
      <c r="C184" s="690">
        <v>122</v>
      </c>
      <c r="D184" s="690">
        <v>111</v>
      </c>
      <c r="E184" s="690">
        <v>105</v>
      </c>
      <c r="F184" s="690">
        <v>77</v>
      </c>
      <c r="G184" s="690">
        <v>123</v>
      </c>
      <c r="H184" s="690">
        <v>91</v>
      </c>
      <c r="I184" s="690">
        <v>89</v>
      </c>
      <c r="J184" s="690">
        <v>103</v>
      </c>
      <c r="K184" s="690">
        <v>74</v>
      </c>
      <c r="L184" s="690">
        <v>98</v>
      </c>
      <c r="M184" s="690">
        <v>89</v>
      </c>
      <c r="N184" s="690">
        <v>96</v>
      </c>
      <c r="O184" s="690">
        <v>125</v>
      </c>
      <c r="P184" s="690">
        <v>90</v>
      </c>
      <c r="Q184" s="690">
        <v>87</v>
      </c>
      <c r="R184" s="690">
        <v>128</v>
      </c>
      <c r="S184" s="690">
        <v>104</v>
      </c>
      <c r="T184" s="690">
        <v>100</v>
      </c>
      <c r="U184" s="690">
        <v>107</v>
      </c>
      <c r="V184" s="690">
        <v>92</v>
      </c>
      <c r="W184" s="690">
        <v>109</v>
      </c>
      <c r="X184" s="690">
        <v>106</v>
      </c>
      <c r="Y184" s="690">
        <v>100</v>
      </c>
      <c r="Z184" s="690">
        <v>85</v>
      </c>
    </row>
    <row r="185" spans="1:26" ht="16.5" customHeight="1" x14ac:dyDescent="0.25">
      <c r="A185" s="693">
        <v>38</v>
      </c>
      <c r="B185" s="783" t="s">
        <v>643</v>
      </c>
      <c r="C185" s="690">
        <v>217</v>
      </c>
      <c r="D185" s="690">
        <v>229</v>
      </c>
      <c r="E185" s="690">
        <v>185</v>
      </c>
      <c r="F185" s="690">
        <v>236</v>
      </c>
      <c r="G185" s="690">
        <v>243</v>
      </c>
      <c r="H185" s="690">
        <v>216</v>
      </c>
      <c r="I185" s="690">
        <v>229</v>
      </c>
      <c r="J185" s="690">
        <v>245</v>
      </c>
      <c r="K185" s="690">
        <v>210</v>
      </c>
      <c r="L185" s="690">
        <v>234</v>
      </c>
      <c r="M185" s="690">
        <v>206</v>
      </c>
      <c r="N185" s="690">
        <v>171</v>
      </c>
      <c r="O185" s="690">
        <v>214</v>
      </c>
      <c r="P185" s="690">
        <v>183</v>
      </c>
      <c r="Q185" s="690">
        <v>199</v>
      </c>
      <c r="R185" s="690">
        <v>239</v>
      </c>
      <c r="S185" s="690">
        <v>256</v>
      </c>
      <c r="T185" s="690">
        <v>207</v>
      </c>
      <c r="U185" s="690">
        <v>246</v>
      </c>
      <c r="V185" s="690">
        <v>312</v>
      </c>
      <c r="W185" s="690">
        <v>272</v>
      </c>
      <c r="X185" s="690">
        <v>271</v>
      </c>
      <c r="Y185" s="690">
        <v>281</v>
      </c>
      <c r="Z185" s="690">
        <v>270</v>
      </c>
    </row>
    <row r="186" spans="1:26" ht="13.35" customHeight="1" x14ac:dyDescent="0.25">
      <c r="A186" s="693" t="s">
        <v>644</v>
      </c>
      <c r="B186" s="783" t="s">
        <v>645</v>
      </c>
      <c r="C186" s="690" t="s">
        <v>169</v>
      </c>
      <c r="D186" s="690" t="s">
        <v>169</v>
      </c>
      <c r="E186" s="690" t="s">
        <v>169</v>
      </c>
      <c r="F186" s="690" t="s">
        <v>169</v>
      </c>
      <c r="G186" s="690" t="s">
        <v>169</v>
      </c>
      <c r="H186" s="690" t="s">
        <v>169</v>
      </c>
      <c r="I186" s="690" t="s">
        <v>169</v>
      </c>
      <c r="J186" s="690" t="s">
        <v>169</v>
      </c>
      <c r="K186" s="690" t="s">
        <v>169</v>
      </c>
      <c r="L186" s="690" t="s">
        <v>169</v>
      </c>
      <c r="M186" s="690" t="s">
        <v>169</v>
      </c>
      <c r="N186" s="690" t="s">
        <v>169</v>
      </c>
      <c r="O186" s="690" t="s">
        <v>169</v>
      </c>
      <c r="P186" s="690" t="s">
        <v>169</v>
      </c>
      <c r="Q186" s="690" t="s">
        <v>169</v>
      </c>
      <c r="R186" s="690" t="s">
        <v>169</v>
      </c>
      <c r="S186" s="690" t="s">
        <v>169</v>
      </c>
      <c r="T186" s="690" t="s">
        <v>169</v>
      </c>
      <c r="U186" s="690" t="s">
        <v>169</v>
      </c>
      <c r="V186" s="690" t="s">
        <v>169</v>
      </c>
      <c r="W186" s="690" t="s">
        <v>169</v>
      </c>
      <c r="X186" s="690" t="s">
        <v>169</v>
      </c>
      <c r="Y186" s="690" t="s">
        <v>169</v>
      </c>
      <c r="Z186" s="690" t="s">
        <v>169</v>
      </c>
    </row>
    <row r="187" spans="1:26" ht="19.5" customHeight="1" x14ac:dyDescent="0.25">
      <c r="A187" s="693" t="s">
        <v>646</v>
      </c>
      <c r="B187" s="783" t="s">
        <v>647</v>
      </c>
      <c r="C187" s="690" t="s">
        <v>169</v>
      </c>
      <c r="D187" s="690" t="s">
        <v>169</v>
      </c>
      <c r="E187" s="690" t="s">
        <v>169</v>
      </c>
      <c r="F187" s="690" t="s">
        <v>169</v>
      </c>
      <c r="G187" s="690" t="s">
        <v>169</v>
      </c>
      <c r="H187" s="690" t="s">
        <v>169</v>
      </c>
      <c r="I187" s="690" t="s">
        <v>169</v>
      </c>
      <c r="J187" s="690" t="s">
        <v>169</v>
      </c>
      <c r="K187" s="690" t="s">
        <v>169</v>
      </c>
      <c r="L187" s="690" t="s">
        <v>169</v>
      </c>
      <c r="M187" s="690" t="s">
        <v>169</v>
      </c>
      <c r="N187" s="690" t="s">
        <v>169</v>
      </c>
      <c r="O187" s="690" t="s">
        <v>169</v>
      </c>
      <c r="P187" s="690" t="s">
        <v>169</v>
      </c>
      <c r="Q187" s="690" t="s">
        <v>169</v>
      </c>
      <c r="R187" s="690" t="s">
        <v>169</v>
      </c>
      <c r="S187" s="690" t="s">
        <v>169</v>
      </c>
      <c r="T187" s="690" t="s">
        <v>169</v>
      </c>
      <c r="U187" s="690" t="s">
        <v>169</v>
      </c>
      <c r="V187" s="690" t="s">
        <v>169</v>
      </c>
      <c r="W187" s="690" t="s">
        <v>169</v>
      </c>
      <c r="X187" s="690" t="s">
        <v>169</v>
      </c>
      <c r="Y187" s="690" t="s">
        <v>169</v>
      </c>
      <c r="Z187" s="690" t="s">
        <v>169</v>
      </c>
    </row>
    <row r="188" spans="1:26" ht="17.25" customHeight="1" x14ac:dyDescent="0.25">
      <c r="A188" s="693">
        <v>54</v>
      </c>
      <c r="B188" s="783" t="s">
        <v>648</v>
      </c>
      <c r="C188" s="690">
        <v>282</v>
      </c>
      <c r="D188" s="690">
        <v>240</v>
      </c>
      <c r="E188" s="690">
        <v>271</v>
      </c>
      <c r="F188" s="690">
        <v>291</v>
      </c>
      <c r="G188" s="690">
        <v>283</v>
      </c>
      <c r="H188" s="690">
        <v>244</v>
      </c>
      <c r="I188" s="690">
        <v>289</v>
      </c>
      <c r="J188" s="690">
        <v>263</v>
      </c>
      <c r="K188" s="690">
        <v>247</v>
      </c>
      <c r="L188" s="690">
        <v>240</v>
      </c>
      <c r="M188" s="690">
        <v>247</v>
      </c>
      <c r="N188" s="690">
        <v>268</v>
      </c>
      <c r="O188" s="690">
        <v>262</v>
      </c>
      <c r="P188" s="690">
        <v>295</v>
      </c>
      <c r="Q188" s="690">
        <v>271</v>
      </c>
      <c r="R188" s="690">
        <v>296</v>
      </c>
      <c r="S188" s="690">
        <v>338</v>
      </c>
      <c r="T188" s="690">
        <v>274</v>
      </c>
      <c r="U188" s="690">
        <v>302</v>
      </c>
      <c r="V188" s="690">
        <v>290</v>
      </c>
      <c r="W188" s="690">
        <v>323</v>
      </c>
      <c r="X188" s="690">
        <v>316</v>
      </c>
      <c r="Y188" s="690">
        <v>288</v>
      </c>
      <c r="Z188" s="690">
        <v>344</v>
      </c>
    </row>
    <row r="189" spans="1:26" ht="18" customHeight="1" x14ac:dyDescent="0.25">
      <c r="A189" s="693">
        <v>59</v>
      </c>
      <c r="B189" s="783" t="s">
        <v>649</v>
      </c>
      <c r="C189" s="690">
        <v>3073</v>
      </c>
      <c r="D189" s="690">
        <v>3096</v>
      </c>
      <c r="E189" s="690">
        <v>3105</v>
      </c>
      <c r="F189" s="690">
        <v>2964</v>
      </c>
      <c r="G189" s="690">
        <v>2585</v>
      </c>
      <c r="H189" s="690">
        <v>2595</v>
      </c>
      <c r="I189" s="690">
        <v>2639</v>
      </c>
      <c r="J189" s="690">
        <v>2721</v>
      </c>
      <c r="K189" s="690">
        <v>3018</v>
      </c>
      <c r="L189" s="690">
        <v>3042</v>
      </c>
      <c r="M189" s="690">
        <v>3531</v>
      </c>
      <c r="N189" s="690">
        <v>3398</v>
      </c>
      <c r="O189" s="690">
        <v>3679</v>
      </c>
      <c r="P189" s="690">
        <v>3746</v>
      </c>
      <c r="Q189" s="690">
        <v>3230</v>
      </c>
      <c r="R189" s="690">
        <v>3287</v>
      </c>
      <c r="S189" s="690">
        <v>3093</v>
      </c>
      <c r="T189" s="690">
        <v>2977</v>
      </c>
      <c r="U189" s="690">
        <v>3101</v>
      </c>
      <c r="V189" s="690">
        <v>2966</v>
      </c>
      <c r="W189" s="690">
        <v>3335</v>
      </c>
      <c r="X189" s="690">
        <v>3380</v>
      </c>
      <c r="Y189" s="690">
        <v>3541</v>
      </c>
      <c r="Z189" s="690">
        <v>3641</v>
      </c>
    </row>
    <row r="190" spans="1:26" ht="15" customHeight="1" x14ac:dyDescent="0.25">
      <c r="A190" s="693">
        <v>60</v>
      </c>
      <c r="B190" s="783" t="s">
        <v>650</v>
      </c>
      <c r="C190" s="690">
        <v>18</v>
      </c>
      <c r="D190" s="690">
        <v>9</v>
      </c>
      <c r="E190" s="690">
        <v>13</v>
      </c>
      <c r="F190" s="690">
        <v>13</v>
      </c>
      <c r="G190" s="690">
        <v>15</v>
      </c>
      <c r="H190" s="690">
        <v>14</v>
      </c>
      <c r="I190" s="690">
        <v>12</v>
      </c>
      <c r="J190" s="690">
        <v>13</v>
      </c>
      <c r="K190" s="690">
        <v>3</v>
      </c>
      <c r="L190" s="690">
        <v>11</v>
      </c>
      <c r="M190" s="690">
        <v>14</v>
      </c>
      <c r="N190" s="690">
        <v>8</v>
      </c>
      <c r="O190" s="690">
        <v>23</v>
      </c>
      <c r="P190" s="690">
        <v>18</v>
      </c>
      <c r="Q190" s="690">
        <v>10</v>
      </c>
      <c r="R190" s="690">
        <v>12</v>
      </c>
      <c r="S190" s="690">
        <v>7</v>
      </c>
      <c r="T190" s="690">
        <v>7</v>
      </c>
      <c r="U190" s="690">
        <v>7</v>
      </c>
      <c r="V190" s="690">
        <v>15</v>
      </c>
      <c r="W190" s="690">
        <v>14</v>
      </c>
      <c r="X190" s="690">
        <v>14</v>
      </c>
      <c r="Y190" s="690">
        <v>14</v>
      </c>
      <c r="Z190" s="690">
        <v>9</v>
      </c>
    </row>
    <row r="191" spans="1:26" ht="15" customHeight="1" x14ac:dyDescent="0.25">
      <c r="A191" s="693">
        <v>61</v>
      </c>
      <c r="B191" s="783" t="s">
        <v>651</v>
      </c>
      <c r="C191" s="690">
        <v>193</v>
      </c>
      <c r="D191" s="690">
        <v>198</v>
      </c>
      <c r="E191" s="690">
        <v>152</v>
      </c>
      <c r="F191" s="690">
        <v>196</v>
      </c>
      <c r="G191" s="690">
        <v>140</v>
      </c>
      <c r="H191" s="690">
        <v>148</v>
      </c>
      <c r="I191" s="690">
        <v>177</v>
      </c>
      <c r="J191" s="690">
        <v>153</v>
      </c>
      <c r="K191" s="690">
        <v>182</v>
      </c>
      <c r="L191" s="690">
        <v>173</v>
      </c>
      <c r="M191" s="690">
        <v>173</v>
      </c>
      <c r="N191" s="690">
        <v>185</v>
      </c>
      <c r="O191" s="690">
        <v>229</v>
      </c>
      <c r="P191" s="690">
        <v>215</v>
      </c>
      <c r="Q191" s="690">
        <v>267</v>
      </c>
      <c r="R191" s="690">
        <v>261</v>
      </c>
      <c r="S191" s="690">
        <v>338</v>
      </c>
      <c r="T191" s="690">
        <v>286</v>
      </c>
      <c r="U191" s="690">
        <v>326</v>
      </c>
      <c r="V191" s="690">
        <v>284</v>
      </c>
      <c r="W191" s="690">
        <v>387</v>
      </c>
      <c r="X191" s="690">
        <v>310</v>
      </c>
      <c r="Y191" s="690">
        <v>342</v>
      </c>
      <c r="Z191" s="690">
        <v>310</v>
      </c>
    </row>
    <row r="192" spans="1:26" ht="15" customHeight="1" x14ac:dyDescent="0.25">
      <c r="A192" s="693" t="s">
        <v>652</v>
      </c>
      <c r="B192" s="783" t="s">
        <v>653</v>
      </c>
      <c r="C192" s="690">
        <v>31</v>
      </c>
      <c r="D192" s="690">
        <v>46</v>
      </c>
      <c r="E192" s="690">
        <v>47</v>
      </c>
      <c r="F192" s="690">
        <v>54</v>
      </c>
      <c r="G192" s="690">
        <v>47</v>
      </c>
      <c r="H192" s="690">
        <v>57</v>
      </c>
      <c r="I192" s="690">
        <v>36</v>
      </c>
      <c r="J192" s="690">
        <v>37</v>
      </c>
      <c r="K192" s="690">
        <v>38</v>
      </c>
      <c r="L192" s="690">
        <v>47</v>
      </c>
      <c r="M192" s="690">
        <v>34</v>
      </c>
      <c r="N192" s="690">
        <v>24</v>
      </c>
      <c r="O192" s="690">
        <v>23</v>
      </c>
      <c r="P192" s="690">
        <v>27</v>
      </c>
      <c r="Q192" s="690">
        <v>38</v>
      </c>
      <c r="R192" s="690">
        <v>26</v>
      </c>
      <c r="S192" s="690">
        <v>33</v>
      </c>
      <c r="T192" s="690">
        <v>35</v>
      </c>
      <c r="U192" s="690">
        <v>39</v>
      </c>
      <c r="V192" s="690">
        <v>34</v>
      </c>
      <c r="W192" s="690">
        <v>32</v>
      </c>
      <c r="X192" s="690">
        <v>27</v>
      </c>
      <c r="Y192" s="690">
        <v>35</v>
      </c>
      <c r="Z192" s="690">
        <v>23</v>
      </c>
    </row>
    <row r="193" spans="1:26" ht="15" customHeight="1" x14ac:dyDescent="0.25">
      <c r="A193" s="693">
        <v>67</v>
      </c>
      <c r="B193" s="783" t="s">
        <v>654</v>
      </c>
      <c r="C193" s="690">
        <v>4</v>
      </c>
      <c r="D193" s="690">
        <v>10</v>
      </c>
      <c r="E193" s="690">
        <v>4</v>
      </c>
      <c r="F193" s="690">
        <v>9</v>
      </c>
      <c r="G193" s="690">
        <v>7</v>
      </c>
      <c r="H193" s="690">
        <v>10</v>
      </c>
      <c r="I193" s="690">
        <v>14</v>
      </c>
      <c r="J193" s="690">
        <v>2</v>
      </c>
      <c r="K193" s="690">
        <v>7</v>
      </c>
      <c r="L193" s="690">
        <v>3</v>
      </c>
      <c r="M193" s="690">
        <v>5</v>
      </c>
      <c r="N193" s="690">
        <v>6</v>
      </c>
      <c r="O193" s="690">
        <v>7</v>
      </c>
      <c r="P193" s="690">
        <v>6</v>
      </c>
      <c r="Q193" s="690">
        <v>5</v>
      </c>
      <c r="R193" s="690">
        <v>14</v>
      </c>
      <c r="S193" s="690">
        <v>6</v>
      </c>
      <c r="T193" s="690">
        <v>6</v>
      </c>
      <c r="U193" s="690">
        <v>5</v>
      </c>
      <c r="V193" s="690">
        <v>8</v>
      </c>
      <c r="W193" s="690">
        <v>5</v>
      </c>
      <c r="X193" s="690">
        <v>8</v>
      </c>
      <c r="Y193" s="690">
        <v>5</v>
      </c>
      <c r="Z193" s="690">
        <v>5</v>
      </c>
    </row>
    <row r="194" spans="1:26" ht="15" customHeight="1" x14ac:dyDescent="0.25">
      <c r="A194" s="693">
        <v>68</v>
      </c>
      <c r="B194" s="783" t="s">
        <v>655</v>
      </c>
      <c r="C194" s="690" t="s">
        <v>169</v>
      </c>
      <c r="D194" s="690" t="s">
        <v>169</v>
      </c>
      <c r="E194" s="690" t="s">
        <v>169</v>
      </c>
      <c r="F194" s="690" t="s">
        <v>169</v>
      </c>
      <c r="G194" s="690" t="s">
        <v>169</v>
      </c>
      <c r="H194" s="690" t="s">
        <v>169</v>
      </c>
      <c r="I194" s="690" t="s">
        <v>169</v>
      </c>
      <c r="J194" s="690" t="s">
        <v>169</v>
      </c>
      <c r="K194" s="690" t="s">
        <v>169</v>
      </c>
      <c r="L194" s="690" t="s">
        <v>169</v>
      </c>
      <c r="M194" s="690" t="s">
        <v>169</v>
      </c>
      <c r="N194" s="690" t="s">
        <v>169</v>
      </c>
      <c r="O194" s="690" t="s">
        <v>169</v>
      </c>
      <c r="P194" s="690" t="s">
        <v>169</v>
      </c>
      <c r="Q194" s="690" t="s">
        <v>169</v>
      </c>
      <c r="R194" s="690" t="s">
        <v>169</v>
      </c>
      <c r="S194" s="690" t="s">
        <v>169</v>
      </c>
      <c r="T194" s="690" t="s">
        <v>169</v>
      </c>
      <c r="U194" s="690" t="s">
        <v>169</v>
      </c>
      <c r="V194" s="690" t="s">
        <v>169</v>
      </c>
      <c r="W194" s="690" t="s">
        <v>169</v>
      </c>
      <c r="X194" s="690" t="s">
        <v>169</v>
      </c>
      <c r="Y194" s="690" t="s">
        <v>169</v>
      </c>
      <c r="Z194" s="690" t="s">
        <v>169</v>
      </c>
    </row>
    <row r="195" spans="1:26" ht="15" customHeight="1" x14ac:dyDescent="0.25">
      <c r="A195" s="693">
        <v>69</v>
      </c>
      <c r="B195" s="783" t="s">
        <v>656</v>
      </c>
      <c r="C195" s="690">
        <v>294</v>
      </c>
      <c r="D195" s="690">
        <v>323</v>
      </c>
      <c r="E195" s="690">
        <v>304</v>
      </c>
      <c r="F195" s="690">
        <v>309</v>
      </c>
      <c r="G195" s="690">
        <v>289</v>
      </c>
      <c r="H195" s="690">
        <v>279</v>
      </c>
      <c r="I195" s="690">
        <v>331</v>
      </c>
      <c r="J195" s="690">
        <v>278</v>
      </c>
      <c r="K195" s="690">
        <v>331</v>
      </c>
      <c r="L195" s="690">
        <v>265</v>
      </c>
      <c r="M195" s="690">
        <v>269</v>
      </c>
      <c r="N195" s="690">
        <v>278</v>
      </c>
      <c r="O195" s="690">
        <v>313</v>
      </c>
      <c r="P195" s="690">
        <v>248</v>
      </c>
      <c r="Q195" s="690">
        <v>233</v>
      </c>
      <c r="R195" s="690">
        <v>268</v>
      </c>
      <c r="S195" s="690">
        <v>266</v>
      </c>
      <c r="T195" s="690">
        <v>225</v>
      </c>
      <c r="U195" s="690">
        <v>234</v>
      </c>
      <c r="V195" s="690">
        <v>216</v>
      </c>
      <c r="W195" s="690">
        <v>245</v>
      </c>
      <c r="X195" s="690">
        <v>269</v>
      </c>
      <c r="Y195" s="690">
        <v>251</v>
      </c>
      <c r="Z195" s="690">
        <v>206</v>
      </c>
    </row>
    <row r="196" spans="1:26" ht="15" customHeight="1" x14ac:dyDescent="0.25">
      <c r="A196" s="693">
        <v>75</v>
      </c>
      <c r="B196" s="783" t="s">
        <v>657</v>
      </c>
      <c r="C196" s="690" t="s">
        <v>169</v>
      </c>
      <c r="D196" s="690" t="s">
        <v>169</v>
      </c>
      <c r="E196" s="690" t="s">
        <v>169</v>
      </c>
      <c r="F196" s="690" t="s">
        <v>169</v>
      </c>
      <c r="G196" s="690" t="s">
        <v>169</v>
      </c>
      <c r="H196" s="690" t="s">
        <v>169</v>
      </c>
      <c r="I196" s="690" t="s">
        <v>169</v>
      </c>
      <c r="J196" s="690" t="s">
        <v>169</v>
      </c>
      <c r="K196" s="690" t="s">
        <v>169</v>
      </c>
      <c r="L196" s="690" t="s">
        <v>169</v>
      </c>
      <c r="M196" s="690" t="s">
        <v>169</v>
      </c>
      <c r="N196" s="690" t="s">
        <v>169</v>
      </c>
      <c r="O196" s="690" t="s">
        <v>169</v>
      </c>
      <c r="P196" s="690" t="s">
        <v>169</v>
      </c>
      <c r="Q196" s="690" t="s">
        <v>169</v>
      </c>
      <c r="R196" s="690" t="s">
        <v>169</v>
      </c>
      <c r="S196" s="690" t="s">
        <v>169</v>
      </c>
      <c r="T196" s="690" t="s">
        <v>169</v>
      </c>
      <c r="U196" s="690" t="s">
        <v>169</v>
      </c>
      <c r="V196" s="690" t="s">
        <v>169</v>
      </c>
      <c r="W196" s="690" t="s">
        <v>169</v>
      </c>
      <c r="X196" s="690" t="s">
        <v>169</v>
      </c>
      <c r="Y196" s="690" t="s">
        <v>169</v>
      </c>
      <c r="Z196" s="690" t="s">
        <v>169</v>
      </c>
    </row>
    <row r="197" spans="1:26" ht="15" customHeight="1" x14ac:dyDescent="0.25">
      <c r="A197" s="693">
        <v>76</v>
      </c>
      <c r="B197" s="783" t="s">
        <v>658</v>
      </c>
      <c r="C197" s="690">
        <v>6</v>
      </c>
      <c r="D197" s="690">
        <v>3</v>
      </c>
      <c r="E197" s="690">
        <v>1</v>
      </c>
      <c r="F197" s="690">
        <v>10</v>
      </c>
      <c r="G197" s="690">
        <v>2</v>
      </c>
      <c r="H197" s="690">
        <v>2</v>
      </c>
      <c r="I197" s="690">
        <v>2</v>
      </c>
      <c r="J197" s="690">
        <v>4</v>
      </c>
      <c r="K197" s="690">
        <v>7</v>
      </c>
      <c r="L197" s="690">
        <v>3</v>
      </c>
      <c r="M197" s="690">
        <v>8</v>
      </c>
      <c r="N197" s="690">
        <v>8</v>
      </c>
      <c r="O197" s="690">
        <v>5</v>
      </c>
      <c r="P197" s="690">
        <v>12</v>
      </c>
      <c r="Q197" s="690">
        <v>6</v>
      </c>
      <c r="R197" s="690">
        <v>5</v>
      </c>
      <c r="S197" s="690">
        <v>7</v>
      </c>
      <c r="T197" s="690">
        <v>11</v>
      </c>
      <c r="U197" s="690">
        <v>8</v>
      </c>
      <c r="V197" s="690">
        <v>4</v>
      </c>
      <c r="W197" s="690">
        <v>14</v>
      </c>
      <c r="X197" s="690">
        <v>9</v>
      </c>
      <c r="Y197" s="690">
        <v>5</v>
      </c>
      <c r="Z197" s="690">
        <v>5</v>
      </c>
    </row>
    <row r="198" spans="1:26" ht="15" customHeight="1" x14ac:dyDescent="0.25">
      <c r="A198" s="693">
        <v>78</v>
      </c>
      <c r="B198" s="783" t="s">
        <v>659</v>
      </c>
      <c r="C198" s="690" t="s">
        <v>169</v>
      </c>
      <c r="D198" s="690" t="s">
        <v>169</v>
      </c>
      <c r="E198" s="690" t="s">
        <v>169</v>
      </c>
      <c r="F198" s="690" t="s">
        <v>169</v>
      </c>
      <c r="G198" s="690" t="s">
        <v>169</v>
      </c>
      <c r="H198" s="690" t="s">
        <v>169</v>
      </c>
      <c r="I198" s="690" t="s">
        <v>169</v>
      </c>
      <c r="J198" s="690" t="s">
        <v>169</v>
      </c>
      <c r="K198" s="690" t="s">
        <v>169</v>
      </c>
      <c r="L198" s="690" t="s">
        <v>169</v>
      </c>
      <c r="M198" s="690" t="s">
        <v>169</v>
      </c>
      <c r="N198" s="690" t="s">
        <v>169</v>
      </c>
      <c r="O198" s="690" t="s">
        <v>169</v>
      </c>
      <c r="P198" s="690" t="s">
        <v>169</v>
      </c>
      <c r="Q198" s="690" t="s">
        <v>169</v>
      </c>
      <c r="R198" s="690" t="s">
        <v>169</v>
      </c>
      <c r="S198" s="690" t="s">
        <v>169</v>
      </c>
      <c r="T198" s="690" t="s">
        <v>169</v>
      </c>
      <c r="U198" s="690" t="s">
        <v>169</v>
      </c>
      <c r="V198" s="690" t="s">
        <v>169</v>
      </c>
      <c r="W198" s="690" t="s">
        <v>169</v>
      </c>
      <c r="X198" s="690" t="s">
        <v>169</v>
      </c>
      <c r="Y198" s="690" t="s">
        <v>169</v>
      </c>
      <c r="Z198" s="690" t="s">
        <v>169</v>
      </c>
    </row>
    <row r="199" spans="1:26" ht="19.5" customHeight="1" x14ac:dyDescent="0.25">
      <c r="A199" s="693">
        <v>79</v>
      </c>
      <c r="B199" s="783" t="s">
        <v>660</v>
      </c>
      <c r="C199" s="690">
        <v>509</v>
      </c>
      <c r="D199" s="690">
        <v>483</v>
      </c>
      <c r="E199" s="690">
        <v>520</v>
      </c>
      <c r="F199" s="690">
        <v>489</v>
      </c>
      <c r="G199" s="690">
        <v>473</v>
      </c>
      <c r="H199" s="690">
        <v>449</v>
      </c>
      <c r="I199" s="690">
        <v>497</v>
      </c>
      <c r="J199" s="690">
        <v>515</v>
      </c>
      <c r="K199" s="690">
        <v>513</v>
      </c>
      <c r="L199" s="690">
        <v>563</v>
      </c>
      <c r="M199" s="690">
        <v>534</v>
      </c>
      <c r="N199" s="690">
        <v>493</v>
      </c>
      <c r="O199" s="690">
        <v>480</v>
      </c>
      <c r="P199" s="690">
        <v>452</v>
      </c>
      <c r="Q199" s="690">
        <v>481</v>
      </c>
      <c r="R199" s="690">
        <v>547</v>
      </c>
      <c r="S199" s="690">
        <v>513</v>
      </c>
      <c r="T199" s="690">
        <v>453</v>
      </c>
      <c r="U199" s="690">
        <v>517</v>
      </c>
      <c r="V199" s="690">
        <v>465</v>
      </c>
      <c r="W199" s="690">
        <v>516</v>
      </c>
      <c r="X199" s="690">
        <v>524</v>
      </c>
      <c r="Y199" s="690">
        <v>486</v>
      </c>
      <c r="Z199" s="690">
        <v>495</v>
      </c>
    </row>
    <row r="200" spans="1:26" ht="18.75" customHeight="1" x14ac:dyDescent="0.25">
      <c r="A200" s="693">
        <v>80</v>
      </c>
      <c r="B200" s="783" t="s">
        <v>661</v>
      </c>
      <c r="C200" s="690">
        <v>73</v>
      </c>
      <c r="D200" s="690">
        <v>86</v>
      </c>
      <c r="E200" s="690">
        <v>89</v>
      </c>
      <c r="F200" s="690">
        <v>84</v>
      </c>
      <c r="G200" s="690">
        <v>67</v>
      </c>
      <c r="H200" s="690">
        <v>75</v>
      </c>
      <c r="I200" s="690">
        <v>51</v>
      </c>
      <c r="J200" s="690">
        <v>51</v>
      </c>
      <c r="K200" s="690">
        <v>72</v>
      </c>
      <c r="L200" s="690">
        <v>64</v>
      </c>
      <c r="M200" s="690">
        <v>84</v>
      </c>
      <c r="N200" s="690">
        <v>75</v>
      </c>
      <c r="O200" s="690">
        <v>75</v>
      </c>
      <c r="P200" s="690">
        <v>79</v>
      </c>
      <c r="Q200" s="690">
        <v>62</v>
      </c>
      <c r="R200" s="690">
        <v>89</v>
      </c>
      <c r="S200" s="690">
        <v>68</v>
      </c>
      <c r="T200" s="690">
        <v>75</v>
      </c>
      <c r="U200" s="690">
        <v>87</v>
      </c>
      <c r="V200" s="690">
        <v>90</v>
      </c>
      <c r="W200" s="690">
        <v>79</v>
      </c>
      <c r="X200" s="690">
        <v>85</v>
      </c>
      <c r="Y200" s="690">
        <v>66</v>
      </c>
      <c r="Z200" s="690">
        <v>89</v>
      </c>
    </row>
    <row r="201" spans="1:26" ht="16.5" customHeight="1" x14ac:dyDescent="0.25">
      <c r="A201" s="693">
        <v>82</v>
      </c>
      <c r="B201" s="783" t="s">
        <v>662</v>
      </c>
      <c r="C201" s="690" t="s">
        <v>169</v>
      </c>
      <c r="D201" s="690" t="s">
        <v>169</v>
      </c>
      <c r="E201" s="690" t="s">
        <v>169</v>
      </c>
      <c r="F201" s="690" t="s">
        <v>169</v>
      </c>
      <c r="G201" s="690" t="s">
        <v>169</v>
      </c>
      <c r="H201" s="690" t="s">
        <v>169</v>
      </c>
      <c r="I201" s="690" t="s">
        <v>169</v>
      </c>
      <c r="J201" s="690" t="s">
        <v>169</v>
      </c>
      <c r="K201" s="690" t="s">
        <v>169</v>
      </c>
      <c r="L201" s="690" t="s">
        <v>169</v>
      </c>
      <c r="M201" s="690" t="s">
        <v>169</v>
      </c>
      <c r="N201" s="690" t="s">
        <v>169</v>
      </c>
      <c r="O201" s="690" t="s">
        <v>169</v>
      </c>
      <c r="P201" s="690" t="s">
        <v>169</v>
      </c>
      <c r="Q201" s="690" t="s">
        <v>169</v>
      </c>
      <c r="R201" s="690" t="s">
        <v>169</v>
      </c>
      <c r="S201" s="690" t="s">
        <v>169</v>
      </c>
      <c r="T201" s="690" t="s">
        <v>169</v>
      </c>
      <c r="U201" s="690" t="s">
        <v>169</v>
      </c>
      <c r="V201" s="690" t="s">
        <v>169</v>
      </c>
      <c r="W201" s="690" t="s">
        <v>169</v>
      </c>
      <c r="X201" s="690" t="s">
        <v>169</v>
      </c>
      <c r="Y201" s="690" t="s">
        <v>169</v>
      </c>
      <c r="Z201" s="690" t="s">
        <v>169</v>
      </c>
    </row>
    <row r="202" spans="1:26" ht="17.25" customHeight="1" x14ac:dyDescent="0.25">
      <c r="A202" s="693">
        <v>83</v>
      </c>
      <c r="B202" s="783" t="s">
        <v>663</v>
      </c>
      <c r="C202" s="690">
        <v>22</v>
      </c>
      <c r="D202" s="690">
        <v>9</v>
      </c>
      <c r="E202" s="690">
        <v>15</v>
      </c>
      <c r="F202" s="690">
        <v>16</v>
      </c>
      <c r="G202" s="690">
        <v>15</v>
      </c>
      <c r="H202" s="690">
        <v>25</v>
      </c>
      <c r="I202" s="690">
        <v>21</v>
      </c>
      <c r="J202" s="690">
        <v>8</v>
      </c>
      <c r="K202" s="690">
        <v>10</v>
      </c>
      <c r="L202" s="690">
        <v>18</v>
      </c>
      <c r="M202" s="690">
        <v>8</v>
      </c>
      <c r="N202" s="690">
        <v>21</v>
      </c>
      <c r="O202" s="690">
        <v>24</v>
      </c>
      <c r="P202" s="690">
        <v>16</v>
      </c>
      <c r="Q202" s="690">
        <v>21</v>
      </c>
      <c r="R202" s="690">
        <v>29</v>
      </c>
      <c r="S202" s="690">
        <v>22</v>
      </c>
      <c r="T202" s="690">
        <v>23</v>
      </c>
      <c r="U202" s="690">
        <v>23</v>
      </c>
      <c r="V202" s="690">
        <v>16</v>
      </c>
      <c r="W202" s="690">
        <v>23</v>
      </c>
      <c r="X202" s="690">
        <v>19</v>
      </c>
      <c r="Y202" s="690">
        <v>15</v>
      </c>
      <c r="Z202" s="690">
        <v>21</v>
      </c>
    </row>
    <row r="203" spans="1:26" ht="20.25" customHeight="1" x14ac:dyDescent="0.25">
      <c r="A203" s="693">
        <v>84</v>
      </c>
      <c r="B203" s="783" t="s">
        <v>664</v>
      </c>
      <c r="C203" s="690" t="s">
        <v>169</v>
      </c>
      <c r="D203" s="690" t="s">
        <v>169</v>
      </c>
      <c r="E203" s="690" t="s">
        <v>169</v>
      </c>
      <c r="F203" s="690" t="s">
        <v>169</v>
      </c>
      <c r="G203" s="690" t="s">
        <v>169</v>
      </c>
      <c r="H203" s="690" t="s">
        <v>169</v>
      </c>
      <c r="I203" s="690" t="s">
        <v>169</v>
      </c>
      <c r="J203" s="690" t="s">
        <v>169</v>
      </c>
      <c r="K203" s="690" t="s">
        <v>169</v>
      </c>
      <c r="L203" s="690" t="s">
        <v>169</v>
      </c>
      <c r="M203" s="690" t="s">
        <v>169</v>
      </c>
      <c r="N203" s="690" t="s">
        <v>169</v>
      </c>
      <c r="O203" s="690" t="s">
        <v>169</v>
      </c>
      <c r="P203" s="690" t="s">
        <v>169</v>
      </c>
      <c r="Q203" s="690" t="s">
        <v>169</v>
      </c>
      <c r="R203" s="690" t="s">
        <v>169</v>
      </c>
      <c r="S203" s="690" t="s">
        <v>169</v>
      </c>
      <c r="T203" s="690" t="s">
        <v>169</v>
      </c>
      <c r="U203" s="690" t="s">
        <v>169</v>
      </c>
      <c r="V203" s="690" t="s">
        <v>169</v>
      </c>
      <c r="W203" s="690" t="s">
        <v>169</v>
      </c>
      <c r="X203" s="690" t="s">
        <v>169</v>
      </c>
      <c r="Y203" s="690" t="s">
        <v>169</v>
      </c>
      <c r="Z203" s="690" t="s">
        <v>169</v>
      </c>
    </row>
    <row r="204" spans="1:26" ht="18.75" customHeight="1" x14ac:dyDescent="0.25">
      <c r="A204" s="693">
        <v>85</v>
      </c>
      <c r="B204" s="783" t="s">
        <v>665</v>
      </c>
      <c r="C204" s="690" t="s">
        <v>169</v>
      </c>
      <c r="D204" s="690" t="s">
        <v>169</v>
      </c>
      <c r="E204" s="690" t="s">
        <v>169</v>
      </c>
      <c r="F204" s="690" t="s">
        <v>169</v>
      </c>
      <c r="G204" s="690" t="s">
        <v>169</v>
      </c>
      <c r="H204" s="690" t="s">
        <v>169</v>
      </c>
      <c r="I204" s="690" t="s">
        <v>169</v>
      </c>
      <c r="J204" s="690" t="s">
        <v>169</v>
      </c>
      <c r="K204" s="690" t="s">
        <v>169</v>
      </c>
      <c r="L204" s="690" t="s">
        <v>169</v>
      </c>
      <c r="M204" s="690" t="s">
        <v>169</v>
      </c>
      <c r="N204" s="690" t="s">
        <v>169</v>
      </c>
      <c r="O204" s="690" t="s">
        <v>169</v>
      </c>
      <c r="P204" s="690" t="s">
        <v>169</v>
      </c>
      <c r="Q204" s="690" t="s">
        <v>169</v>
      </c>
      <c r="R204" s="690" t="s">
        <v>169</v>
      </c>
      <c r="S204" s="690" t="s">
        <v>169</v>
      </c>
      <c r="T204" s="690" t="s">
        <v>169</v>
      </c>
      <c r="U204" s="690" t="s">
        <v>169</v>
      </c>
      <c r="V204" s="690" t="s">
        <v>169</v>
      </c>
      <c r="W204" s="690" t="s">
        <v>169</v>
      </c>
      <c r="X204" s="690" t="s">
        <v>169</v>
      </c>
      <c r="Y204" s="690" t="s">
        <v>169</v>
      </c>
      <c r="Z204" s="690" t="s">
        <v>169</v>
      </c>
    </row>
    <row r="205" spans="1:26" ht="16.5" customHeight="1" x14ac:dyDescent="0.25">
      <c r="A205" s="693">
        <v>86</v>
      </c>
      <c r="B205" s="783" t="s">
        <v>666</v>
      </c>
      <c r="C205" s="690">
        <v>3322</v>
      </c>
      <c r="D205" s="690">
        <v>2573</v>
      </c>
      <c r="E205" s="690">
        <v>3271</v>
      </c>
      <c r="F205" s="690">
        <v>3330</v>
      </c>
      <c r="G205" s="690">
        <v>3535</v>
      </c>
      <c r="H205" s="690">
        <v>2673</v>
      </c>
      <c r="I205" s="690">
        <v>3499</v>
      </c>
      <c r="J205" s="690">
        <v>3365</v>
      </c>
      <c r="K205" s="690">
        <v>3621</v>
      </c>
      <c r="L205" s="690">
        <v>3385</v>
      </c>
      <c r="M205" s="690">
        <v>3528</v>
      </c>
      <c r="N205" s="690">
        <v>3340</v>
      </c>
      <c r="O205" s="690">
        <v>3362</v>
      </c>
      <c r="P205" s="690">
        <v>2657</v>
      </c>
      <c r="Q205" s="690">
        <v>3489</v>
      </c>
      <c r="R205" s="690">
        <v>3666</v>
      </c>
      <c r="S205" s="690">
        <v>3751</v>
      </c>
      <c r="T205" s="690">
        <v>3135</v>
      </c>
      <c r="U205" s="690">
        <v>4018</v>
      </c>
      <c r="V205" s="690">
        <v>3494</v>
      </c>
      <c r="W205" s="690">
        <v>4192</v>
      </c>
      <c r="X205" s="690">
        <v>3496</v>
      </c>
      <c r="Y205" s="690">
        <v>3642</v>
      </c>
      <c r="Z205" s="690">
        <v>3838</v>
      </c>
    </row>
    <row r="206" spans="1:26" ht="16.5" customHeight="1" x14ac:dyDescent="0.25">
      <c r="A206" s="693">
        <v>87</v>
      </c>
      <c r="B206" s="783" t="s">
        <v>667</v>
      </c>
      <c r="C206" s="690" t="s">
        <v>169</v>
      </c>
      <c r="D206" s="690" t="s">
        <v>169</v>
      </c>
      <c r="E206" s="690" t="s">
        <v>169</v>
      </c>
      <c r="F206" s="690" t="s">
        <v>169</v>
      </c>
      <c r="G206" s="690" t="s">
        <v>169</v>
      </c>
      <c r="H206" s="690" t="s">
        <v>169</v>
      </c>
      <c r="I206" s="690" t="s">
        <v>169</v>
      </c>
      <c r="J206" s="690" t="s">
        <v>169</v>
      </c>
      <c r="K206" s="690" t="s">
        <v>169</v>
      </c>
      <c r="L206" s="690" t="s">
        <v>169</v>
      </c>
      <c r="M206" s="690" t="s">
        <v>169</v>
      </c>
      <c r="N206" s="690" t="s">
        <v>169</v>
      </c>
      <c r="O206" s="690" t="s">
        <v>169</v>
      </c>
      <c r="P206" s="690" t="s">
        <v>169</v>
      </c>
      <c r="Q206" s="690" t="s">
        <v>169</v>
      </c>
      <c r="R206" s="690" t="s">
        <v>169</v>
      </c>
      <c r="S206" s="690" t="s">
        <v>169</v>
      </c>
      <c r="T206" s="690" t="s">
        <v>169</v>
      </c>
      <c r="U206" s="690" t="s">
        <v>169</v>
      </c>
      <c r="V206" s="690" t="s">
        <v>169</v>
      </c>
      <c r="W206" s="690" t="s">
        <v>169</v>
      </c>
      <c r="X206" s="690" t="s">
        <v>169</v>
      </c>
      <c r="Y206" s="690" t="s">
        <v>169</v>
      </c>
      <c r="Z206" s="690" t="s">
        <v>169</v>
      </c>
    </row>
    <row r="207" spans="1:26" ht="16.5" customHeight="1" x14ac:dyDescent="0.25">
      <c r="A207" s="693">
        <v>89</v>
      </c>
      <c r="B207" s="783" t="s">
        <v>668</v>
      </c>
      <c r="C207" s="690" t="s">
        <v>169</v>
      </c>
      <c r="D207" s="690" t="s">
        <v>169</v>
      </c>
      <c r="E207" s="690" t="s">
        <v>169</v>
      </c>
      <c r="F207" s="690" t="s">
        <v>169</v>
      </c>
      <c r="G207" s="690" t="s">
        <v>169</v>
      </c>
      <c r="H207" s="690" t="s">
        <v>169</v>
      </c>
      <c r="I207" s="690" t="s">
        <v>169</v>
      </c>
      <c r="J207" s="690" t="s">
        <v>169</v>
      </c>
      <c r="K207" s="690" t="s">
        <v>169</v>
      </c>
      <c r="L207" s="690" t="s">
        <v>169</v>
      </c>
      <c r="M207" s="690" t="s">
        <v>169</v>
      </c>
      <c r="N207" s="690" t="s">
        <v>169</v>
      </c>
      <c r="O207" s="690" t="s">
        <v>169</v>
      </c>
      <c r="P207" s="690" t="s">
        <v>169</v>
      </c>
      <c r="Q207" s="690" t="s">
        <v>169</v>
      </c>
      <c r="R207" s="690" t="s">
        <v>169</v>
      </c>
      <c r="S207" s="690" t="s">
        <v>169</v>
      </c>
      <c r="T207" s="690" t="s">
        <v>169</v>
      </c>
      <c r="U207" s="690" t="s">
        <v>169</v>
      </c>
      <c r="V207" s="690" t="s">
        <v>169</v>
      </c>
      <c r="W207" s="690" t="s">
        <v>169</v>
      </c>
      <c r="X207" s="690" t="s">
        <v>169</v>
      </c>
      <c r="Y207" s="690" t="s">
        <v>169</v>
      </c>
      <c r="Z207" s="690" t="s">
        <v>169</v>
      </c>
    </row>
    <row r="208" spans="1:26" ht="16.5" customHeight="1" x14ac:dyDescent="0.25">
      <c r="A208" s="693">
        <v>91</v>
      </c>
      <c r="B208" s="783" t="s">
        <v>669</v>
      </c>
      <c r="C208" s="690" t="s">
        <v>169</v>
      </c>
      <c r="D208" s="690" t="s">
        <v>169</v>
      </c>
      <c r="E208" s="690" t="s">
        <v>169</v>
      </c>
      <c r="F208" s="690" t="s">
        <v>169</v>
      </c>
      <c r="G208" s="690" t="s">
        <v>169</v>
      </c>
      <c r="H208" s="690" t="s">
        <v>169</v>
      </c>
      <c r="I208" s="690" t="s">
        <v>169</v>
      </c>
      <c r="J208" s="690" t="s">
        <v>169</v>
      </c>
      <c r="K208" s="690" t="s">
        <v>169</v>
      </c>
      <c r="L208" s="690" t="s">
        <v>169</v>
      </c>
      <c r="M208" s="690" t="s">
        <v>169</v>
      </c>
      <c r="N208" s="690" t="s">
        <v>169</v>
      </c>
      <c r="O208" s="690" t="s">
        <v>169</v>
      </c>
      <c r="P208" s="690" t="s">
        <v>169</v>
      </c>
      <c r="Q208" s="690" t="s">
        <v>169</v>
      </c>
      <c r="R208" s="690" t="s">
        <v>169</v>
      </c>
      <c r="S208" s="690" t="s">
        <v>169</v>
      </c>
      <c r="T208" s="690" t="s">
        <v>169</v>
      </c>
      <c r="U208" s="690" t="s">
        <v>169</v>
      </c>
      <c r="V208" s="690" t="s">
        <v>169</v>
      </c>
      <c r="W208" s="690" t="s">
        <v>169</v>
      </c>
      <c r="X208" s="690" t="s">
        <v>169</v>
      </c>
      <c r="Y208" s="690" t="s">
        <v>169</v>
      </c>
      <c r="Z208" s="690" t="s">
        <v>169</v>
      </c>
    </row>
    <row r="209" spans="1:26" ht="16.5" customHeight="1" x14ac:dyDescent="0.25">
      <c r="A209" s="693">
        <v>94</v>
      </c>
      <c r="B209" s="783" t="s">
        <v>670</v>
      </c>
      <c r="C209" s="690" t="s">
        <v>169</v>
      </c>
      <c r="D209" s="690" t="s">
        <v>169</v>
      </c>
      <c r="E209" s="690" t="s">
        <v>169</v>
      </c>
      <c r="F209" s="690" t="s">
        <v>169</v>
      </c>
      <c r="G209" s="690" t="s">
        <v>169</v>
      </c>
      <c r="H209" s="690" t="s">
        <v>169</v>
      </c>
      <c r="I209" s="690" t="s">
        <v>169</v>
      </c>
      <c r="J209" s="690" t="s">
        <v>169</v>
      </c>
      <c r="K209" s="690" t="s">
        <v>169</v>
      </c>
      <c r="L209" s="690" t="s">
        <v>169</v>
      </c>
      <c r="M209" s="690" t="s">
        <v>169</v>
      </c>
      <c r="N209" s="690" t="s">
        <v>169</v>
      </c>
      <c r="O209" s="690" t="s">
        <v>169</v>
      </c>
      <c r="P209" s="690" t="s">
        <v>169</v>
      </c>
      <c r="Q209" s="690" t="s">
        <v>169</v>
      </c>
      <c r="R209" s="690" t="s">
        <v>169</v>
      </c>
      <c r="S209" s="690" t="s">
        <v>169</v>
      </c>
      <c r="T209" s="690" t="s">
        <v>169</v>
      </c>
      <c r="U209" s="690" t="s">
        <v>169</v>
      </c>
      <c r="V209" s="690" t="s">
        <v>169</v>
      </c>
      <c r="W209" s="690" t="s">
        <v>169</v>
      </c>
      <c r="X209" s="690" t="s">
        <v>169</v>
      </c>
      <c r="Y209" s="690" t="s">
        <v>169</v>
      </c>
      <c r="Z209" s="690" t="s">
        <v>169</v>
      </c>
    </row>
    <row r="210" spans="1:26" ht="16.5" customHeight="1" x14ac:dyDescent="0.25">
      <c r="A210" s="693">
        <v>95</v>
      </c>
      <c r="B210" s="783" t="s">
        <v>671</v>
      </c>
      <c r="C210" s="690">
        <v>28</v>
      </c>
      <c r="D210" s="690">
        <v>15</v>
      </c>
      <c r="E210" s="690">
        <v>25</v>
      </c>
      <c r="F210" s="690">
        <v>32</v>
      </c>
      <c r="G210" s="690">
        <v>23</v>
      </c>
      <c r="H210" s="690">
        <v>27</v>
      </c>
      <c r="I210" s="690">
        <v>15</v>
      </c>
      <c r="J210" s="690">
        <v>20</v>
      </c>
      <c r="K210" s="690">
        <v>18</v>
      </c>
      <c r="L210" s="690">
        <v>23</v>
      </c>
      <c r="M210" s="690">
        <v>37</v>
      </c>
      <c r="N210" s="690">
        <v>35</v>
      </c>
      <c r="O210" s="690">
        <v>28</v>
      </c>
      <c r="P210" s="690">
        <v>32</v>
      </c>
      <c r="Q210" s="690">
        <v>28</v>
      </c>
      <c r="R210" s="690">
        <v>36</v>
      </c>
      <c r="S210" s="690">
        <v>26</v>
      </c>
      <c r="T210" s="690">
        <v>30</v>
      </c>
      <c r="U210" s="690">
        <v>27</v>
      </c>
      <c r="V210" s="690">
        <v>23</v>
      </c>
      <c r="W210" s="690">
        <v>26</v>
      </c>
      <c r="X210" s="690">
        <v>36</v>
      </c>
      <c r="Y210" s="690">
        <v>28</v>
      </c>
      <c r="Z210" s="690">
        <v>35</v>
      </c>
    </row>
    <row r="211" spans="1:26" ht="16.5" customHeight="1" x14ac:dyDescent="0.25">
      <c r="A211" s="693">
        <v>96</v>
      </c>
      <c r="B211" s="783" t="s">
        <v>672</v>
      </c>
      <c r="C211" s="690">
        <v>16</v>
      </c>
      <c r="D211" s="690">
        <v>15</v>
      </c>
      <c r="E211" s="690">
        <v>10</v>
      </c>
      <c r="F211" s="690">
        <v>8</v>
      </c>
      <c r="G211" s="690">
        <v>9</v>
      </c>
      <c r="H211" s="690">
        <v>10</v>
      </c>
      <c r="I211" s="690">
        <v>4</v>
      </c>
      <c r="J211" s="690">
        <v>4</v>
      </c>
      <c r="K211" s="690">
        <v>1</v>
      </c>
      <c r="L211" s="690">
        <v>14</v>
      </c>
      <c r="M211" s="690">
        <v>18</v>
      </c>
      <c r="N211" s="690">
        <v>28</v>
      </c>
      <c r="O211" s="690">
        <v>20</v>
      </c>
      <c r="P211" s="690">
        <v>21</v>
      </c>
      <c r="Q211" s="690">
        <v>9</v>
      </c>
      <c r="R211" s="690">
        <v>12</v>
      </c>
      <c r="S211" s="690">
        <v>6</v>
      </c>
      <c r="T211" s="690">
        <v>4</v>
      </c>
      <c r="U211" s="690">
        <v>8</v>
      </c>
      <c r="V211" s="690">
        <v>5</v>
      </c>
      <c r="W211" s="690">
        <v>9</v>
      </c>
      <c r="X211" s="690">
        <v>17</v>
      </c>
      <c r="Y211" s="690">
        <v>22</v>
      </c>
      <c r="Z211" s="690">
        <v>15</v>
      </c>
    </row>
    <row r="212" spans="1:26" ht="16.5" customHeight="1" x14ac:dyDescent="0.25">
      <c r="A212" s="693">
        <v>99</v>
      </c>
      <c r="B212" s="783" t="s">
        <v>673</v>
      </c>
      <c r="C212" s="690">
        <v>802</v>
      </c>
      <c r="D212" s="690">
        <v>815</v>
      </c>
      <c r="E212" s="690">
        <v>795</v>
      </c>
      <c r="F212" s="690">
        <v>782</v>
      </c>
      <c r="G212" s="690">
        <v>689</v>
      </c>
      <c r="H212" s="690">
        <v>665</v>
      </c>
      <c r="I212" s="690">
        <v>805</v>
      </c>
      <c r="J212" s="690">
        <v>747</v>
      </c>
      <c r="K212" s="690">
        <v>797</v>
      </c>
      <c r="L212" s="690">
        <v>799</v>
      </c>
      <c r="M212" s="690">
        <v>849</v>
      </c>
      <c r="N212" s="690">
        <v>911</v>
      </c>
      <c r="O212" s="690">
        <v>981</v>
      </c>
      <c r="P212" s="690">
        <v>882</v>
      </c>
      <c r="Q212" s="690">
        <v>918</v>
      </c>
      <c r="R212" s="690">
        <v>967</v>
      </c>
      <c r="S212" s="690">
        <v>880</v>
      </c>
      <c r="T212" s="690">
        <v>836</v>
      </c>
      <c r="U212" s="690">
        <v>835</v>
      </c>
      <c r="V212" s="690">
        <v>767</v>
      </c>
      <c r="W212" s="690">
        <v>975</v>
      </c>
      <c r="X212" s="690">
        <v>930</v>
      </c>
      <c r="Y212" s="690">
        <v>923</v>
      </c>
      <c r="Z212" s="690">
        <v>959</v>
      </c>
    </row>
    <row r="213" spans="1:26" ht="16.5" customHeight="1" x14ac:dyDescent="0.25">
      <c r="A213" s="693">
        <v>802</v>
      </c>
      <c r="B213" s="783" t="s">
        <v>674</v>
      </c>
      <c r="C213" s="690">
        <v>423</v>
      </c>
      <c r="D213" s="690">
        <v>446</v>
      </c>
      <c r="E213" s="690">
        <v>373</v>
      </c>
      <c r="F213" s="690">
        <v>378</v>
      </c>
      <c r="G213" s="690">
        <v>376</v>
      </c>
      <c r="H213" s="690">
        <v>375</v>
      </c>
      <c r="I213" s="690">
        <v>473</v>
      </c>
      <c r="J213" s="690">
        <v>446</v>
      </c>
      <c r="K213" s="690">
        <v>413</v>
      </c>
      <c r="L213" s="690">
        <v>404</v>
      </c>
      <c r="M213" s="690">
        <v>393</v>
      </c>
      <c r="N213" s="690">
        <v>498</v>
      </c>
      <c r="O213" s="690">
        <v>440</v>
      </c>
      <c r="P213" s="690">
        <v>452</v>
      </c>
      <c r="Q213" s="690">
        <v>457</v>
      </c>
      <c r="R213" s="690">
        <v>456</v>
      </c>
      <c r="S213" s="690">
        <v>457</v>
      </c>
      <c r="T213" s="690">
        <v>524</v>
      </c>
      <c r="U213" s="690">
        <v>482</v>
      </c>
      <c r="V213" s="690">
        <v>513</v>
      </c>
      <c r="W213" s="690">
        <v>541</v>
      </c>
      <c r="X213" s="690">
        <v>556</v>
      </c>
      <c r="Y213" s="690">
        <v>532</v>
      </c>
      <c r="Z213" s="690">
        <v>573</v>
      </c>
    </row>
    <row r="214" spans="1:26" ht="16.5" customHeight="1" x14ac:dyDescent="0.25">
      <c r="A214" s="693">
        <v>814</v>
      </c>
      <c r="B214" s="783" t="s">
        <v>675</v>
      </c>
      <c r="C214" s="690">
        <v>35</v>
      </c>
      <c r="D214" s="690">
        <v>40</v>
      </c>
      <c r="E214" s="690">
        <v>69</v>
      </c>
      <c r="F214" s="690">
        <v>89</v>
      </c>
      <c r="G214" s="690">
        <v>94</v>
      </c>
      <c r="H214" s="690">
        <v>39</v>
      </c>
      <c r="I214" s="690">
        <v>73</v>
      </c>
      <c r="J214" s="690">
        <v>101</v>
      </c>
      <c r="K214" s="690">
        <v>59</v>
      </c>
      <c r="L214" s="690">
        <v>131</v>
      </c>
      <c r="M214" s="690">
        <v>66</v>
      </c>
      <c r="N214" s="690">
        <v>87</v>
      </c>
      <c r="O214" s="690">
        <v>83</v>
      </c>
      <c r="P214" s="690">
        <v>98</v>
      </c>
      <c r="Q214" s="690">
        <v>92</v>
      </c>
      <c r="R214" s="690">
        <v>116</v>
      </c>
      <c r="S214" s="690">
        <v>120</v>
      </c>
      <c r="T214" s="690">
        <v>62</v>
      </c>
      <c r="U214" s="690">
        <v>86</v>
      </c>
      <c r="V214" s="690">
        <v>82</v>
      </c>
      <c r="W214" s="690">
        <v>94</v>
      </c>
      <c r="X214" s="690">
        <v>119</v>
      </c>
      <c r="Y214" s="690">
        <v>101</v>
      </c>
      <c r="Z214" s="690">
        <v>74</v>
      </c>
    </row>
    <row r="215" spans="1:26" ht="26.25" customHeight="1" x14ac:dyDescent="0.25">
      <c r="A215" s="236"/>
      <c r="B215" s="778" t="s">
        <v>676</v>
      </c>
      <c r="C215" s="254">
        <v>9730</v>
      </c>
      <c r="D215" s="254">
        <v>9025</v>
      </c>
      <c r="E215" s="254">
        <v>9610</v>
      </c>
      <c r="F215" s="254">
        <v>9636</v>
      </c>
      <c r="G215" s="254">
        <v>9297</v>
      </c>
      <c r="H215" s="254">
        <v>8231</v>
      </c>
      <c r="I215" s="254">
        <v>9483</v>
      </c>
      <c r="J215" s="254">
        <v>9314</v>
      </c>
      <c r="K215" s="254">
        <v>9882</v>
      </c>
      <c r="L215" s="254">
        <v>9778</v>
      </c>
      <c r="M215" s="254">
        <v>10328</v>
      </c>
      <c r="N215" s="254">
        <v>10166</v>
      </c>
      <c r="O215" s="254">
        <v>10613</v>
      </c>
      <c r="P215" s="254">
        <v>9758</v>
      </c>
      <c r="Q215" s="254">
        <v>10152</v>
      </c>
      <c r="R215" s="254">
        <v>10708</v>
      </c>
      <c r="S215" s="254">
        <v>10534</v>
      </c>
      <c r="T215" s="254">
        <v>9490</v>
      </c>
      <c r="U215" s="254">
        <v>10699</v>
      </c>
      <c r="V215" s="254">
        <v>9922</v>
      </c>
      <c r="W215" s="254">
        <v>11456</v>
      </c>
      <c r="X215" s="254">
        <v>10745</v>
      </c>
      <c r="Y215" s="254">
        <v>10952</v>
      </c>
      <c r="Z215" s="254">
        <v>11232</v>
      </c>
    </row>
    <row r="216" spans="1:26" ht="45.75" customHeight="1" thickBot="1" x14ac:dyDescent="0.3">
      <c r="A216" s="257"/>
      <c r="B216" s="781" t="s">
        <v>677</v>
      </c>
      <c r="C216" s="258">
        <v>471439</v>
      </c>
      <c r="D216" s="258">
        <v>456836</v>
      </c>
      <c r="E216" s="258">
        <v>455805</v>
      </c>
      <c r="F216" s="258">
        <v>465664</v>
      </c>
      <c r="G216" s="258">
        <v>438793</v>
      </c>
      <c r="H216" s="258">
        <v>422128</v>
      </c>
      <c r="I216" s="258">
        <v>428455</v>
      </c>
      <c r="J216" s="258">
        <v>410486</v>
      </c>
      <c r="K216" s="258">
        <v>445489</v>
      </c>
      <c r="L216" s="258">
        <v>441287</v>
      </c>
      <c r="M216" s="258">
        <v>470995</v>
      </c>
      <c r="N216" s="258">
        <v>458140</v>
      </c>
      <c r="O216" s="258">
        <v>475365</v>
      </c>
      <c r="P216" s="258">
        <v>460570</v>
      </c>
      <c r="Q216" s="258">
        <v>439195</v>
      </c>
      <c r="R216" s="258">
        <v>457878</v>
      </c>
      <c r="S216" s="258">
        <v>438075</v>
      </c>
      <c r="T216" s="258">
        <v>416489</v>
      </c>
      <c r="U216" s="258">
        <v>412453</v>
      </c>
      <c r="V216" s="258">
        <v>389095</v>
      </c>
      <c r="W216" s="258">
        <v>447569</v>
      </c>
      <c r="X216" s="258">
        <v>433632</v>
      </c>
      <c r="Y216" s="258">
        <v>458816</v>
      </c>
      <c r="Z216" s="258">
        <v>458175</v>
      </c>
    </row>
    <row r="217" spans="1:26" ht="21.75" customHeight="1" x14ac:dyDescent="0.25">
      <c r="A217" s="702">
        <v>51</v>
      </c>
      <c r="B217" s="786" t="s">
        <v>678</v>
      </c>
      <c r="C217" s="695" t="s">
        <v>169</v>
      </c>
      <c r="D217" s="695" t="s">
        <v>169</v>
      </c>
      <c r="E217" s="695" t="s">
        <v>169</v>
      </c>
      <c r="F217" s="695" t="s">
        <v>169</v>
      </c>
      <c r="G217" s="695" t="s">
        <v>169</v>
      </c>
      <c r="H217" s="695" t="s">
        <v>169</v>
      </c>
      <c r="I217" s="695" t="s">
        <v>169</v>
      </c>
      <c r="J217" s="695" t="s">
        <v>169</v>
      </c>
      <c r="K217" s="695" t="s">
        <v>169</v>
      </c>
      <c r="L217" s="695" t="s">
        <v>169</v>
      </c>
      <c r="M217" s="695" t="s">
        <v>169</v>
      </c>
      <c r="N217" s="695" t="s">
        <v>169</v>
      </c>
      <c r="O217" s="695" t="s">
        <v>169</v>
      </c>
      <c r="P217" s="695" t="s">
        <v>169</v>
      </c>
      <c r="Q217" s="695" t="s">
        <v>169</v>
      </c>
      <c r="R217" s="695" t="s">
        <v>169</v>
      </c>
      <c r="S217" s="695" t="s">
        <v>169</v>
      </c>
      <c r="T217" s="695" t="s">
        <v>169</v>
      </c>
      <c r="U217" s="695" t="s">
        <v>169</v>
      </c>
      <c r="V217" s="695" t="s">
        <v>169</v>
      </c>
      <c r="W217" s="695" t="s">
        <v>169</v>
      </c>
      <c r="X217" s="695" t="s">
        <v>169</v>
      </c>
      <c r="Y217" s="695" t="s">
        <v>169</v>
      </c>
      <c r="Z217" s="695" t="s">
        <v>169</v>
      </c>
    </row>
    <row r="218" spans="1:26" ht="16.5" customHeight="1" x14ac:dyDescent="0.25">
      <c r="A218" s="702">
        <v>52</v>
      </c>
      <c r="B218" s="786" t="s">
        <v>679</v>
      </c>
      <c r="C218" s="695" t="s">
        <v>169</v>
      </c>
      <c r="D218" s="695" t="s">
        <v>169</v>
      </c>
      <c r="E218" s="695" t="s">
        <v>169</v>
      </c>
      <c r="F218" s="695" t="s">
        <v>169</v>
      </c>
      <c r="G218" s="695" t="s">
        <v>169</v>
      </c>
      <c r="H218" s="695" t="s">
        <v>169</v>
      </c>
      <c r="I218" s="695" t="s">
        <v>169</v>
      </c>
      <c r="J218" s="695" t="s">
        <v>169</v>
      </c>
      <c r="K218" s="695" t="s">
        <v>169</v>
      </c>
      <c r="L218" s="695" t="s">
        <v>169</v>
      </c>
      <c r="M218" s="695" t="s">
        <v>169</v>
      </c>
      <c r="N218" s="695" t="s">
        <v>169</v>
      </c>
      <c r="O218" s="695" t="s">
        <v>169</v>
      </c>
      <c r="P218" s="695" t="s">
        <v>169</v>
      </c>
      <c r="Q218" s="695" t="s">
        <v>169</v>
      </c>
      <c r="R218" s="695" t="s">
        <v>169</v>
      </c>
      <c r="S218" s="695" t="s">
        <v>169</v>
      </c>
      <c r="T218" s="695" t="s">
        <v>169</v>
      </c>
      <c r="U218" s="695" t="s">
        <v>169</v>
      </c>
      <c r="V218" s="695" t="s">
        <v>169</v>
      </c>
      <c r="W218" s="695" t="s">
        <v>169</v>
      </c>
      <c r="X218" s="695" t="s">
        <v>169</v>
      </c>
      <c r="Y218" s="695" t="s">
        <v>169</v>
      </c>
      <c r="Z218" s="695" t="s">
        <v>169</v>
      </c>
    </row>
    <row r="219" spans="1:26" ht="16.5" customHeight="1" x14ac:dyDescent="0.25">
      <c r="A219" s="702" t="s">
        <v>680</v>
      </c>
      <c r="B219" s="786" t="s">
        <v>681</v>
      </c>
      <c r="C219" s="695" t="s">
        <v>169</v>
      </c>
      <c r="D219" s="695" t="s">
        <v>169</v>
      </c>
      <c r="E219" s="695" t="s">
        <v>169</v>
      </c>
      <c r="F219" s="695" t="s">
        <v>169</v>
      </c>
      <c r="G219" s="695" t="s">
        <v>169</v>
      </c>
      <c r="H219" s="695" t="s">
        <v>169</v>
      </c>
      <c r="I219" s="695" t="s">
        <v>169</v>
      </c>
      <c r="J219" s="695" t="s">
        <v>169</v>
      </c>
      <c r="K219" s="695" t="s">
        <v>169</v>
      </c>
      <c r="L219" s="695" t="s">
        <v>169</v>
      </c>
      <c r="M219" s="695" t="s">
        <v>169</v>
      </c>
      <c r="N219" s="695" t="s">
        <v>169</v>
      </c>
      <c r="O219" s="695" t="s">
        <v>169</v>
      </c>
      <c r="P219" s="695" t="s">
        <v>169</v>
      </c>
      <c r="Q219" s="695" t="s">
        <v>169</v>
      </c>
      <c r="R219" s="695" t="s">
        <v>169</v>
      </c>
      <c r="S219" s="695" t="s">
        <v>169</v>
      </c>
      <c r="T219" s="695" t="s">
        <v>169</v>
      </c>
      <c r="U219" s="695" t="s">
        <v>169</v>
      </c>
      <c r="V219" s="695" t="s">
        <v>169</v>
      </c>
      <c r="W219" s="695" t="s">
        <v>169</v>
      </c>
      <c r="X219" s="695" t="s">
        <v>169</v>
      </c>
      <c r="Y219" s="695" t="s">
        <v>169</v>
      </c>
      <c r="Z219" s="695" t="s">
        <v>169</v>
      </c>
    </row>
    <row r="220" spans="1:26" ht="16.5" customHeight="1" x14ac:dyDescent="0.25">
      <c r="A220" s="702" t="s">
        <v>682</v>
      </c>
      <c r="B220" s="786" t="s">
        <v>683</v>
      </c>
      <c r="C220" s="695" t="s">
        <v>169</v>
      </c>
      <c r="D220" s="695" t="s">
        <v>169</v>
      </c>
      <c r="E220" s="695" t="s">
        <v>169</v>
      </c>
      <c r="F220" s="695" t="s">
        <v>169</v>
      </c>
      <c r="G220" s="695" t="s">
        <v>169</v>
      </c>
      <c r="H220" s="695" t="s">
        <v>169</v>
      </c>
      <c r="I220" s="695" t="s">
        <v>169</v>
      </c>
      <c r="J220" s="695" t="s">
        <v>169</v>
      </c>
      <c r="K220" s="695" t="s">
        <v>169</v>
      </c>
      <c r="L220" s="695" t="s">
        <v>169</v>
      </c>
      <c r="M220" s="695" t="s">
        <v>169</v>
      </c>
      <c r="N220" s="695" t="s">
        <v>169</v>
      </c>
      <c r="O220" s="695" t="s">
        <v>169</v>
      </c>
      <c r="P220" s="695" t="s">
        <v>169</v>
      </c>
      <c r="Q220" s="695" t="s">
        <v>169</v>
      </c>
      <c r="R220" s="695" t="s">
        <v>169</v>
      </c>
      <c r="S220" s="695" t="s">
        <v>169</v>
      </c>
      <c r="T220" s="695" t="s">
        <v>169</v>
      </c>
      <c r="U220" s="695" t="s">
        <v>169</v>
      </c>
      <c r="V220" s="695" t="s">
        <v>169</v>
      </c>
      <c r="W220" s="695" t="s">
        <v>169</v>
      </c>
      <c r="X220" s="695" t="s">
        <v>169</v>
      </c>
      <c r="Y220" s="695" t="s">
        <v>169</v>
      </c>
      <c r="Z220" s="695" t="s">
        <v>169</v>
      </c>
    </row>
    <row r="221" spans="1:26" ht="16.5" customHeight="1" x14ac:dyDescent="0.25">
      <c r="A221" s="702" t="s">
        <v>684</v>
      </c>
      <c r="B221" s="786" t="s">
        <v>685</v>
      </c>
      <c r="C221" s="695" t="s">
        <v>169</v>
      </c>
      <c r="D221" s="695" t="s">
        <v>169</v>
      </c>
      <c r="E221" s="695" t="s">
        <v>169</v>
      </c>
      <c r="F221" s="695" t="s">
        <v>169</v>
      </c>
      <c r="G221" s="695" t="s">
        <v>169</v>
      </c>
      <c r="H221" s="695" t="s">
        <v>169</v>
      </c>
      <c r="I221" s="695" t="s">
        <v>169</v>
      </c>
      <c r="J221" s="695" t="s">
        <v>169</v>
      </c>
      <c r="K221" s="695" t="s">
        <v>169</v>
      </c>
      <c r="L221" s="695" t="s">
        <v>169</v>
      </c>
      <c r="M221" s="695" t="s">
        <v>169</v>
      </c>
      <c r="N221" s="695" t="s">
        <v>169</v>
      </c>
      <c r="O221" s="695" t="s">
        <v>169</v>
      </c>
      <c r="P221" s="695" t="s">
        <v>169</v>
      </c>
      <c r="Q221" s="695" t="s">
        <v>169</v>
      </c>
      <c r="R221" s="695" t="s">
        <v>169</v>
      </c>
      <c r="S221" s="695" t="s">
        <v>169</v>
      </c>
      <c r="T221" s="695" t="s">
        <v>169</v>
      </c>
      <c r="U221" s="695" t="s">
        <v>169</v>
      </c>
      <c r="V221" s="695" t="s">
        <v>169</v>
      </c>
      <c r="W221" s="695" t="s">
        <v>169</v>
      </c>
      <c r="X221" s="695" t="s">
        <v>169</v>
      </c>
      <c r="Y221" s="695" t="s">
        <v>169</v>
      </c>
      <c r="Z221" s="695" t="s">
        <v>169</v>
      </c>
    </row>
    <row r="222" spans="1:26" ht="16.5" customHeight="1" x14ac:dyDescent="0.25">
      <c r="A222" s="702" t="s">
        <v>686</v>
      </c>
      <c r="B222" s="786" t="s">
        <v>687</v>
      </c>
      <c r="C222" s="695" t="s">
        <v>169</v>
      </c>
      <c r="D222" s="695" t="s">
        <v>169</v>
      </c>
      <c r="E222" s="695" t="s">
        <v>169</v>
      </c>
      <c r="F222" s="695" t="s">
        <v>169</v>
      </c>
      <c r="G222" s="695" t="s">
        <v>169</v>
      </c>
      <c r="H222" s="695" t="s">
        <v>169</v>
      </c>
      <c r="I222" s="695" t="s">
        <v>169</v>
      </c>
      <c r="J222" s="695" t="s">
        <v>169</v>
      </c>
      <c r="K222" s="695" t="s">
        <v>169</v>
      </c>
      <c r="L222" s="695" t="s">
        <v>169</v>
      </c>
      <c r="M222" s="695" t="s">
        <v>169</v>
      </c>
      <c r="N222" s="695" t="s">
        <v>169</v>
      </c>
      <c r="O222" s="695" t="s">
        <v>169</v>
      </c>
      <c r="P222" s="695" t="s">
        <v>169</v>
      </c>
      <c r="Q222" s="695" t="s">
        <v>169</v>
      </c>
      <c r="R222" s="695" t="s">
        <v>169</v>
      </c>
      <c r="S222" s="695" t="s">
        <v>169</v>
      </c>
      <c r="T222" s="695" t="s">
        <v>169</v>
      </c>
      <c r="U222" s="695" t="s">
        <v>169</v>
      </c>
      <c r="V222" s="695" t="s">
        <v>169</v>
      </c>
      <c r="W222" s="695" t="s">
        <v>169</v>
      </c>
      <c r="X222" s="695" t="s">
        <v>169</v>
      </c>
      <c r="Y222" s="695" t="s">
        <v>169</v>
      </c>
      <c r="Z222" s="695" t="s">
        <v>169</v>
      </c>
    </row>
    <row r="223" spans="1:26" ht="16.5" customHeight="1" x14ac:dyDescent="0.25">
      <c r="A223" s="702" t="s">
        <v>688</v>
      </c>
      <c r="B223" s="786" t="s">
        <v>689</v>
      </c>
      <c r="C223" s="695" t="s">
        <v>169</v>
      </c>
      <c r="D223" s="695" t="s">
        <v>169</v>
      </c>
      <c r="E223" s="695" t="s">
        <v>169</v>
      </c>
      <c r="F223" s="695" t="s">
        <v>169</v>
      </c>
      <c r="G223" s="695" t="s">
        <v>169</v>
      </c>
      <c r="H223" s="695" t="s">
        <v>169</v>
      </c>
      <c r="I223" s="695" t="s">
        <v>169</v>
      </c>
      <c r="J223" s="695" t="s">
        <v>169</v>
      </c>
      <c r="K223" s="695" t="s">
        <v>169</v>
      </c>
      <c r="L223" s="695" t="s">
        <v>169</v>
      </c>
      <c r="M223" s="695" t="s">
        <v>169</v>
      </c>
      <c r="N223" s="695" t="s">
        <v>169</v>
      </c>
      <c r="O223" s="695" t="s">
        <v>169</v>
      </c>
      <c r="P223" s="695" t="s">
        <v>169</v>
      </c>
      <c r="Q223" s="695" t="s">
        <v>169</v>
      </c>
      <c r="R223" s="695" t="s">
        <v>169</v>
      </c>
      <c r="S223" s="695" t="s">
        <v>169</v>
      </c>
      <c r="T223" s="695" t="s">
        <v>169</v>
      </c>
      <c r="U223" s="695" t="s">
        <v>169</v>
      </c>
      <c r="V223" s="695" t="s">
        <v>169</v>
      </c>
      <c r="W223" s="695" t="s">
        <v>169</v>
      </c>
      <c r="X223" s="695" t="s">
        <v>169</v>
      </c>
      <c r="Y223" s="695" t="s">
        <v>169</v>
      </c>
      <c r="Z223" s="695" t="s">
        <v>169</v>
      </c>
    </row>
    <row r="224" spans="1:26" ht="16.5" customHeight="1" x14ac:dyDescent="0.25">
      <c r="A224" s="702" t="s">
        <v>690</v>
      </c>
      <c r="B224" s="786" t="s">
        <v>691</v>
      </c>
      <c r="C224" s="695" t="s">
        <v>169</v>
      </c>
      <c r="D224" s="695" t="s">
        <v>169</v>
      </c>
      <c r="E224" s="695" t="s">
        <v>169</v>
      </c>
      <c r="F224" s="695" t="s">
        <v>169</v>
      </c>
      <c r="G224" s="695" t="s">
        <v>169</v>
      </c>
      <c r="H224" s="695" t="s">
        <v>169</v>
      </c>
      <c r="I224" s="695" t="s">
        <v>169</v>
      </c>
      <c r="J224" s="695" t="s">
        <v>169</v>
      </c>
      <c r="K224" s="695" t="s">
        <v>169</v>
      </c>
      <c r="L224" s="695" t="s">
        <v>169</v>
      </c>
      <c r="M224" s="695" t="s">
        <v>169</v>
      </c>
      <c r="N224" s="695" t="s">
        <v>169</v>
      </c>
      <c r="O224" s="695" t="s">
        <v>169</v>
      </c>
      <c r="P224" s="695" t="s">
        <v>169</v>
      </c>
      <c r="Q224" s="695" t="s">
        <v>169</v>
      </c>
      <c r="R224" s="695" t="s">
        <v>169</v>
      </c>
      <c r="S224" s="695" t="s">
        <v>169</v>
      </c>
      <c r="T224" s="695" t="s">
        <v>169</v>
      </c>
      <c r="U224" s="695" t="s">
        <v>169</v>
      </c>
      <c r="V224" s="695" t="s">
        <v>169</v>
      </c>
      <c r="W224" s="695" t="s">
        <v>169</v>
      </c>
      <c r="X224" s="695" t="s">
        <v>169</v>
      </c>
      <c r="Y224" s="695" t="s">
        <v>169</v>
      </c>
      <c r="Z224" s="695" t="s">
        <v>169</v>
      </c>
    </row>
    <row r="225" spans="1:26" ht="16.5" customHeight="1" x14ac:dyDescent="0.25">
      <c r="A225" s="702" t="s">
        <v>692</v>
      </c>
      <c r="B225" s="786" t="s">
        <v>693</v>
      </c>
      <c r="C225" s="695" t="s">
        <v>169</v>
      </c>
      <c r="D225" s="695" t="s">
        <v>169</v>
      </c>
      <c r="E225" s="695" t="s">
        <v>169</v>
      </c>
      <c r="F225" s="695" t="s">
        <v>169</v>
      </c>
      <c r="G225" s="695" t="s">
        <v>169</v>
      </c>
      <c r="H225" s="695" t="s">
        <v>169</v>
      </c>
      <c r="I225" s="695" t="s">
        <v>169</v>
      </c>
      <c r="J225" s="695" t="s">
        <v>169</v>
      </c>
      <c r="K225" s="695" t="s">
        <v>169</v>
      </c>
      <c r="L225" s="695" t="s">
        <v>169</v>
      </c>
      <c r="M225" s="695" t="s">
        <v>169</v>
      </c>
      <c r="N225" s="695" t="s">
        <v>169</v>
      </c>
      <c r="O225" s="695" t="s">
        <v>169</v>
      </c>
      <c r="P225" s="695" t="s">
        <v>169</v>
      </c>
      <c r="Q225" s="695" t="s">
        <v>169</v>
      </c>
      <c r="R225" s="695" t="s">
        <v>169</v>
      </c>
      <c r="S225" s="695" t="s">
        <v>169</v>
      </c>
      <c r="T225" s="695" t="s">
        <v>169</v>
      </c>
      <c r="U225" s="695" t="s">
        <v>169</v>
      </c>
      <c r="V225" s="695" t="s">
        <v>169</v>
      </c>
      <c r="W225" s="695" t="s">
        <v>169</v>
      </c>
      <c r="X225" s="695" t="s">
        <v>169</v>
      </c>
      <c r="Y225" s="695" t="s">
        <v>169</v>
      </c>
      <c r="Z225" s="695" t="s">
        <v>169</v>
      </c>
    </row>
    <row r="226" spans="1:26" ht="16.5" customHeight="1" x14ac:dyDescent="0.25">
      <c r="A226" s="702">
        <v>55</v>
      </c>
      <c r="B226" s="786" t="s">
        <v>694</v>
      </c>
      <c r="C226" s="695" t="s">
        <v>169</v>
      </c>
      <c r="D226" s="695" t="s">
        <v>169</v>
      </c>
      <c r="E226" s="695" t="s">
        <v>169</v>
      </c>
      <c r="F226" s="695" t="s">
        <v>169</v>
      </c>
      <c r="G226" s="695" t="s">
        <v>169</v>
      </c>
      <c r="H226" s="695" t="s">
        <v>169</v>
      </c>
      <c r="I226" s="695" t="s">
        <v>169</v>
      </c>
      <c r="J226" s="695" t="s">
        <v>169</v>
      </c>
      <c r="K226" s="695" t="s">
        <v>169</v>
      </c>
      <c r="L226" s="695" t="s">
        <v>169</v>
      </c>
      <c r="M226" s="695" t="s">
        <v>169</v>
      </c>
      <c r="N226" s="695" t="s">
        <v>169</v>
      </c>
      <c r="O226" s="695" t="s">
        <v>169</v>
      </c>
      <c r="P226" s="695" t="s">
        <v>169</v>
      </c>
      <c r="Q226" s="695" t="s">
        <v>169</v>
      </c>
      <c r="R226" s="695" t="s">
        <v>169</v>
      </c>
      <c r="S226" s="695" t="s">
        <v>169</v>
      </c>
      <c r="T226" s="695" t="s">
        <v>169</v>
      </c>
      <c r="U226" s="695" t="s">
        <v>169</v>
      </c>
      <c r="V226" s="695" t="s">
        <v>169</v>
      </c>
      <c r="W226" s="695" t="s">
        <v>169</v>
      </c>
      <c r="X226" s="695" t="s">
        <v>169</v>
      </c>
      <c r="Y226" s="695" t="s">
        <v>169</v>
      </c>
      <c r="Z226" s="695" t="s">
        <v>169</v>
      </c>
    </row>
    <row r="227" spans="1:26" ht="21" customHeight="1" x14ac:dyDescent="0.25">
      <c r="A227" s="702"/>
      <c r="B227" s="782" t="s">
        <v>695</v>
      </c>
      <c r="C227" s="234" t="s">
        <v>169</v>
      </c>
      <c r="D227" s="234" t="s">
        <v>169</v>
      </c>
      <c r="E227" s="234" t="s">
        <v>169</v>
      </c>
      <c r="F227" s="234" t="s">
        <v>169</v>
      </c>
      <c r="G227" s="234" t="s">
        <v>169</v>
      </c>
      <c r="H227" s="234" t="s">
        <v>169</v>
      </c>
      <c r="I227" s="234" t="s">
        <v>169</v>
      </c>
      <c r="J227" s="234" t="s">
        <v>169</v>
      </c>
      <c r="K227" s="234" t="s">
        <v>169</v>
      </c>
      <c r="L227" s="234" t="s">
        <v>169</v>
      </c>
      <c r="M227" s="234" t="s">
        <v>169</v>
      </c>
      <c r="N227" s="234" t="s">
        <v>169</v>
      </c>
      <c r="O227" s="234" t="s">
        <v>169</v>
      </c>
      <c r="P227" s="234" t="s">
        <v>169</v>
      </c>
      <c r="Q227" s="234" t="s">
        <v>169</v>
      </c>
      <c r="R227" s="234" t="s">
        <v>169</v>
      </c>
      <c r="S227" s="234" t="s">
        <v>169</v>
      </c>
      <c r="T227" s="234" t="s">
        <v>169</v>
      </c>
      <c r="U227" s="234" t="s">
        <v>169</v>
      </c>
      <c r="V227" s="234" t="s">
        <v>169</v>
      </c>
      <c r="W227" s="234" t="s">
        <v>169</v>
      </c>
      <c r="X227" s="234" t="s">
        <v>169</v>
      </c>
      <c r="Y227" s="234" t="s">
        <v>169</v>
      </c>
      <c r="Z227" s="234" t="s">
        <v>169</v>
      </c>
    </row>
    <row r="228" spans="1:26" ht="27" customHeight="1" x14ac:dyDescent="0.25">
      <c r="A228" s="702"/>
      <c r="B228" s="782" t="s">
        <v>696</v>
      </c>
      <c r="C228" s="259">
        <v>31726</v>
      </c>
      <c r="D228" s="259">
        <v>33118</v>
      </c>
      <c r="E228" s="259">
        <v>28742</v>
      </c>
      <c r="F228" s="259">
        <v>30378</v>
      </c>
      <c r="G228" s="259">
        <v>30667</v>
      </c>
      <c r="H228" s="259">
        <v>27221</v>
      </c>
      <c r="I228" s="259">
        <v>31023</v>
      </c>
      <c r="J228" s="259">
        <v>29498</v>
      </c>
      <c r="K228" s="259">
        <v>28703</v>
      </c>
      <c r="L228" s="259">
        <v>35262</v>
      </c>
      <c r="M228" s="259">
        <v>28933</v>
      </c>
      <c r="N228" s="259">
        <v>27406</v>
      </c>
      <c r="O228" s="259">
        <v>29270</v>
      </c>
      <c r="P228" s="259">
        <v>27668</v>
      </c>
      <c r="Q228" s="259">
        <v>27736</v>
      </c>
      <c r="R228" s="259">
        <v>32468</v>
      </c>
      <c r="S228" s="259">
        <v>29468</v>
      </c>
      <c r="T228" s="259">
        <v>26567</v>
      </c>
      <c r="U228" s="259">
        <v>31565</v>
      </c>
      <c r="V228" s="259">
        <v>27577</v>
      </c>
      <c r="W228" s="259">
        <v>30702</v>
      </c>
      <c r="X228" s="259">
        <v>31014</v>
      </c>
      <c r="Y228" s="259">
        <v>31542</v>
      </c>
      <c r="Z228" s="259">
        <v>33948</v>
      </c>
    </row>
    <row r="229" spans="1:26" ht="16.5" customHeight="1" x14ac:dyDescent="0.25">
      <c r="A229" s="702"/>
      <c r="B229" s="782" t="s">
        <v>697</v>
      </c>
      <c r="C229" s="259">
        <v>27046</v>
      </c>
      <c r="D229" s="259">
        <v>27035</v>
      </c>
      <c r="E229" s="259">
        <v>28681</v>
      </c>
      <c r="F229" s="259">
        <v>31854</v>
      </c>
      <c r="G229" s="259">
        <v>29960</v>
      </c>
      <c r="H229" s="259">
        <v>25169</v>
      </c>
      <c r="I229" s="259">
        <v>32364</v>
      </c>
      <c r="J229" s="259">
        <v>30077</v>
      </c>
      <c r="K229" s="259">
        <v>35089</v>
      </c>
      <c r="L229" s="259">
        <v>31660</v>
      </c>
      <c r="M229" s="259">
        <v>31777</v>
      </c>
      <c r="N229" s="259">
        <v>33972</v>
      </c>
      <c r="O229" s="259">
        <v>30920</v>
      </c>
      <c r="P229" s="259">
        <v>32512</v>
      </c>
      <c r="Q229" s="259">
        <v>31004</v>
      </c>
      <c r="R229" s="259">
        <v>33544</v>
      </c>
      <c r="S229" s="259">
        <v>28690</v>
      </c>
      <c r="T229" s="259">
        <v>27088</v>
      </c>
      <c r="U229" s="259">
        <v>31555</v>
      </c>
      <c r="V229" s="259">
        <v>36424</v>
      </c>
      <c r="W229" s="259">
        <v>32563</v>
      </c>
      <c r="X229" s="259">
        <v>31152</v>
      </c>
      <c r="Y229" s="259">
        <v>30651</v>
      </c>
      <c r="Z229" s="259">
        <v>30131</v>
      </c>
    </row>
    <row r="230" spans="1:26" ht="16.5" customHeight="1" x14ac:dyDescent="0.25">
      <c r="A230" s="702"/>
      <c r="B230" s="782" t="s">
        <v>729</v>
      </c>
      <c r="C230" s="259">
        <v>38544</v>
      </c>
      <c r="D230" s="259">
        <v>42774</v>
      </c>
      <c r="E230" s="259">
        <v>48109</v>
      </c>
      <c r="F230" s="259">
        <v>46205</v>
      </c>
      <c r="G230" s="259">
        <v>61885</v>
      </c>
      <c r="H230" s="259">
        <v>46707</v>
      </c>
      <c r="I230" s="259">
        <v>54647</v>
      </c>
      <c r="J230" s="259">
        <v>38378</v>
      </c>
      <c r="K230" s="259">
        <v>59169</v>
      </c>
      <c r="L230" s="259">
        <v>46438</v>
      </c>
      <c r="M230" s="259">
        <v>44235</v>
      </c>
      <c r="N230" s="259">
        <v>42842</v>
      </c>
      <c r="O230" s="259">
        <v>40834</v>
      </c>
      <c r="P230" s="259">
        <v>49483</v>
      </c>
      <c r="Q230" s="259">
        <v>34793</v>
      </c>
      <c r="R230" s="259">
        <v>45001</v>
      </c>
      <c r="S230" s="259">
        <v>55479</v>
      </c>
      <c r="T230" s="259">
        <v>45708</v>
      </c>
      <c r="U230" s="259">
        <v>36766</v>
      </c>
      <c r="V230" s="259">
        <v>47809</v>
      </c>
      <c r="W230" s="259">
        <v>55635</v>
      </c>
      <c r="X230" s="259">
        <v>48523</v>
      </c>
      <c r="Y230" s="259">
        <v>50841</v>
      </c>
      <c r="Z230" s="259">
        <v>58015</v>
      </c>
    </row>
    <row r="231" spans="1:26" ht="22.5" customHeight="1" x14ac:dyDescent="0.25">
      <c r="A231" s="708"/>
      <c r="B231" s="244" t="s">
        <v>730</v>
      </c>
      <c r="C231" s="244">
        <v>97316</v>
      </c>
      <c r="D231" s="244">
        <v>102927</v>
      </c>
      <c r="E231" s="244">
        <v>105532</v>
      </c>
      <c r="F231" s="244">
        <v>108437</v>
      </c>
      <c r="G231" s="244">
        <v>122512</v>
      </c>
      <c r="H231" s="244">
        <v>99097</v>
      </c>
      <c r="I231" s="244">
        <v>118034</v>
      </c>
      <c r="J231" s="244">
        <v>97953</v>
      </c>
      <c r="K231" s="244">
        <v>122961</v>
      </c>
      <c r="L231" s="244">
        <v>113360</v>
      </c>
      <c r="M231" s="244">
        <v>104945</v>
      </c>
      <c r="N231" s="244">
        <v>104220</v>
      </c>
      <c r="O231" s="244">
        <v>101024</v>
      </c>
      <c r="P231" s="244">
        <v>109663</v>
      </c>
      <c r="Q231" s="244">
        <v>93533</v>
      </c>
      <c r="R231" s="244">
        <v>111013</v>
      </c>
      <c r="S231" s="244">
        <v>113637</v>
      </c>
      <c r="T231" s="244">
        <v>99363</v>
      </c>
      <c r="U231" s="244">
        <v>99886</v>
      </c>
      <c r="V231" s="244">
        <v>111810</v>
      </c>
      <c r="W231" s="244">
        <v>118900</v>
      </c>
      <c r="X231" s="244">
        <v>110689</v>
      </c>
      <c r="Y231" s="244">
        <v>113034</v>
      </c>
      <c r="Z231" s="244">
        <v>122094</v>
      </c>
    </row>
    <row r="232" spans="1:26" ht="44.25" customHeight="1" x14ac:dyDescent="0.25">
      <c r="A232" s="711"/>
      <c r="B232" s="246" t="s">
        <v>700</v>
      </c>
      <c r="C232" s="246">
        <v>568755</v>
      </c>
      <c r="D232" s="246">
        <v>559763</v>
      </c>
      <c r="E232" s="246">
        <v>561337</v>
      </c>
      <c r="F232" s="246">
        <v>574101</v>
      </c>
      <c r="G232" s="246">
        <v>561305</v>
      </c>
      <c r="H232" s="246">
        <v>521225</v>
      </c>
      <c r="I232" s="246">
        <v>546489</v>
      </c>
      <c r="J232" s="246">
        <v>508439</v>
      </c>
      <c r="K232" s="246">
        <v>568450</v>
      </c>
      <c r="L232" s="246">
        <v>554647</v>
      </c>
      <c r="M232" s="246">
        <v>575940</v>
      </c>
      <c r="N232" s="246">
        <v>562360</v>
      </c>
      <c r="O232" s="246">
        <v>576389</v>
      </c>
      <c r="P232" s="246">
        <v>570233</v>
      </c>
      <c r="Q232" s="246">
        <v>532728</v>
      </c>
      <c r="R232" s="246">
        <v>568891</v>
      </c>
      <c r="S232" s="246">
        <v>551712</v>
      </c>
      <c r="T232" s="246">
        <v>515852</v>
      </c>
      <c r="U232" s="246">
        <v>512339</v>
      </c>
      <c r="V232" s="246">
        <v>500905</v>
      </c>
      <c r="W232" s="246">
        <v>566469</v>
      </c>
      <c r="X232" s="246">
        <v>544321</v>
      </c>
      <c r="Y232" s="246">
        <v>571850</v>
      </c>
      <c r="Z232" s="246">
        <v>580269</v>
      </c>
    </row>
  </sheetData>
  <hyperlinks>
    <hyperlink ref="A4" location="'Table of contents'!A1" display="Link to table of contents" xr:uid="{A05FF8A8-29ED-4579-B1D2-BF48A9F37F9E}"/>
    <hyperlink ref="A6" location="'Notes_A5 to A7'!A1" display="Link to Notes page" xr:uid="{42B4E82D-2083-4E3F-B1A4-90F17C2274D2}"/>
  </hyperlink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76077-4419-4004-A25E-90388CE9A0A1}">
  <dimension ref="A1:E36"/>
  <sheetViews>
    <sheetView showGridLines="0" workbookViewId="0"/>
  </sheetViews>
  <sheetFormatPr defaultColWidth="8.85546875" defaultRowHeight="15" customHeight="1" x14ac:dyDescent="0.25"/>
  <cols>
    <col min="1" max="1" width="70.140625" customWidth="1"/>
    <col min="2" max="5" width="17.85546875" customWidth="1"/>
  </cols>
  <sheetData>
    <row r="1" spans="1:5" ht="18.75" customHeight="1" x14ac:dyDescent="0.25">
      <c r="A1" s="840" t="s">
        <v>731</v>
      </c>
      <c r="B1" s="671"/>
      <c r="C1" s="671"/>
      <c r="D1" s="671"/>
      <c r="E1" s="671"/>
    </row>
    <row r="2" spans="1:5" ht="18.75" customHeight="1" x14ac:dyDescent="0.25">
      <c r="A2" s="672" t="s">
        <v>732</v>
      </c>
      <c r="B2" s="673"/>
      <c r="C2" s="673"/>
      <c r="D2" s="673"/>
      <c r="E2" s="590"/>
    </row>
    <row r="3" spans="1:5" ht="18.75" customHeight="1" x14ac:dyDescent="0.25">
      <c r="A3" s="590" t="s">
        <v>96</v>
      </c>
      <c r="B3" s="1"/>
      <c r="C3" s="1"/>
      <c r="D3" s="1"/>
      <c r="E3" s="590"/>
    </row>
    <row r="4" spans="1:5" ht="18.75" customHeight="1" x14ac:dyDescent="0.25">
      <c r="A4" s="591" t="s">
        <v>368</v>
      </c>
      <c r="B4" s="235"/>
      <c r="C4" s="235"/>
      <c r="D4" s="235"/>
      <c r="E4" s="590"/>
    </row>
    <row r="5" spans="1:5" ht="18.75" customHeight="1" x14ac:dyDescent="0.25">
      <c r="A5" s="590" t="s">
        <v>369</v>
      </c>
      <c r="B5" s="673"/>
      <c r="C5" s="673"/>
      <c r="D5" s="673"/>
      <c r="E5" s="590"/>
    </row>
    <row r="6" spans="1:5" ht="18.75" customHeight="1" x14ac:dyDescent="0.25">
      <c r="A6" s="591" t="s">
        <v>370</v>
      </c>
      <c r="B6" s="673"/>
      <c r="C6" s="673"/>
      <c r="D6" s="673"/>
      <c r="E6" s="590"/>
    </row>
    <row r="7" spans="1:5" ht="18.75" customHeight="1" x14ac:dyDescent="0.25">
      <c r="A7" s="1" t="s">
        <v>371</v>
      </c>
      <c r="B7" s="235"/>
      <c r="C7" s="235"/>
      <c r="D7" s="235"/>
      <c r="E7" s="590"/>
    </row>
    <row r="8" spans="1:5" ht="18.75" customHeight="1" x14ac:dyDescent="0.25">
      <c r="A8" s="674" t="s">
        <v>372</v>
      </c>
      <c r="B8" s="235"/>
      <c r="C8" s="235"/>
      <c r="D8" s="235"/>
      <c r="E8" s="590"/>
    </row>
    <row r="9" spans="1:5" ht="78.75" x14ac:dyDescent="0.25">
      <c r="A9" s="592" t="s">
        <v>733</v>
      </c>
      <c r="B9" s="593" t="s">
        <v>734</v>
      </c>
      <c r="C9" s="594" t="s">
        <v>735</v>
      </c>
      <c r="D9" s="595" t="s">
        <v>736</v>
      </c>
      <c r="E9" s="595" t="s">
        <v>737</v>
      </c>
    </row>
    <row r="10" spans="1:5" ht="15.75" x14ac:dyDescent="0.25">
      <c r="A10" s="596" t="s">
        <v>738</v>
      </c>
      <c r="B10" s="597">
        <v>71.725108945340253</v>
      </c>
      <c r="C10" s="597">
        <v>4433091</v>
      </c>
      <c r="D10" s="597">
        <v>39.810123268809008</v>
      </c>
      <c r="E10" s="597">
        <v>-2.443441244120979</v>
      </c>
    </row>
    <row r="11" spans="1:5" ht="18.75" customHeight="1" x14ac:dyDescent="0.25">
      <c r="A11" s="598" t="s">
        <v>739</v>
      </c>
      <c r="B11" s="597">
        <v>31.466306507118436</v>
      </c>
      <c r="C11" s="597">
        <v>1944828</v>
      </c>
      <c r="D11" s="597">
        <v>149.9142891654823</v>
      </c>
      <c r="E11" s="597">
        <v>-1.868745786794654</v>
      </c>
    </row>
    <row r="12" spans="1:5" ht="15.75" x14ac:dyDescent="0.25">
      <c r="A12" s="599" t="s">
        <v>740</v>
      </c>
      <c r="B12" s="600">
        <v>8.380970847132678E-3</v>
      </c>
      <c r="C12" s="597">
        <v>518</v>
      </c>
      <c r="D12" s="597">
        <v>-3.8961038961038961</v>
      </c>
      <c r="E12" s="597">
        <v>-6.1594202898550732</v>
      </c>
    </row>
    <row r="13" spans="1:5" ht="15.75" x14ac:dyDescent="0.25">
      <c r="A13" s="601" t="s">
        <v>741</v>
      </c>
      <c r="B13" s="600">
        <v>3.3248832221732916E-2</v>
      </c>
      <c r="C13" s="597">
        <v>2055</v>
      </c>
      <c r="D13" s="597">
        <v>246.54300168634063</v>
      </c>
      <c r="E13" s="597">
        <v>5.1688843398157625</v>
      </c>
    </row>
    <row r="14" spans="1:5" ht="15.75" x14ac:dyDescent="0.25">
      <c r="A14" s="599" t="s">
        <v>742</v>
      </c>
      <c r="B14" s="597">
        <v>8.3362993017486353</v>
      </c>
      <c r="C14" s="597">
        <v>515239</v>
      </c>
      <c r="D14" s="597">
        <v>37.953294349483784</v>
      </c>
      <c r="E14" s="597">
        <v>-5.7383302384720221</v>
      </c>
    </row>
    <row r="15" spans="1:5" ht="15.75" x14ac:dyDescent="0.25">
      <c r="A15" s="599" t="s">
        <v>743</v>
      </c>
      <c r="B15" s="597">
        <v>13.288013098648459</v>
      </c>
      <c r="C15" s="597">
        <v>821288</v>
      </c>
      <c r="D15" s="597">
        <v>158.9098704328363</v>
      </c>
      <c r="E15" s="597">
        <v>0.99483766561157316</v>
      </c>
    </row>
    <row r="16" spans="1:5" ht="15.75" x14ac:dyDescent="0.25">
      <c r="A16" s="601" t="s">
        <v>744</v>
      </c>
      <c r="B16" s="597">
        <v>9.8003643036524757</v>
      </c>
      <c r="C16" s="597">
        <v>605728</v>
      </c>
      <c r="D16" s="600" t="s">
        <v>169</v>
      </c>
      <c r="E16" s="597">
        <v>-2.2317631203040889</v>
      </c>
    </row>
    <row r="17" spans="1:5" ht="25.5" customHeight="1" x14ac:dyDescent="0.25">
      <c r="A17" s="598" t="s">
        <v>745</v>
      </c>
      <c r="B17" s="597">
        <v>3.4175107474625479</v>
      </c>
      <c r="C17" s="597">
        <v>211225</v>
      </c>
      <c r="D17" s="597">
        <v>138.46753070809248</v>
      </c>
      <c r="E17" s="597">
        <v>9.0565044092439226</v>
      </c>
    </row>
    <row r="18" spans="1:5" ht="15.75" x14ac:dyDescent="0.25">
      <c r="A18" s="599" t="s">
        <v>746</v>
      </c>
      <c r="B18" s="597">
        <v>1.177930891032138</v>
      </c>
      <c r="C18" s="597">
        <v>72804</v>
      </c>
      <c r="D18" s="597">
        <v>147.46430999320191</v>
      </c>
      <c r="E18" s="597">
        <v>5.5589386689865155</v>
      </c>
    </row>
    <row r="19" spans="1:5" ht="15.75" x14ac:dyDescent="0.25">
      <c r="A19" s="599" t="s">
        <v>747</v>
      </c>
      <c r="B19" s="597">
        <v>2.2395798564304097</v>
      </c>
      <c r="C19" s="597">
        <v>138421</v>
      </c>
      <c r="D19" s="597">
        <v>133.99317059977008</v>
      </c>
      <c r="E19" s="597">
        <v>10.990746828744166</v>
      </c>
    </row>
    <row r="20" spans="1:5" ht="15.75" x14ac:dyDescent="0.25">
      <c r="A20" s="598" t="s">
        <v>748</v>
      </c>
      <c r="B20" s="597">
        <v>1.299163737668364</v>
      </c>
      <c r="C20" s="597">
        <v>80297</v>
      </c>
      <c r="D20" s="597">
        <v>60.100889261075885</v>
      </c>
      <c r="E20" s="597">
        <v>-1.8853861192570869</v>
      </c>
    </row>
    <row r="21" spans="1:5" ht="19.5" customHeight="1" x14ac:dyDescent="0.25">
      <c r="A21" s="598" t="s">
        <v>749</v>
      </c>
      <c r="B21" s="597">
        <v>28.103336788083851</v>
      </c>
      <c r="C21" s="597">
        <v>1736974</v>
      </c>
      <c r="D21" s="597">
        <v>-0.77875845349641581</v>
      </c>
      <c r="E21" s="597">
        <v>-3.5570063246896093</v>
      </c>
    </row>
    <row r="22" spans="1:5" ht="15.75" x14ac:dyDescent="0.25">
      <c r="A22" s="599" t="s">
        <v>750</v>
      </c>
      <c r="B22" s="597">
        <v>3.8312200612872247</v>
      </c>
      <c r="C22" s="597">
        <v>236795</v>
      </c>
      <c r="D22" s="597">
        <v>-42.366854400218074</v>
      </c>
      <c r="E22" s="597">
        <v>-10.470418317655243</v>
      </c>
    </row>
    <row r="23" spans="1:5" ht="15.75" x14ac:dyDescent="0.25">
      <c r="A23" s="599" t="s">
        <v>751</v>
      </c>
      <c r="B23" s="597">
        <v>5.4118582194721272</v>
      </c>
      <c r="C23" s="597">
        <v>334489</v>
      </c>
      <c r="D23" s="597">
        <v>-4.3010168172532772</v>
      </c>
      <c r="E23" s="597">
        <v>-11.970555880139168</v>
      </c>
    </row>
    <row r="24" spans="1:5" ht="15.75" x14ac:dyDescent="0.25">
      <c r="A24" s="599" t="s">
        <v>752</v>
      </c>
      <c r="B24" s="597">
        <v>2.3599390111250429</v>
      </c>
      <c r="C24" s="597">
        <v>145860</v>
      </c>
      <c r="D24" s="597">
        <v>85.965270163449532</v>
      </c>
      <c r="E24" s="597">
        <v>4.7588950974618269</v>
      </c>
    </row>
    <row r="25" spans="1:5" ht="15.75" x14ac:dyDescent="0.25">
      <c r="A25" s="599" t="s">
        <v>753</v>
      </c>
      <c r="B25" s="597">
        <v>0.95407160021953608</v>
      </c>
      <c r="C25" s="597">
        <v>58968</v>
      </c>
      <c r="D25" s="597">
        <v>-36.815712494776434</v>
      </c>
      <c r="E25" s="597">
        <v>-9.8541596600116179</v>
      </c>
    </row>
    <row r="26" spans="1:5" ht="15.75" x14ac:dyDescent="0.25">
      <c r="A26" s="599" t="s">
        <v>754</v>
      </c>
      <c r="B26" s="597">
        <v>8.5750275350487186</v>
      </c>
      <c r="C26" s="597">
        <v>529994</v>
      </c>
      <c r="D26" s="597">
        <v>62.548420042140386</v>
      </c>
      <c r="E26" s="597">
        <v>12.837184744239917</v>
      </c>
    </row>
    <row r="27" spans="1:5" ht="15.75" x14ac:dyDescent="0.25">
      <c r="A27" s="599" t="s">
        <v>755</v>
      </c>
      <c r="B27" s="597">
        <v>6.9712203609312011</v>
      </c>
      <c r="C27" s="597">
        <v>430868</v>
      </c>
      <c r="D27" s="597">
        <v>-12.497232968796011</v>
      </c>
      <c r="E27" s="597">
        <v>-10.65074891804516</v>
      </c>
    </row>
    <row r="28" spans="1:5" ht="21.75" customHeight="1" x14ac:dyDescent="0.25">
      <c r="A28" s="598" t="s">
        <v>756</v>
      </c>
      <c r="B28" s="597">
        <v>7.4387911650070455</v>
      </c>
      <c r="C28" s="597">
        <v>459767</v>
      </c>
      <c r="D28" s="597">
        <v>-8.6420709813436023</v>
      </c>
      <c r="E28" s="597">
        <v>-5.3391092013778083</v>
      </c>
    </row>
    <row r="29" spans="1:5" ht="23.25" customHeight="1" x14ac:dyDescent="0.25">
      <c r="A29" s="602" t="s">
        <v>599</v>
      </c>
      <c r="B29" s="587">
        <v>13.820851926657379</v>
      </c>
      <c r="C29" s="587">
        <v>854221</v>
      </c>
      <c r="D29" s="597">
        <v>111.56757265490715</v>
      </c>
      <c r="E29" s="597">
        <v>3.9966252451627904</v>
      </c>
    </row>
    <row r="30" spans="1:5" ht="15.75" x14ac:dyDescent="0.25">
      <c r="A30" s="599" t="s">
        <v>757</v>
      </c>
      <c r="B30" s="587">
        <v>3.5076142738094238</v>
      </c>
      <c r="C30" s="587">
        <v>216794</v>
      </c>
      <c r="D30" s="597">
        <v>27.011113780032691</v>
      </c>
      <c r="E30" s="597">
        <v>18.497748043202588</v>
      </c>
    </row>
    <row r="31" spans="1:5" ht="15.75" x14ac:dyDescent="0.25">
      <c r="A31" s="599" t="s">
        <v>758</v>
      </c>
      <c r="B31" s="587">
        <v>0.9472923979319906</v>
      </c>
      <c r="C31" s="587">
        <v>58549</v>
      </c>
      <c r="D31" s="597">
        <v>167.46916400182732</v>
      </c>
      <c r="E31" s="597">
        <v>1.598181439577983</v>
      </c>
    </row>
    <row r="32" spans="1:5" ht="15.75" x14ac:dyDescent="0.25">
      <c r="A32" s="599" t="s">
        <v>759</v>
      </c>
      <c r="B32" s="587">
        <v>7.3231078801479752</v>
      </c>
      <c r="C32" s="587">
        <v>452617</v>
      </c>
      <c r="D32" s="597">
        <v>184.27680461257279</v>
      </c>
      <c r="E32" s="597">
        <v>-2.9412458479241228</v>
      </c>
    </row>
    <row r="33" spans="1:5" ht="15.75" x14ac:dyDescent="0.25">
      <c r="A33" s="599" t="s">
        <v>760</v>
      </c>
      <c r="B33" s="587">
        <v>2.0428373747679904</v>
      </c>
      <c r="C33" s="587">
        <v>126261</v>
      </c>
      <c r="D33" s="597">
        <v>142.98718294138024</v>
      </c>
      <c r="E33" s="597">
        <v>10.290880503144654</v>
      </c>
    </row>
    <row r="34" spans="1:5" ht="39.75" customHeight="1" x14ac:dyDescent="0.25">
      <c r="A34" s="603" t="s">
        <v>761</v>
      </c>
      <c r="B34" s="588">
        <v>85.545960871997622</v>
      </c>
      <c r="C34" s="588">
        <v>5287312</v>
      </c>
      <c r="D34" s="604">
        <v>47.915375129526723</v>
      </c>
      <c r="E34" s="604">
        <v>-1.4575482660850763</v>
      </c>
    </row>
    <row r="35" spans="1:5" ht="22.5" customHeight="1" x14ac:dyDescent="0.25">
      <c r="A35" s="590" t="s">
        <v>762</v>
      </c>
      <c r="B35" s="587">
        <v>21.108494385768839</v>
      </c>
      <c r="C35" s="587">
        <v>1304646</v>
      </c>
      <c r="D35" s="600">
        <v>119.98290243766725</v>
      </c>
      <c r="E35" s="600">
        <v>0.56671810707518877</v>
      </c>
    </row>
    <row r="36" spans="1:5" ht="42.75" customHeight="1" x14ac:dyDescent="0.25">
      <c r="A36" s="605" t="s">
        <v>763</v>
      </c>
      <c r="B36" s="589">
        <v>106.65445525776647</v>
      </c>
      <c r="C36" s="589">
        <v>6591958</v>
      </c>
      <c r="D36" s="606">
        <v>58.170840472701556</v>
      </c>
      <c r="E36" s="606">
        <v>-1.0634100231869101</v>
      </c>
    </row>
  </sheetData>
  <hyperlinks>
    <hyperlink ref="A4" location="'Table of contents'!A1" display="Link to table of contents" xr:uid="{10AB882F-384F-4273-82F2-F54B88BAF9C0}"/>
    <hyperlink ref="A6" location="'Notes_A5 to A7'!A1" display="Link to notes page" xr:uid="{82A594BF-D27E-4AB9-A20B-AF0AD2FF5FEC}"/>
  </hyperlinks>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06522-B897-4D5B-9BA4-DE19974D7313}">
  <dimension ref="A1:AA52"/>
  <sheetViews>
    <sheetView showGridLines="0" workbookViewId="0"/>
  </sheetViews>
  <sheetFormatPr defaultColWidth="9.140625" defaultRowHeight="15" customHeight="1" x14ac:dyDescent="0.25"/>
  <cols>
    <col min="1" max="1" width="95.28515625" customWidth="1"/>
    <col min="2" max="23" width="13.7109375" customWidth="1"/>
    <col min="24" max="24" width="14.5703125" customWidth="1"/>
    <col min="25" max="26" width="14" customWidth="1"/>
    <col min="27" max="27" width="18.140625" customWidth="1"/>
  </cols>
  <sheetData>
    <row r="1" spans="1:27" ht="18.75" customHeight="1" x14ac:dyDescent="0.25">
      <c r="A1" s="839" t="s">
        <v>1491</v>
      </c>
      <c r="B1" s="33"/>
      <c r="C1" s="33"/>
      <c r="D1" s="33"/>
      <c r="E1" s="33"/>
      <c r="F1" s="33"/>
      <c r="G1" s="33"/>
      <c r="H1" s="33"/>
      <c r="I1" s="33"/>
      <c r="J1" s="33"/>
      <c r="K1" s="33"/>
      <c r="L1" s="33"/>
      <c r="M1" s="33"/>
      <c r="N1" s="33"/>
      <c r="O1" s="33"/>
      <c r="P1" s="33"/>
      <c r="Q1" s="33"/>
      <c r="R1" s="33"/>
      <c r="S1" s="33"/>
      <c r="T1" s="33"/>
      <c r="U1" s="33"/>
      <c r="V1" s="33"/>
      <c r="W1" s="33"/>
      <c r="X1" s="33"/>
      <c r="Y1" s="33"/>
      <c r="Z1" s="33"/>
      <c r="AA1" s="33"/>
    </row>
    <row r="2" spans="1:27" ht="18.75" customHeight="1" x14ac:dyDescent="0.25">
      <c r="A2" s="607" t="s">
        <v>365</v>
      </c>
      <c r="B2" s="33"/>
      <c r="C2" s="33"/>
      <c r="D2" s="33"/>
      <c r="E2" s="33"/>
      <c r="F2" s="33"/>
      <c r="G2" s="33"/>
      <c r="H2" s="33"/>
      <c r="I2" s="33"/>
      <c r="J2" s="33"/>
      <c r="K2" s="33"/>
      <c r="L2" s="33"/>
      <c r="M2" s="33"/>
      <c r="N2" s="33"/>
      <c r="O2" s="33"/>
      <c r="P2" s="33"/>
      <c r="Q2" s="33"/>
      <c r="R2" s="33"/>
      <c r="S2" s="33"/>
      <c r="T2" s="33"/>
      <c r="U2" s="33"/>
      <c r="V2" s="33"/>
      <c r="W2" s="33"/>
      <c r="X2" s="33"/>
      <c r="Y2" s="33"/>
      <c r="Z2" s="33"/>
      <c r="AA2" s="33"/>
    </row>
    <row r="3" spans="1:27" ht="18.75" customHeight="1" x14ac:dyDescent="0.25">
      <c r="A3" s="712" t="s">
        <v>96</v>
      </c>
      <c r="B3" s="1"/>
      <c r="C3" s="1"/>
      <c r="D3" s="1"/>
      <c r="E3" s="33"/>
      <c r="F3" s="1"/>
      <c r="G3" s="1"/>
      <c r="H3" s="1"/>
      <c r="I3" s="1"/>
      <c r="J3" s="1"/>
      <c r="K3" s="1"/>
      <c r="L3" s="1"/>
      <c r="M3" s="1"/>
      <c r="N3" s="1"/>
      <c r="O3" s="1"/>
      <c r="P3" s="1"/>
      <c r="Q3" s="1"/>
      <c r="R3" s="1"/>
      <c r="S3" s="676"/>
      <c r="T3" s="676"/>
      <c r="U3" s="676"/>
      <c r="W3" s="608"/>
      <c r="X3" s="608"/>
      <c r="Y3" s="676"/>
      <c r="Z3" s="1"/>
      <c r="AA3" s="609"/>
    </row>
    <row r="4" spans="1:27" ht="18.75" customHeight="1" x14ac:dyDescent="0.25">
      <c r="A4" s="226" t="s">
        <v>368</v>
      </c>
      <c r="B4" s="1"/>
      <c r="C4" s="1"/>
      <c r="D4" s="1"/>
      <c r="E4" s="33"/>
      <c r="F4" s="1"/>
      <c r="G4" s="1"/>
      <c r="H4" s="1"/>
      <c r="I4" s="1"/>
      <c r="J4" s="1"/>
      <c r="K4" s="1"/>
      <c r="L4" s="1"/>
      <c r="M4" s="1"/>
      <c r="N4" s="1"/>
      <c r="O4" s="1"/>
      <c r="P4" s="1"/>
      <c r="Q4" s="1"/>
      <c r="R4" s="1"/>
      <c r="S4" s="676"/>
      <c r="T4" s="676"/>
      <c r="U4" s="676"/>
      <c r="W4" s="608"/>
      <c r="X4" s="608"/>
      <c r="Y4" s="676"/>
      <c r="Z4" s="1"/>
      <c r="AA4" s="609"/>
    </row>
    <row r="5" spans="1:27" ht="18.75" customHeight="1" x14ac:dyDescent="0.25">
      <c r="A5" s="134" t="s">
        <v>369</v>
      </c>
      <c r="B5" s="1"/>
      <c r="C5" s="1"/>
      <c r="D5" s="1"/>
      <c r="E5" s="33"/>
      <c r="F5" s="1"/>
      <c r="G5" s="1"/>
      <c r="H5" s="1"/>
      <c r="I5" s="1"/>
      <c r="J5" s="1"/>
      <c r="K5" s="1"/>
      <c r="L5" s="1"/>
      <c r="M5" s="1"/>
      <c r="N5" s="1"/>
      <c r="O5" s="1"/>
      <c r="P5" s="1"/>
      <c r="Q5" s="1"/>
      <c r="R5" s="1"/>
      <c r="S5" s="676"/>
      <c r="T5" s="676"/>
      <c r="U5" s="676"/>
      <c r="W5" s="608"/>
      <c r="X5" s="608"/>
      <c r="Y5" s="676"/>
      <c r="Z5" s="1"/>
      <c r="AA5" s="609"/>
    </row>
    <row r="6" spans="1:27" ht="18.75" customHeight="1" x14ac:dyDescent="0.25">
      <c r="A6" s="226" t="s">
        <v>370</v>
      </c>
      <c r="B6" s="1"/>
      <c r="C6" s="1"/>
      <c r="D6" s="1"/>
      <c r="E6" s="33"/>
      <c r="F6" s="1"/>
      <c r="G6" s="1"/>
      <c r="H6" s="1"/>
      <c r="I6" s="1"/>
      <c r="J6" s="1"/>
      <c r="K6" s="1"/>
      <c r="L6" s="1"/>
      <c r="M6" s="1"/>
      <c r="N6" s="1"/>
      <c r="O6" s="1"/>
      <c r="P6" s="1"/>
      <c r="Q6" s="1"/>
      <c r="R6" s="1"/>
      <c r="S6" s="676"/>
      <c r="T6" s="676"/>
      <c r="U6" s="676"/>
      <c r="W6" s="608"/>
      <c r="X6" s="608"/>
      <c r="Y6" s="676"/>
      <c r="Z6" s="1"/>
      <c r="AA6" s="609"/>
    </row>
    <row r="7" spans="1:27" ht="18.75" customHeight="1" x14ac:dyDescent="0.25">
      <c r="A7" s="1" t="s">
        <v>371</v>
      </c>
      <c r="B7" s="1"/>
      <c r="C7" s="1"/>
      <c r="D7" s="1"/>
      <c r="E7" s="33"/>
      <c r="F7" s="1"/>
      <c r="G7" s="1"/>
      <c r="H7" s="1"/>
      <c r="I7" s="1"/>
      <c r="J7" s="1"/>
      <c r="K7" s="1"/>
      <c r="L7" s="1"/>
      <c r="M7" s="1"/>
      <c r="N7" s="1"/>
      <c r="O7" s="1"/>
      <c r="P7" s="1"/>
      <c r="Q7" s="1"/>
      <c r="R7" s="1"/>
      <c r="S7" s="676"/>
      <c r="T7" s="676"/>
      <c r="U7" s="676"/>
      <c r="W7" s="608"/>
      <c r="X7" s="608"/>
      <c r="Y7" s="676"/>
      <c r="Z7" s="1"/>
      <c r="AA7" s="609"/>
    </row>
    <row r="8" spans="1:27" ht="18.75" customHeight="1" x14ac:dyDescent="0.25">
      <c r="A8" s="674" t="s">
        <v>372</v>
      </c>
      <c r="B8" s="1"/>
      <c r="C8" s="1"/>
      <c r="D8" s="1"/>
      <c r="E8" s="1"/>
      <c r="F8" s="1"/>
      <c r="G8" s="1"/>
      <c r="H8" s="1"/>
      <c r="I8" s="1"/>
      <c r="J8" s="1"/>
      <c r="K8" s="1"/>
      <c r="L8" s="1"/>
      <c r="M8" s="1"/>
      <c r="N8" s="1"/>
      <c r="O8" s="1"/>
      <c r="P8" s="1"/>
      <c r="Q8" s="676"/>
      <c r="R8" s="1"/>
      <c r="S8" s="677"/>
      <c r="T8" s="678"/>
      <c r="U8" s="678"/>
      <c r="V8" s="679"/>
      <c r="W8" s="675"/>
      <c r="X8" s="608"/>
      <c r="Y8" s="676"/>
      <c r="Z8" s="610"/>
      <c r="AA8" s="610"/>
    </row>
    <row r="9" spans="1:27" ht="47.25" x14ac:dyDescent="0.25">
      <c r="A9" s="611" t="s">
        <v>1492</v>
      </c>
      <c r="B9" s="612" t="s">
        <v>111</v>
      </c>
      <c r="C9" s="612" t="s">
        <v>112</v>
      </c>
      <c r="D9" s="612" t="s">
        <v>113</v>
      </c>
      <c r="E9" s="612" t="s">
        <v>114</v>
      </c>
      <c r="F9" s="612" t="s">
        <v>115</v>
      </c>
      <c r="G9" s="612" t="s">
        <v>116</v>
      </c>
      <c r="H9" s="612" t="s">
        <v>117</v>
      </c>
      <c r="I9" s="612" t="s">
        <v>118</v>
      </c>
      <c r="J9" s="612" t="s">
        <v>119</v>
      </c>
      <c r="K9" s="612" t="s">
        <v>120</v>
      </c>
      <c r="L9" s="612" t="s">
        <v>764</v>
      </c>
      <c r="M9" s="612" t="s">
        <v>122</v>
      </c>
      <c r="N9" s="612" t="s">
        <v>123</v>
      </c>
      <c r="O9" s="612" t="s">
        <v>124</v>
      </c>
      <c r="P9" s="612" t="s">
        <v>125</v>
      </c>
      <c r="Q9" s="612" t="s">
        <v>765</v>
      </c>
      <c r="R9" s="612" t="s">
        <v>766</v>
      </c>
      <c r="S9" s="613" t="s">
        <v>767</v>
      </c>
      <c r="T9" s="613" t="s">
        <v>768</v>
      </c>
      <c r="U9" s="613" t="s">
        <v>769</v>
      </c>
      <c r="V9" s="613" t="s">
        <v>395</v>
      </c>
      <c r="W9" s="613" t="s">
        <v>770</v>
      </c>
      <c r="X9" s="614" t="s">
        <v>771</v>
      </c>
      <c r="Y9" s="614" t="s">
        <v>772</v>
      </c>
      <c r="Z9" s="614" t="s">
        <v>773</v>
      </c>
      <c r="AA9" s="337" t="s">
        <v>774</v>
      </c>
    </row>
    <row r="10" spans="1:27" ht="15.75" x14ac:dyDescent="0.25">
      <c r="A10" s="33" t="s">
        <v>738</v>
      </c>
      <c r="B10" s="615">
        <v>103.19820989993539</v>
      </c>
      <c r="C10" s="615">
        <v>103.09378460113308</v>
      </c>
      <c r="D10" s="615">
        <v>95.017751277362166</v>
      </c>
      <c r="E10" s="615">
        <v>92.381019860354513</v>
      </c>
      <c r="F10" s="615">
        <v>89.373538868430572</v>
      </c>
      <c r="G10" s="615">
        <v>80.41548332117226</v>
      </c>
      <c r="H10" s="615">
        <v>75.223868061185939</v>
      </c>
      <c r="I10" s="615">
        <v>68.567998961374656</v>
      </c>
      <c r="J10" s="615">
        <v>65.142183742690563</v>
      </c>
      <c r="K10" s="615">
        <v>62.036356363952777</v>
      </c>
      <c r="L10" s="615">
        <v>56.088641727418882</v>
      </c>
      <c r="M10" s="615">
        <v>54.930896850952337</v>
      </c>
      <c r="N10" s="615">
        <v>55.637975843513175</v>
      </c>
      <c r="O10" s="615">
        <v>60.1287787448763</v>
      </c>
      <c r="P10" s="615">
        <v>65.428358999170982</v>
      </c>
      <c r="Q10" s="615">
        <v>72.49661743434757</v>
      </c>
      <c r="R10" s="615">
        <v>76.841801815896773</v>
      </c>
      <c r="S10" s="615">
        <v>76.366287574670764</v>
      </c>
      <c r="T10" s="615">
        <v>63.295111409076817</v>
      </c>
      <c r="U10" s="615">
        <v>73.820885470752998</v>
      </c>
      <c r="V10" s="615">
        <v>77.636713348344045</v>
      </c>
      <c r="W10" s="615">
        <v>75.696555721154127</v>
      </c>
      <c r="X10" s="615">
        <v>73.421428708405841</v>
      </c>
      <c r="Y10" s="615">
        <v>75.436122272109856</v>
      </c>
      <c r="Z10" s="615">
        <v>71.725108945340253</v>
      </c>
      <c r="AA10" s="616">
        <v>-4.9194115696766589</v>
      </c>
    </row>
    <row r="11" spans="1:27" ht="27" customHeight="1" x14ac:dyDescent="0.25">
      <c r="A11" s="33" t="s">
        <v>775</v>
      </c>
      <c r="B11" s="615">
        <v>13.535949155670004</v>
      </c>
      <c r="C11" s="615">
        <v>15.19419085264264</v>
      </c>
      <c r="D11" s="615">
        <v>15.997374205492294</v>
      </c>
      <c r="E11" s="615">
        <v>15.778778839307375</v>
      </c>
      <c r="F11" s="615">
        <v>15.209701970550146</v>
      </c>
      <c r="G11" s="615">
        <v>13.87890912718453</v>
      </c>
      <c r="H11" s="615">
        <v>13.036256638303231</v>
      </c>
      <c r="I11" s="615">
        <v>12.745971497611672</v>
      </c>
      <c r="J11" s="615">
        <v>12.048211311714278</v>
      </c>
      <c r="K11" s="615">
        <v>11.253236369335196</v>
      </c>
      <c r="L11" s="615">
        <v>10.701995357847663</v>
      </c>
      <c r="M11" s="615">
        <v>11.216867269707132</v>
      </c>
      <c r="N11" s="615">
        <v>13.655053442598375</v>
      </c>
      <c r="O11" s="615">
        <v>17.263407019278755</v>
      </c>
      <c r="P11" s="615">
        <v>20.009479726782768</v>
      </c>
      <c r="Q11" s="615">
        <v>23.94754196688395</v>
      </c>
      <c r="R11" s="615">
        <v>28.508670239785364</v>
      </c>
      <c r="S11" s="615">
        <v>29.892099371397627</v>
      </c>
      <c r="T11" s="615">
        <v>29.913151852526934</v>
      </c>
      <c r="U11" s="615">
        <v>35.267278164706291</v>
      </c>
      <c r="V11" s="615">
        <v>35.350443787587253</v>
      </c>
      <c r="W11" s="615">
        <v>33.424793815495782</v>
      </c>
      <c r="X11" s="615">
        <v>31.855093195964876</v>
      </c>
      <c r="Y11" s="615">
        <v>32.900540352924509</v>
      </c>
      <c r="Z11" s="615">
        <v>31.466306507118436</v>
      </c>
      <c r="AA11" s="616">
        <v>-4.3593017938946552</v>
      </c>
    </row>
    <row r="12" spans="1:27" ht="15.75" x14ac:dyDescent="0.25">
      <c r="A12" s="599" t="s">
        <v>740</v>
      </c>
      <c r="B12" s="617">
        <v>1.9996188692057892E-2</v>
      </c>
      <c r="C12" s="617">
        <v>1.7185611620423907E-2</v>
      </c>
      <c r="D12" s="617">
        <v>1.6419728205071357E-2</v>
      </c>
      <c r="E12" s="617">
        <v>1.4373865212503112E-2</v>
      </c>
      <c r="F12" s="617">
        <v>1.414829952651913E-2</v>
      </c>
      <c r="G12" s="617">
        <v>1.4364925530187159E-2</v>
      </c>
      <c r="H12" s="617">
        <v>1.2208711901464222E-2</v>
      </c>
      <c r="I12" s="617">
        <v>1.1305261760572061E-2</v>
      </c>
      <c r="J12" s="617">
        <v>1.1568698707689454E-2</v>
      </c>
      <c r="K12" s="617">
        <v>9.9295374525184502E-3</v>
      </c>
      <c r="L12" s="617">
        <v>9.9339645934630912E-3</v>
      </c>
      <c r="M12" s="617">
        <v>9.4206661489129821E-3</v>
      </c>
      <c r="N12" s="617">
        <v>9.4578420987467497E-3</v>
      </c>
      <c r="O12" s="617">
        <v>1.0044546431890742E-2</v>
      </c>
      <c r="P12" s="617">
        <v>1.2249182228872601E-2</v>
      </c>
      <c r="Q12" s="617">
        <v>1.2233107727299493E-2</v>
      </c>
      <c r="R12" s="617">
        <v>1.1464898144516115E-2</v>
      </c>
      <c r="S12" s="618">
        <v>1.2032191773207487E-2</v>
      </c>
      <c r="T12" s="618">
        <v>9.6598342473593248E-3</v>
      </c>
      <c r="U12" s="618">
        <v>1.1643863875558458E-2</v>
      </c>
      <c r="V12" s="618">
        <v>9.7216712343994836E-3</v>
      </c>
      <c r="W12" s="618">
        <v>9.4458587778041506E-3</v>
      </c>
      <c r="X12" s="618">
        <v>8.6764007666980409E-3</v>
      </c>
      <c r="Y12" s="618">
        <v>9.1636450709101785E-3</v>
      </c>
      <c r="Z12" s="618">
        <v>8.380970847132678E-3</v>
      </c>
      <c r="AA12" s="616">
        <v>-8.5410796437553582</v>
      </c>
    </row>
    <row r="13" spans="1:27" ht="15.75" x14ac:dyDescent="0.25">
      <c r="A13" s="619" t="s">
        <v>776</v>
      </c>
      <c r="B13" s="617">
        <v>8.9572230148759792E-3</v>
      </c>
      <c r="C13" s="617">
        <v>9.6574012203267095E-3</v>
      </c>
      <c r="D13" s="617">
        <v>9.0989507680176544E-3</v>
      </c>
      <c r="E13" s="617">
        <v>8.5791656242165167E-3</v>
      </c>
      <c r="F13" s="617">
        <v>8.9033494381921176E-3</v>
      </c>
      <c r="G13" s="617">
        <v>8.1741060113710157E-3</v>
      </c>
      <c r="H13" s="617">
        <v>8.4394559680302378E-3</v>
      </c>
      <c r="I13" s="617">
        <v>9.8647526007572331E-3</v>
      </c>
      <c r="J13" s="617">
        <v>7.7848833244232628E-3</v>
      </c>
      <c r="K13" s="617">
        <v>7.4695977942995937E-3</v>
      </c>
      <c r="L13" s="617">
        <v>6.1419673561734162E-3</v>
      </c>
      <c r="M13" s="617">
        <v>8.0950564656700683E-3</v>
      </c>
      <c r="N13" s="617">
        <v>1.0405381010309505E-2</v>
      </c>
      <c r="O13" s="617">
        <v>1.1750552584967506E-2</v>
      </c>
      <c r="P13" s="617">
        <v>1.4115066122692404E-2</v>
      </c>
      <c r="Q13" s="617">
        <v>1.3603764055288233E-2</v>
      </c>
      <c r="R13" s="617">
        <v>1.5706740102888347E-2</v>
      </c>
      <c r="S13" s="617">
        <v>1.5743529799027826E-2</v>
      </c>
      <c r="T13" s="617">
        <v>1.4295880352112928E-2</v>
      </c>
      <c r="U13" s="617">
        <v>1.5564413417473373E-2</v>
      </c>
      <c r="V13" s="617">
        <v>2.0113802553929968E-2</v>
      </c>
      <c r="W13" s="617">
        <v>3.112651178977642E-2</v>
      </c>
      <c r="X13" s="617">
        <v>3.4261923482131473E-2</v>
      </c>
      <c r="Y13" s="617">
        <v>3.2437975486519E-2</v>
      </c>
      <c r="Z13" s="617">
        <v>3.3248832221732916E-2</v>
      </c>
      <c r="AA13" s="616">
        <v>2.4997143719739929</v>
      </c>
    </row>
    <row r="14" spans="1:27" ht="15.75" x14ac:dyDescent="0.25">
      <c r="A14" s="599" t="s">
        <v>742</v>
      </c>
      <c r="B14" s="617">
        <v>7.1003467572121588</v>
      </c>
      <c r="C14" s="617">
        <v>8.6920983428374772</v>
      </c>
      <c r="D14" s="617">
        <v>9.7352719861768602</v>
      </c>
      <c r="E14" s="617">
        <v>10.216807932537355</v>
      </c>
      <c r="F14" s="617">
        <v>9.441806093523283</v>
      </c>
      <c r="G14" s="617">
        <v>8.374399411731277</v>
      </c>
      <c r="H14" s="617">
        <v>7.7257611469952447</v>
      </c>
      <c r="I14" s="617">
        <v>7.306535972978236</v>
      </c>
      <c r="J14" s="617">
        <v>6.659641805207265</v>
      </c>
      <c r="K14" s="617">
        <v>6.0638230805651965</v>
      </c>
      <c r="L14" s="617">
        <v>5.5498460974304376</v>
      </c>
      <c r="M14" s="617">
        <v>5.6976825161273679</v>
      </c>
      <c r="N14" s="617">
        <v>6.5536002407731466</v>
      </c>
      <c r="O14" s="617">
        <v>7.5171853572377749</v>
      </c>
      <c r="P14" s="617">
        <v>8.0810394839172464</v>
      </c>
      <c r="Q14" s="617">
        <v>8.8148793105406771</v>
      </c>
      <c r="R14" s="617">
        <v>9.3673328493658552</v>
      </c>
      <c r="S14" s="617">
        <v>9.1600567566959317</v>
      </c>
      <c r="T14" s="617">
        <v>7.847898846126899</v>
      </c>
      <c r="U14" s="617">
        <v>9.5307549780378551</v>
      </c>
      <c r="V14" s="617">
        <v>9.6389196983921899</v>
      </c>
      <c r="W14" s="617">
        <v>9.2660886465126904</v>
      </c>
      <c r="X14" s="617">
        <v>8.5504286298088239</v>
      </c>
      <c r="Y14" s="617">
        <v>9.074083720987062</v>
      </c>
      <c r="Z14" s="617">
        <v>8.3362993017486353</v>
      </c>
      <c r="AA14" s="616">
        <v>-8.130676792545307</v>
      </c>
    </row>
    <row r="15" spans="1:27" ht="15.75" x14ac:dyDescent="0.25">
      <c r="A15" s="599" t="s">
        <v>743</v>
      </c>
      <c r="B15" s="617">
        <v>5.7763584239855863</v>
      </c>
      <c r="C15" s="617">
        <v>5.7049006539524445</v>
      </c>
      <c r="D15" s="617">
        <v>5.2506999287482161</v>
      </c>
      <c r="E15" s="617">
        <v>4.4630098926434068</v>
      </c>
      <c r="F15" s="617">
        <v>4.659456869926152</v>
      </c>
      <c r="G15" s="617">
        <v>4.4712174528321649</v>
      </c>
      <c r="H15" s="617">
        <v>4.3565795543202368</v>
      </c>
      <c r="I15" s="617">
        <v>4.4093803039000239</v>
      </c>
      <c r="J15" s="617">
        <v>4.4070767630954819</v>
      </c>
      <c r="K15" s="617">
        <v>4.2784276058522357</v>
      </c>
      <c r="L15" s="617">
        <v>4.1385466186093032</v>
      </c>
      <c r="M15" s="617">
        <v>4.3942370267882742</v>
      </c>
      <c r="N15" s="617">
        <v>5.5660892247559488</v>
      </c>
      <c r="O15" s="617">
        <v>6.9587120572698602</v>
      </c>
      <c r="P15" s="617">
        <v>8.1970870960912059</v>
      </c>
      <c r="Q15" s="617">
        <v>10.031645199304482</v>
      </c>
      <c r="R15" s="617">
        <v>11.531421810570105</v>
      </c>
      <c r="S15" s="617">
        <v>12.317253037738647</v>
      </c>
      <c r="T15" s="617">
        <v>11.429067449379602</v>
      </c>
      <c r="U15" s="617">
        <v>13.63373627159844</v>
      </c>
      <c r="V15" s="617">
        <v>13.857270177513024</v>
      </c>
      <c r="W15" s="617">
        <v>13.540016027746455</v>
      </c>
      <c r="X15" s="617">
        <v>13.415506736231025</v>
      </c>
      <c r="Y15" s="617">
        <v>13.499742471692056</v>
      </c>
      <c r="Z15" s="617">
        <v>13.288013098648459</v>
      </c>
      <c r="AA15" s="616">
        <v>-1.5683956452323191</v>
      </c>
    </row>
    <row r="16" spans="1:27" ht="15.75" x14ac:dyDescent="0.25">
      <c r="A16" s="619" t="s">
        <v>744</v>
      </c>
      <c r="B16" s="617">
        <v>0.63029056276532425</v>
      </c>
      <c r="C16" s="617">
        <v>0.77034884301196627</v>
      </c>
      <c r="D16" s="617">
        <v>0.98588361159412907</v>
      </c>
      <c r="E16" s="617">
        <v>1.0760079832898926</v>
      </c>
      <c r="F16" s="617">
        <v>1.0853873581359992</v>
      </c>
      <c r="G16" s="617">
        <v>1.0107532310795302</v>
      </c>
      <c r="H16" s="617">
        <v>0.93326776911825449</v>
      </c>
      <c r="I16" s="617">
        <v>1.0088852063720832</v>
      </c>
      <c r="J16" s="617">
        <v>0.96213916137941835</v>
      </c>
      <c r="K16" s="617">
        <v>0.89358654767094614</v>
      </c>
      <c r="L16" s="617">
        <v>0.99752670985828662</v>
      </c>
      <c r="M16" s="617">
        <v>1.1074320041769077</v>
      </c>
      <c r="N16" s="617">
        <v>1.5155007539602214</v>
      </c>
      <c r="O16" s="617">
        <v>2.7657145057542629</v>
      </c>
      <c r="P16" s="617">
        <v>3.7049888984227493</v>
      </c>
      <c r="Q16" s="617">
        <v>5.0751805852562031</v>
      </c>
      <c r="R16" s="617">
        <v>7.5827439416019997</v>
      </c>
      <c r="S16" s="617">
        <v>8.3870138553908156</v>
      </c>
      <c r="T16" s="617">
        <v>10.612229842420961</v>
      </c>
      <c r="U16" s="617">
        <v>12.07557863777696</v>
      </c>
      <c r="V16" s="617">
        <v>11.824418437893707</v>
      </c>
      <c r="W16" s="617">
        <v>10.578116770669057</v>
      </c>
      <c r="X16" s="617">
        <v>9.8462195056761992</v>
      </c>
      <c r="Y16" s="617">
        <v>10.285112539687962</v>
      </c>
      <c r="Z16" s="617">
        <v>9.8003643036524757</v>
      </c>
      <c r="AA16" s="616">
        <v>-4.713105803800886</v>
      </c>
    </row>
    <row r="17" spans="1:27" ht="27" customHeight="1" x14ac:dyDescent="0.25">
      <c r="A17" s="33" t="s">
        <v>745</v>
      </c>
      <c r="B17" s="615">
        <v>1.0819714248161065</v>
      </c>
      <c r="C17" s="615">
        <v>1.1484703199259392</v>
      </c>
      <c r="D17" s="615">
        <v>1.1524833193154003</v>
      </c>
      <c r="E17" s="615">
        <v>1.134237188568292</v>
      </c>
      <c r="F17" s="615">
        <v>1.046040899822144</v>
      </c>
      <c r="G17" s="615">
        <v>0.96691703897773329</v>
      </c>
      <c r="H17" s="615">
        <v>0.92273223911894875</v>
      </c>
      <c r="I17" s="615">
        <v>0.96652694335626232</v>
      </c>
      <c r="J17" s="615">
        <v>0.97655024771951349</v>
      </c>
      <c r="K17" s="615">
        <v>0.94734610487318893</v>
      </c>
      <c r="L17" s="615">
        <v>0.95421248789431579</v>
      </c>
      <c r="M17" s="615">
        <v>1.1352874823207855</v>
      </c>
      <c r="N17" s="615">
        <v>1.5542445672330096</v>
      </c>
      <c r="O17" s="615">
        <v>1.8684771268182478</v>
      </c>
      <c r="P17" s="615">
        <v>2.1260192066831816</v>
      </c>
      <c r="Q17" s="615">
        <v>2.6186046482142857</v>
      </c>
      <c r="R17" s="615">
        <v>2.8003652549600848</v>
      </c>
      <c r="S17" s="615">
        <v>2.7675735753274857</v>
      </c>
      <c r="T17" s="615">
        <v>2.4899782169894804</v>
      </c>
      <c r="U17" s="615">
        <v>3.2535008488242152</v>
      </c>
      <c r="V17" s="615">
        <v>3.2639505479368571</v>
      </c>
      <c r="W17" s="615">
        <v>3.1316425013709774</v>
      </c>
      <c r="X17" s="615">
        <v>3.4357068104175377</v>
      </c>
      <c r="Y17" s="615">
        <v>3.2153105650618965</v>
      </c>
      <c r="Z17" s="615">
        <v>3.4175107474625479</v>
      </c>
      <c r="AA17" s="616">
        <v>6.2886672471951064</v>
      </c>
    </row>
    <row r="18" spans="1:27" ht="15.75" x14ac:dyDescent="0.25">
      <c r="A18" s="1" t="s">
        <v>746</v>
      </c>
      <c r="B18" s="617">
        <v>0.23481675259680207</v>
      </c>
      <c r="C18" s="617">
        <v>0.25230911219719698</v>
      </c>
      <c r="D18" s="617">
        <v>0.2650802434765725</v>
      </c>
      <c r="E18" s="617">
        <v>0.27173001997929636</v>
      </c>
      <c r="F18" s="617">
        <v>0.25709588084205076</v>
      </c>
      <c r="G18" s="617">
        <v>0.23489896934717661</v>
      </c>
      <c r="H18" s="617">
        <v>0.24079110099634857</v>
      </c>
      <c r="I18" s="617">
        <v>0.27486373512719875</v>
      </c>
      <c r="J18" s="617">
        <v>0.28771480416682443</v>
      </c>
      <c r="K18" s="617">
        <v>0.2879745418869637</v>
      </c>
      <c r="L18" s="617">
        <v>0.29150311156516961</v>
      </c>
      <c r="M18" s="617">
        <v>0.36676968715964975</v>
      </c>
      <c r="N18" s="617">
        <v>0.51623323663289311</v>
      </c>
      <c r="O18" s="617">
        <v>0.63298050746963475</v>
      </c>
      <c r="P18" s="617">
        <v>0.72608798523671203</v>
      </c>
      <c r="Q18" s="617">
        <v>0.94076710391917073</v>
      </c>
      <c r="R18" s="617">
        <v>1.0221476278887243</v>
      </c>
      <c r="S18" s="617">
        <v>1.0035695276303862</v>
      </c>
      <c r="T18" s="617">
        <v>0.93902692393047427</v>
      </c>
      <c r="U18" s="617">
        <v>1.1785037311853164</v>
      </c>
      <c r="V18" s="617">
        <v>1.1539288525189622</v>
      </c>
      <c r="W18" s="617">
        <v>1.1259994888943761</v>
      </c>
      <c r="X18" s="617">
        <v>1.1755865735787461</v>
      </c>
      <c r="Y18" s="617">
        <v>1.1449576096751359</v>
      </c>
      <c r="Z18" s="617">
        <v>1.177930891032138</v>
      </c>
      <c r="AA18" s="616">
        <v>2.8798691827864022</v>
      </c>
    </row>
    <row r="19" spans="1:27" ht="15.75" x14ac:dyDescent="0.25">
      <c r="A19" s="1" t="s">
        <v>747</v>
      </c>
      <c r="B19" s="617">
        <v>0.84715467221930452</v>
      </c>
      <c r="C19" s="617">
        <v>0.89616120772874219</v>
      </c>
      <c r="D19" s="617">
        <v>0.88740307583882783</v>
      </c>
      <c r="E19" s="617">
        <v>0.86250716858899557</v>
      </c>
      <c r="F19" s="617">
        <v>0.78894501898009317</v>
      </c>
      <c r="G19" s="617">
        <v>0.73201806963055671</v>
      </c>
      <c r="H19" s="617">
        <v>0.68194113812260015</v>
      </c>
      <c r="I19" s="617">
        <v>0.69166320822906358</v>
      </c>
      <c r="J19" s="617">
        <v>0.68883544355268911</v>
      </c>
      <c r="K19" s="617">
        <v>0.65937156298622523</v>
      </c>
      <c r="L19" s="617">
        <v>0.66270937632914617</v>
      </c>
      <c r="M19" s="617">
        <v>0.76851779516113583</v>
      </c>
      <c r="N19" s="617">
        <v>1.0380113306001164</v>
      </c>
      <c r="O19" s="617">
        <v>1.235496619348613</v>
      </c>
      <c r="P19" s="617">
        <v>1.3999312214464694</v>
      </c>
      <c r="Q19" s="617">
        <v>1.677837544295115</v>
      </c>
      <c r="R19" s="617">
        <v>1.7782176270713606</v>
      </c>
      <c r="S19" s="617">
        <v>1.7640040476970995</v>
      </c>
      <c r="T19" s="617">
        <v>1.5509512930590061</v>
      </c>
      <c r="U19" s="617">
        <v>2.0749971176388988</v>
      </c>
      <c r="V19" s="617">
        <v>2.110021695417895</v>
      </c>
      <c r="W19" s="617">
        <v>2.0056430124766016</v>
      </c>
      <c r="X19" s="617">
        <v>2.2601202368387914</v>
      </c>
      <c r="Y19" s="617">
        <v>2.0703529553867606</v>
      </c>
      <c r="Z19" s="617">
        <v>2.2395798564304097</v>
      </c>
      <c r="AA19" s="616">
        <v>8.1738188941815491</v>
      </c>
    </row>
    <row r="20" spans="1:27" ht="27" customHeight="1" x14ac:dyDescent="0.25">
      <c r="A20" s="33" t="s">
        <v>777</v>
      </c>
      <c r="B20" s="615">
        <v>2.1060169276618108</v>
      </c>
      <c r="C20" s="615">
        <v>1.9720869547082902</v>
      </c>
      <c r="D20" s="615">
        <v>1.7216122856492446</v>
      </c>
      <c r="E20" s="615">
        <v>1.8474932148395034</v>
      </c>
      <c r="F20" s="615">
        <v>1.8922137372036982</v>
      </c>
      <c r="G20" s="615">
        <v>1.5713004283491045</v>
      </c>
      <c r="H20" s="615">
        <v>1.473319404614952</v>
      </c>
      <c r="I20" s="615">
        <v>1.3694865879480074</v>
      </c>
      <c r="J20" s="615">
        <v>1.3793545944290326</v>
      </c>
      <c r="K20" s="615">
        <v>1.3410800962996348</v>
      </c>
      <c r="L20" s="615">
        <v>1.1599416901202289</v>
      </c>
      <c r="M20" s="615">
        <v>1.0220980901676171</v>
      </c>
      <c r="N20" s="615">
        <v>0.88005308463922916</v>
      </c>
      <c r="O20" s="615">
        <v>0.89191046176416311</v>
      </c>
      <c r="P20" s="615">
        <v>1.0265471222498621</v>
      </c>
      <c r="Q20" s="615">
        <v>1.3235742831223256</v>
      </c>
      <c r="R20" s="615">
        <v>1.4639124699148638</v>
      </c>
      <c r="S20" s="615">
        <v>1.5285120239217596</v>
      </c>
      <c r="T20" s="615">
        <v>1.0056005459947359</v>
      </c>
      <c r="U20" s="615">
        <v>1.1161955983367715</v>
      </c>
      <c r="V20" s="615">
        <v>1.2572802746419056</v>
      </c>
      <c r="W20" s="615">
        <v>1.3442170875485686</v>
      </c>
      <c r="X20" s="615">
        <v>1.3007370816074815</v>
      </c>
      <c r="Y20" s="615">
        <v>1.3586099866001611</v>
      </c>
      <c r="Z20" s="615">
        <v>1.299163737668364</v>
      </c>
      <c r="AA20" s="616">
        <v>-4.3755197973008935</v>
      </c>
    </row>
    <row r="21" spans="1:27" ht="15.75" x14ac:dyDescent="0.25">
      <c r="A21" s="1" t="s">
        <v>778</v>
      </c>
      <c r="B21" s="617">
        <v>0.21134462661538933</v>
      </c>
      <c r="C21" s="617">
        <v>0.19219749279036027</v>
      </c>
      <c r="D21" s="617">
        <v>0.15008539582838268</v>
      </c>
      <c r="E21" s="617">
        <v>0.16481028699152783</v>
      </c>
      <c r="F21" s="617">
        <v>0.17646177272257502</v>
      </c>
      <c r="G21" s="617">
        <v>0.17002511211407331</v>
      </c>
      <c r="H21" s="617">
        <v>0.17191484379320854</v>
      </c>
      <c r="I21" s="617">
        <v>0.14919298665322678</v>
      </c>
      <c r="J21" s="617">
        <v>0.13992875166155211</v>
      </c>
      <c r="K21" s="617">
        <v>0.12156052179665446</v>
      </c>
      <c r="L21" s="617">
        <v>0.10895316005733713</v>
      </c>
      <c r="M21" s="617">
        <v>0.10231939275057647</v>
      </c>
      <c r="N21" s="617">
        <v>9.471879712251384E-2</v>
      </c>
      <c r="O21" s="617">
        <v>9.4352585200776121E-2</v>
      </c>
      <c r="P21" s="617">
        <v>0.10291731810633863</v>
      </c>
      <c r="Q21" s="617">
        <v>0.12992108668923258</v>
      </c>
      <c r="R21" s="617">
        <v>0.13895865403390484</v>
      </c>
      <c r="S21" s="617">
        <v>0.14297972111345292</v>
      </c>
      <c r="T21" s="617">
        <v>9.4558482187501666E-2</v>
      </c>
      <c r="U21" s="617">
        <v>0.10082374615945995</v>
      </c>
      <c r="V21" s="617">
        <v>0.12364960120028447</v>
      </c>
      <c r="W21" s="617">
        <v>0.17135352250350516</v>
      </c>
      <c r="X21" s="617">
        <v>0.25439272778267497</v>
      </c>
      <c r="Y21" s="617">
        <v>0.19876145368479631</v>
      </c>
      <c r="Z21" s="617">
        <v>0.29987048973119118</v>
      </c>
      <c r="AA21" s="616">
        <v>50.869539426259955</v>
      </c>
    </row>
    <row r="22" spans="1:27" ht="15.75" x14ac:dyDescent="0.25">
      <c r="A22" s="1" t="s">
        <v>779</v>
      </c>
      <c r="B22" s="617">
        <v>1.8946723010464213</v>
      </c>
      <c r="C22" s="617">
        <v>1.77988946191793</v>
      </c>
      <c r="D22" s="617">
        <v>1.5715268898208621</v>
      </c>
      <c r="E22" s="617">
        <v>1.6826829278479756</v>
      </c>
      <c r="F22" s="617">
        <v>1.7157519644811232</v>
      </c>
      <c r="G22" s="617">
        <v>1.4012753162350313</v>
      </c>
      <c r="H22" s="617">
        <v>1.3014045608217435</v>
      </c>
      <c r="I22" s="617">
        <v>1.2202936012947807</v>
      </c>
      <c r="J22" s="617">
        <v>1.2394258427674805</v>
      </c>
      <c r="K22" s="617">
        <v>1.2195195745029803</v>
      </c>
      <c r="L22" s="617">
        <v>1.0509885300628918</v>
      </c>
      <c r="M22" s="617">
        <v>0.91977869741704077</v>
      </c>
      <c r="N22" s="617">
        <v>0.7853342875167153</v>
      </c>
      <c r="O22" s="617">
        <v>0.79755787656338706</v>
      </c>
      <c r="P22" s="617">
        <v>0.92362980414352347</v>
      </c>
      <c r="Q22" s="617">
        <v>1.193653196433093</v>
      </c>
      <c r="R22" s="617">
        <v>1.3249538158809588</v>
      </c>
      <c r="S22" s="617">
        <v>1.3855323028083066</v>
      </c>
      <c r="T22" s="617">
        <v>0.91104206380723429</v>
      </c>
      <c r="U22" s="617">
        <v>1.0153718521773116</v>
      </c>
      <c r="V22" s="617">
        <v>1.1336306734416213</v>
      </c>
      <c r="W22" s="617">
        <v>1.1728635650450634</v>
      </c>
      <c r="X22" s="617">
        <v>1.0463443538248065</v>
      </c>
      <c r="Y22" s="617">
        <v>1.1598485329153649</v>
      </c>
      <c r="Z22" s="617">
        <v>0.99929324793717289</v>
      </c>
      <c r="AA22" s="616">
        <v>-13.842780365003737</v>
      </c>
    </row>
    <row r="23" spans="1:27" ht="33.75" customHeight="1" x14ac:dyDescent="0.25">
      <c r="A23" s="33" t="s">
        <v>749</v>
      </c>
      <c r="B23" s="615">
        <v>65.189465893205679</v>
      </c>
      <c r="C23" s="615">
        <v>61.777844298092575</v>
      </c>
      <c r="D23" s="615">
        <v>53.683090695276746</v>
      </c>
      <c r="E23" s="615">
        <v>51.535781649097004</v>
      </c>
      <c r="F23" s="615">
        <v>49.253702398134905</v>
      </c>
      <c r="G23" s="615">
        <v>44.906202967611968</v>
      </c>
      <c r="H23" s="615">
        <v>42.685996048495944</v>
      </c>
      <c r="I23" s="615">
        <v>38.886818283598693</v>
      </c>
      <c r="J23" s="615">
        <v>38.154002843075602</v>
      </c>
      <c r="K23" s="615">
        <v>37.254241928026723</v>
      </c>
      <c r="L23" s="615">
        <v>33.842133315691939</v>
      </c>
      <c r="M23" s="615">
        <v>32.61298524826195</v>
      </c>
      <c r="N23" s="615">
        <v>30.717930580632192</v>
      </c>
      <c r="O23" s="615">
        <v>30.690162874322336</v>
      </c>
      <c r="P23" s="615">
        <v>32.503507386611055</v>
      </c>
      <c r="Q23" s="615">
        <v>34.481292845538903</v>
      </c>
      <c r="R23" s="615">
        <v>34.303605562257516</v>
      </c>
      <c r="S23" s="615">
        <v>32.679771791011063</v>
      </c>
      <c r="T23" s="615">
        <v>21.939995469824328</v>
      </c>
      <c r="U23" s="615">
        <v>25.188622181587604</v>
      </c>
      <c r="V23" s="615">
        <v>28.874939147366526</v>
      </c>
      <c r="W23" s="615">
        <v>29.556191720586916</v>
      </c>
      <c r="X23" s="615">
        <v>29.216859357531913</v>
      </c>
      <c r="Y23" s="615">
        <v>29.898666354305895</v>
      </c>
      <c r="Z23" s="615">
        <v>28.103336788083851</v>
      </c>
      <c r="AA23" s="616">
        <v>-6.0047145412674485</v>
      </c>
    </row>
    <row r="24" spans="1:27" ht="15.75" x14ac:dyDescent="0.25">
      <c r="A24" s="1" t="s">
        <v>780</v>
      </c>
      <c r="B24" s="617">
        <v>16.99960607317291</v>
      </c>
      <c r="C24" s="617">
        <v>15.58896564347198</v>
      </c>
      <c r="D24" s="617">
        <v>12.870153735191174</v>
      </c>
      <c r="E24" s="617">
        <v>12.136283357197588</v>
      </c>
      <c r="F24" s="617">
        <v>11.610042328613742</v>
      </c>
      <c r="G24" s="617">
        <v>10.81929120158135</v>
      </c>
      <c r="H24" s="617">
        <v>10.693360696537903</v>
      </c>
      <c r="I24" s="617">
        <v>9.8582794266846481</v>
      </c>
      <c r="J24" s="617">
        <v>9.4628515596733127</v>
      </c>
      <c r="K24" s="617">
        <v>8.9966996048995753</v>
      </c>
      <c r="L24" s="617">
        <v>8.1856402334253797</v>
      </c>
      <c r="M24" s="617">
        <v>7.8336815857261177</v>
      </c>
      <c r="N24" s="617">
        <v>7.2094726377433807</v>
      </c>
      <c r="O24" s="617">
        <v>6.9940681643810736</v>
      </c>
      <c r="P24" s="617">
        <v>7.1218715022775445</v>
      </c>
      <c r="Q24" s="617">
        <v>7.496513521464709</v>
      </c>
      <c r="R24" s="617">
        <v>7.1753567584995359</v>
      </c>
      <c r="S24" s="617">
        <v>6.5077888614035215</v>
      </c>
      <c r="T24" s="617">
        <v>4.5109402933231424</v>
      </c>
      <c r="U24" s="617">
        <v>4.4695947417118402</v>
      </c>
      <c r="V24" s="617">
        <v>4.6194364635483254</v>
      </c>
      <c r="W24" s="617">
        <v>4.4181717870691601</v>
      </c>
      <c r="X24" s="617">
        <v>4.0281340839800333</v>
      </c>
      <c r="Y24" s="617">
        <v>4.3907140534690061</v>
      </c>
      <c r="Z24" s="617">
        <v>3.8312200612872247</v>
      </c>
      <c r="AA24" s="616">
        <v>-12.742665210451079</v>
      </c>
    </row>
    <row r="25" spans="1:27" ht="15.75" x14ac:dyDescent="0.25">
      <c r="A25" s="609" t="s">
        <v>781</v>
      </c>
      <c r="B25" s="617">
        <v>8.357203664218499</v>
      </c>
      <c r="C25" s="617">
        <v>7.6488328621896642</v>
      </c>
      <c r="D25" s="617">
        <v>6.0818635438109183</v>
      </c>
      <c r="E25" s="617">
        <v>5.6539147278348132</v>
      </c>
      <c r="F25" s="617">
        <v>5.4551213979162014</v>
      </c>
      <c r="G25" s="617">
        <v>5.2028092085437612</v>
      </c>
      <c r="H25" s="617">
        <v>5.2297230946466415</v>
      </c>
      <c r="I25" s="617">
        <v>4.897840549129385</v>
      </c>
      <c r="J25" s="617">
        <v>4.6739172173249575</v>
      </c>
      <c r="K25" s="617">
        <v>4.4047643608538989</v>
      </c>
      <c r="L25" s="617">
        <v>4.0461500662077379</v>
      </c>
      <c r="M25" s="617">
        <v>3.7468446070839874</v>
      </c>
      <c r="N25" s="617">
        <v>3.4489363559871404</v>
      </c>
      <c r="O25" s="617">
        <v>3.3892945711559235</v>
      </c>
      <c r="P25" s="617">
        <v>3.5593117410830399</v>
      </c>
      <c r="Q25" s="618" t="s">
        <v>169</v>
      </c>
      <c r="R25" s="618" t="s">
        <v>169</v>
      </c>
      <c r="S25" s="618" t="s">
        <v>169</v>
      </c>
      <c r="T25" s="618" t="s">
        <v>169</v>
      </c>
      <c r="U25" s="618" t="s">
        <v>169</v>
      </c>
      <c r="V25" s="618" t="s">
        <v>169</v>
      </c>
      <c r="W25" s="618" t="s">
        <v>169</v>
      </c>
      <c r="X25" s="618" t="s">
        <v>169</v>
      </c>
      <c r="Y25" s="618" t="s">
        <v>169</v>
      </c>
      <c r="Z25" s="618" t="s">
        <v>169</v>
      </c>
      <c r="AA25" s="618" t="s">
        <v>169</v>
      </c>
    </row>
    <row r="26" spans="1:27" ht="15.75" x14ac:dyDescent="0.25">
      <c r="A26" s="609" t="s">
        <v>782</v>
      </c>
      <c r="B26" s="617">
        <v>8.6424024089544105</v>
      </c>
      <c r="C26" s="617">
        <v>7.9401327812823146</v>
      </c>
      <c r="D26" s="617">
        <v>6.7882901913802556</v>
      </c>
      <c r="E26" s="617">
        <v>6.4823686293627745</v>
      </c>
      <c r="F26" s="617">
        <v>6.154920930697541</v>
      </c>
      <c r="G26" s="617">
        <v>5.6164819930375893</v>
      </c>
      <c r="H26" s="617">
        <v>5.4636376018912616</v>
      </c>
      <c r="I26" s="617">
        <v>4.9604388775552621</v>
      </c>
      <c r="J26" s="617">
        <v>4.7889343423483552</v>
      </c>
      <c r="K26" s="617">
        <v>4.5919352440456755</v>
      </c>
      <c r="L26" s="617">
        <v>4.1394901672176427</v>
      </c>
      <c r="M26" s="617">
        <v>4.0868369786421308</v>
      </c>
      <c r="N26" s="617">
        <v>3.7605362817562402</v>
      </c>
      <c r="O26" s="617">
        <v>3.6047735932251501</v>
      </c>
      <c r="P26" s="617">
        <v>3.5625597611945041</v>
      </c>
      <c r="Q26" s="618" t="s">
        <v>169</v>
      </c>
      <c r="R26" s="618" t="s">
        <v>169</v>
      </c>
      <c r="S26" s="618" t="s">
        <v>169</v>
      </c>
      <c r="T26" s="618" t="s">
        <v>169</v>
      </c>
      <c r="U26" s="618" t="s">
        <v>169</v>
      </c>
      <c r="V26" s="618" t="s">
        <v>169</v>
      </c>
      <c r="W26" s="618" t="s">
        <v>169</v>
      </c>
      <c r="X26" s="618" t="s">
        <v>169</v>
      </c>
      <c r="Y26" s="618" t="s">
        <v>169</v>
      </c>
      <c r="Z26" s="618" t="s">
        <v>169</v>
      </c>
      <c r="AA26" s="618" t="s">
        <v>169</v>
      </c>
    </row>
    <row r="27" spans="1:27" ht="15.75" x14ac:dyDescent="0.25">
      <c r="A27" s="609" t="s">
        <v>783</v>
      </c>
      <c r="B27" s="618" t="s">
        <v>169</v>
      </c>
      <c r="C27" s="618" t="s">
        <v>169</v>
      </c>
      <c r="D27" s="618" t="s">
        <v>169</v>
      </c>
      <c r="E27" s="618" t="s">
        <v>169</v>
      </c>
      <c r="F27" s="618" t="s">
        <v>169</v>
      </c>
      <c r="G27" s="618" t="s">
        <v>169</v>
      </c>
      <c r="H27" s="618" t="s">
        <v>169</v>
      </c>
      <c r="I27" s="618" t="s">
        <v>169</v>
      </c>
      <c r="J27" s="618" t="s">
        <v>169</v>
      </c>
      <c r="K27" s="618" t="s">
        <v>169</v>
      </c>
      <c r="L27" s="618" t="s">
        <v>169</v>
      </c>
      <c r="M27" s="618" t="s">
        <v>169</v>
      </c>
      <c r="N27" s="618" t="s">
        <v>169</v>
      </c>
      <c r="O27" s="618" t="s">
        <v>169</v>
      </c>
      <c r="P27" s="618" t="s">
        <v>169</v>
      </c>
      <c r="Q27" s="617">
        <v>5.3074040336256951</v>
      </c>
      <c r="R27" s="617">
        <v>5.0270256439277929</v>
      </c>
      <c r="S27" s="617">
        <v>4.5550997106037565</v>
      </c>
      <c r="T27" s="617">
        <v>3.3041353463821004</v>
      </c>
      <c r="U27" s="617">
        <v>3.2181822501612136</v>
      </c>
      <c r="V27" s="617">
        <v>3.1987985891642521</v>
      </c>
      <c r="W27" s="617">
        <v>3.0369183006923302</v>
      </c>
      <c r="X27" s="617">
        <v>2.734397280263865</v>
      </c>
      <c r="Y27" s="617">
        <v>3.0088629380658114</v>
      </c>
      <c r="Z27" s="617">
        <v>2.6109636495290265</v>
      </c>
      <c r="AA27" s="616">
        <v>-13.224241074688722</v>
      </c>
    </row>
    <row r="28" spans="1:27" ht="15.75" x14ac:dyDescent="0.25">
      <c r="A28" s="609" t="s">
        <v>784</v>
      </c>
      <c r="B28" s="618" t="s">
        <v>169</v>
      </c>
      <c r="C28" s="618" t="s">
        <v>169</v>
      </c>
      <c r="D28" s="618" t="s">
        <v>169</v>
      </c>
      <c r="E28" s="618" t="s">
        <v>169</v>
      </c>
      <c r="F28" s="618" t="s">
        <v>169</v>
      </c>
      <c r="G28" s="618" t="s">
        <v>169</v>
      </c>
      <c r="H28" s="618" t="s">
        <v>169</v>
      </c>
      <c r="I28" s="618" t="s">
        <v>169</v>
      </c>
      <c r="J28" s="618" t="s">
        <v>169</v>
      </c>
      <c r="K28" s="618" t="s">
        <v>169</v>
      </c>
      <c r="L28" s="618" t="s">
        <v>169</v>
      </c>
      <c r="M28" s="618" t="s">
        <v>169</v>
      </c>
      <c r="N28" s="618" t="s">
        <v>169</v>
      </c>
      <c r="O28" s="618" t="s">
        <v>169</v>
      </c>
      <c r="P28" s="618" t="s">
        <v>169</v>
      </c>
      <c r="Q28" s="617">
        <v>2.1891094878390143</v>
      </c>
      <c r="R28" s="617">
        <v>2.1483311145717425</v>
      </c>
      <c r="S28" s="617">
        <v>1.9526891507997646</v>
      </c>
      <c r="T28" s="617">
        <v>1.2068049469410425</v>
      </c>
      <c r="U28" s="617">
        <v>1.2514124915506268</v>
      </c>
      <c r="V28" s="617">
        <v>1.4206378743840735</v>
      </c>
      <c r="W28" s="617">
        <v>1.3812534863768304</v>
      </c>
      <c r="X28" s="617">
        <v>1.2937368037161683</v>
      </c>
      <c r="Y28" s="617">
        <v>1.3818511154031943</v>
      </c>
      <c r="Z28" s="617">
        <v>1.220256411758198</v>
      </c>
      <c r="AA28" s="616">
        <v>-11.694074842342653</v>
      </c>
    </row>
    <row r="29" spans="1:27" ht="15.75" x14ac:dyDescent="0.25">
      <c r="A29" s="1" t="s">
        <v>751</v>
      </c>
      <c r="B29" s="617">
        <v>20.524435667257155</v>
      </c>
      <c r="C29" s="617">
        <v>18.725586902419547</v>
      </c>
      <c r="D29" s="617">
        <v>15.513540808832028</v>
      </c>
      <c r="E29" s="617">
        <v>14.916102345081059</v>
      </c>
      <c r="F29" s="617">
        <v>14.279236625699252</v>
      </c>
      <c r="G29" s="617">
        <v>12.167610914926389</v>
      </c>
      <c r="H29" s="617">
        <v>10.882172838881482</v>
      </c>
      <c r="I29" s="617">
        <v>9.0236593600638351</v>
      </c>
      <c r="J29" s="617">
        <v>8.1400188390555588</v>
      </c>
      <c r="K29" s="617">
        <v>7.4954900058846423</v>
      </c>
      <c r="L29" s="617">
        <v>6.8960763278839954</v>
      </c>
      <c r="M29" s="617">
        <v>6.5757486955116979</v>
      </c>
      <c r="N29" s="617">
        <v>6.1330684342080923</v>
      </c>
      <c r="O29" s="617">
        <v>6.3834398191619544</v>
      </c>
      <c r="P29" s="617">
        <v>7.0405155091664566</v>
      </c>
      <c r="Q29" s="617">
        <v>7.8305767350037643</v>
      </c>
      <c r="R29" s="617">
        <v>7.9596205265219551</v>
      </c>
      <c r="S29" s="617">
        <v>7.9086240785374713</v>
      </c>
      <c r="T29" s="617">
        <v>5.6782292691022125</v>
      </c>
      <c r="U29" s="617">
        <v>6.0689265589198689</v>
      </c>
      <c r="V29" s="617">
        <v>6.7990016312964334</v>
      </c>
      <c r="W29" s="617">
        <v>6.3055340547446113</v>
      </c>
      <c r="X29" s="617">
        <v>5.750514664210062</v>
      </c>
      <c r="Y29" s="617">
        <v>6.3078747684312031</v>
      </c>
      <c r="Z29" s="617">
        <v>5.4118582194721272</v>
      </c>
      <c r="AA29" s="616">
        <v>-14.204729514341949</v>
      </c>
    </row>
    <row r="30" spans="1:27" ht="15.75" x14ac:dyDescent="0.25">
      <c r="A30" s="609" t="s">
        <v>785</v>
      </c>
      <c r="B30" s="617">
        <v>6.0830239462667457</v>
      </c>
      <c r="C30" s="617">
        <v>5.5484051286655758</v>
      </c>
      <c r="D30" s="617">
        <v>4.5916975422504391</v>
      </c>
      <c r="E30" s="617">
        <v>4.0296115169428548</v>
      </c>
      <c r="F30" s="617">
        <v>3.6095709177260891</v>
      </c>
      <c r="G30" s="617">
        <v>3.1517202674864055</v>
      </c>
      <c r="H30" s="617">
        <v>2.7072083176924533</v>
      </c>
      <c r="I30" s="617">
        <v>2.1458845565018749</v>
      </c>
      <c r="J30" s="617">
        <v>1.9219971709009824</v>
      </c>
      <c r="K30" s="617">
        <v>1.6529358042116429</v>
      </c>
      <c r="L30" s="617">
        <v>1.4210198097674265</v>
      </c>
      <c r="M30" s="617">
        <v>1.3310535203420992</v>
      </c>
      <c r="N30" s="617">
        <v>1.3272563568630875</v>
      </c>
      <c r="O30" s="617">
        <v>1.423505460708093</v>
      </c>
      <c r="P30" s="617">
        <v>1.672695803998572</v>
      </c>
      <c r="Q30" s="617">
        <v>1.9134191006681796</v>
      </c>
      <c r="R30" s="617">
        <v>2.0370721995913046</v>
      </c>
      <c r="S30" s="617">
        <v>2.0157141102428047</v>
      </c>
      <c r="T30" s="617">
        <v>1.5780932357086546</v>
      </c>
      <c r="U30" s="617">
        <v>1.8969570545358874</v>
      </c>
      <c r="V30" s="617">
        <v>2.2620988042277337</v>
      </c>
      <c r="W30" s="617">
        <v>0</v>
      </c>
      <c r="X30" s="617">
        <v>0</v>
      </c>
      <c r="Y30" s="617">
        <v>2.2048526879311705</v>
      </c>
      <c r="Z30" s="617">
        <v>1.9927295239695928</v>
      </c>
      <c r="AA30" s="616">
        <v>-9.6207408831750314</v>
      </c>
    </row>
    <row r="31" spans="1:27" ht="15.75" x14ac:dyDescent="0.25">
      <c r="A31" s="609" t="s">
        <v>786</v>
      </c>
      <c r="B31" s="617">
        <v>12.675310902537047</v>
      </c>
      <c r="C31" s="617">
        <v>11.468278012931908</v>
      </c>
      <c r="D31" s="617">
        <v>9.465178807245973</v>
      </c>
      <c r="E31" s="617">
        <v>9.5431741053990393</v>
      </c>
      <c r="F31" s="617">
        <v>9.382133120454311</v>
      </c>
      <c r="G31" s="617">
        <v>8.0149241011087611</v>
      </c>
      <c r="H31" s="617">
        <v>7.2990446021018993</v>
      </c>
      <c r="I31" s="617">
        <v>6.1845252118277836</v>
      </c>
      <c r="J31" s="617">
        <v>5.6751256303650859</v>
      </c>
      <c r="K31" s="617">
        <v>5.3934985015825223</v>
      </c>
      <c r="L31" s="617">
        <v>5.0746358521019239</v>
      </c>
      <c r="M31" s="617">
        <v>4.8847126095881528</v>
      </c>
      <c r="N31" s="617">
        <v>4.1379901618789514</v>
      </c>
      <c r="O31" s="617">
        <v>4.1646917759553643</v>
      </c>
      <c r="P31" s="617">
        <v>4.4658203328304946</v>
      </c>
      <c r="Q31" s="617">
        <v>4.8024885088028428</v>
      </c>
      <c r="R31" s="617">
        <v>4.8129744623737887</v>
      </c>
      <c r="S31" s="617">
        <v>4.8371105603191733</v>
      </c>
      <c r="T31" s="617">
        <v>3.2568476761136136</v>
      </c>
      <c r="U31" s="617">
        <v>3.3681895427198891</v>
      </c>
      <c r="V31" s="617">
        <v>3.6607791108237668</v>
      </c>
      <c r="W31" s="617">
        <v>3.2034243877597741</v>
      </c>
      <c r="X31" s="617">
        <v>2.8550452621371551</v>
      </c>
      <c r="Y31" s="617">
        <v>3.1993903918318187</v>
      </c>
      <c r="Z31" s="617">
        <v>2.646542326928341</v>
      </c>
      <c r="AA31" s="616">
        <v>-17.279793873074151</v>
      </c>
    </row>
    <row r="32" spans="1:27" ht="15.75" x14ac:dyDescent="0.25">
      <c r="A32" s="609" t="s">
        <v>787</v>
      </c>
      <c r="B32" s="617">
        <v>1.7661008184533613</v>
      </c>
      <c r="C32" s="617">
        <v>1.7089037608220639</v>
      </c>
      <c r="D32" s="617">
        <v>1.4566644593356162</v>
      </c>
      <c r="E32" s="617">
        <v>1.3433167227391651</v>
      </c>
      <c r="F32" s="617">
        <v>1.2875325875188517</v>
      </c>
      <c r="G32" s="617">
        <v>1.0009665463312221</v>
      </c>
      <c r="H32" s="617">
        <v>0.87591991908712963</v>
      </c>
      <c r="I32" s="617">
        <v>0.69324959173417611</v>
      </c>
      <c r="J32" s="617">
        <v>0.54289603778948925</v>
      </c>
      <c r="K32" s="617">
        <v>0.44905570009047729</v>
      </c>
      <c r="L32" s="617">
        <v>0.40042066601464488</v>
      </c>
      <c r="M32" s="617">
        <v>0.35998256558144598</v>
      </c>
      <c r="N32" s="617">
        <v>0.66782191546605296</v>
      </c>
      <c r="O32" s="617">
        <v>0.79524258249849711</v>
      </c>
      <c r="P32" s="617">
        <v>0.90199937233739014</v>
      </c>
      <c r="Q32" s="617">
        <v>1.1146691255327419</v>
      </c>
      <c r="R32" s="617">
        <v>1.109573864556862</v>
      </c>
      <c r="S32" s="617">
        <v>1.0557994079754924</v>
      </c>
      <c r="T32" s="617">
        <v>0.84328835727994444</v>
      </c>
      <c r="U32" s="617">
        <v>0.80377996166409249</v>
      </c>
      <c r="V32" s="617">
        <v>0.87612371624493279</v>
      </c>
      <c r="W32" s="617">
        <v>0.88648305577283248</v>
      </c>
      <c r="X32" s="617">
        <v>0.82616425179263397</v>
      </c>
      <c r="Y32" s="617">
        <v>0.90363168866821331</v>
      </c>
      <c r="Z32" s="617">
        <v>0.77258636857419394</v>
      </c>
      <c r="AA32" s="616">
        <v>-14.502072220060814</v>
      </c>
    </row>
    <row r="33" spans="1:27" ht="15.75" x14ac:dyDescent="0.25">
      <c r="A33" s="1" t="s">
        <v>752</v>
      </c>
      <c r="B33" s="617">
        <v>2.8359064627567259</v>
      </c>
      <c r="C33" s="617">
        <v>2.6073842656942703</v>
      </c>
      <c r="D33" s="617">
        <v>2.3093742384830835</v>
      </c>
      <c r="E33" s="617">
        <v>2.3304287464360245</v>
      </c>
      <c r="F33" s="617">
        <v>2.1437473578097297</v>
      </c>
      <c r="G33" s="617">
        <v>1.8843075218049374</v>
      </c>
      <c r="H33" s="617">
        <v>1.6483967460693831</v>
      </c>
      <c r="I33" s="617">
        <v>1.6820588413346627</v>
      </c>
      <c r="J33" s="617">
        <v>1.6819330944315583</v>
      </c>
      <c r="K33" s="617">
        <v>1.8061343820504989</v>
      </c>
      <c r="L33" s="617">
        <v>1.9539823510479004</v>
      </c>
      <c r="M33" s="617">
        <v>1.7371142785130689</v>
      </c>
      <c r="N33" s="617">
        <v>1.3762827220280196</v>
      </c>
      <c r="O33" s="617">
        <v>1.4505404357665443</v>
      </c>
      <c r="P33" s="617">
        <v>1.5313378223390013</v>
      </c>
      <c r="Q33" s="617">
        <v>1.7044968098744959</v>
      </c>
      <c r="R33" s="617">
        <v>1.7658328113937034</v>
      </c>
      <c r="S33" s="617">
        <v>1.9201005525182462</v>
      </c>
      <c r="T33" s="617">
        <v>0.83733735991638802</v>
      </c>
      <c r="U33" s="617">
        <v>1.4770039409431299</v>
      </c>
      <c r="V33" s="617">
        <v>1.8804896852732973</v>
      </c>
      <c r="W33" s="617">
        <v>2.1838526679770016</v>
      </c>
      <c r="X33" s="617">
        <v>2.4832089050370731</v>
      </c>
      <c r="Y33" s="617">
        <v>2.3113966626867892</v>
      </c>
      <c r="Z33" s="617">
        <v>2.3599390111250429</v>
      </c>
      <c r="AA33" s="616">
        <v>2.1001305929821488</v>
      </c>
    </row>
    <row r="34" spans="1:27" ht="15.75" x14ac:dyDescent="0.25">
      <c r="A34" s="1" t="s">
        <v>753</v>
      </c>
      <c r="B34" s="617">
        <v>1.8669793940707919</v>
      </c>
      <c r="C34" s="617">
        <v>2.0049943592602304</v>
      </c>
      <c r="D34" s="617">
        <v>2.0042850950598221</v>
      </c>
      <c r="E34" s="617">
        <v>2.1295897266147281</v>
      </c>
      <c r="F34" s="617">
        <v>2.0630012578734211</v>
      </c>
      <c r="G34" s="617">
        <v>1.9276803292122122</v>
      </c>
      <c r="H34" s="617">
        <v>1.9153152259994375</v>
      </c>
      <c r="I34" s="617">
        <v>2.0029824009896116</v>
      </c>
      <c r="J34" s="617">
        <v>1.9726894344088548</v>
      </c>
      <c r="K34" s="617">
        <v>2.0811089508531526</v>
      </c>
      <c r="L34" s="617">
        <v>1.7319635832251796</v>
      </c>
      <c r="M34" s="617">
        <v>1.7265801002302319</v>
      </c>
      <c r="N34" s="617">
        <v>1.6376104444336512</v>
      </c>
      <c r="O34" s="617">
        <v>1.5098850783771431</v>
      </c>
      <c r="P34" s="617">
        <v>1.6392308308288592</v>
      </c>
      <c r="Q34" s="617">
        <v>1.7158047245804031</v>
      </c>
      <c r="R34" s="617">
        <v>1.6719501164837058</v>
      </c>
      <c r="S34" s="617">
        <v>1.4969402305788222</v>
      </c>
      <c r="T34" s="617">
        <v>1.304263065237699</v>
      </c>
      <c r="U34" s="617">
        <v>1.3038771845621748</v>
      </c>
      <c r="V34" s="617">
        <v>1.2936527342602624</v>
      </c>
      <c r="W34" s="617">
        <v>1.1116563922616469</v>
      </c>
      <c r="X34" s="617">
        <v>0.98429494228114767</v>
      </c>
      <c r="Y34" s="617">
        <v>1.0859251425154319</v>
      </c>
      <c r="Z34" s="617">
        <v>0.95407160021953608</v>
      </c>
      <c r="AA34" s="616">
        <v>-12.142047101927387</v>
      </c>
    </row>
    <row r="35" spans="1:27" ht="15.75" x14ac:dyDescent="0.25">
      <c r="A35" s="1" t="s">
        <v>754</v>
      </c>
      <c r="B35" s="617">
        <v>5.9373783541314697</v>
      </c>
      <c r="C35" s="617">
        <v>5.7646890926097827</v>
      </c>
      <c r="D35" s="617">
        <v>5.318005680998958</v>
      </c>
      <c r="E35" s="617">
        <v>5.5689132579001415</v>
      </c>
      <c r="F35" s="617">
        <v>5.4928626401887897</v>
      </c>
      <c r="G35" s="617">
        <v>5.3873660646780497</v>
      </c>
      <c r="H35" s="617">
        <v>5.8973042869935739</v>
      </c>
      <c r="I35" s="617">
        <v>5.6129348240718926</v>
      </c>
      <c r="J35" s="617">
        <v>5.5380573707157641</v>
      </c>
      <c r="K35" s="617">
        <v>5.5362288690510013</v>
      </c>
      <c r="L35" s="617">
        <v>5.3519323261302061</v>
      </c>
      <c r="M35" s="617">
        <v>5.6747583060051534</v>
      </c>
      <c r="N35" s="617">
        <v>5.7212574950327904</v>
      </c>
      <c r="O35" s="617">
        <v>5.8711505429094748</v>
      </c>
      <c r="P35" s="617">
        <v>6.3975630174210494</v>
      </c>
      <c r="Q35" s="617">
        <v>6.5562261472603343</v>
      </c>
      <c r="R35" s="617">
        <v>6.3850453844722077</v>
      </c>
      <c r="S35" s="617">
        <v>6.0882890372429888</v>
      </c>
      <c r="T35" s="617">
        <v>3.84552438132049</v>
      </c>
      <c r="U35" s="617">
        <v>4.6260970219236457</v>
      </c>
      <c r="V35" s="617">
        <v>5.7390377597085811</v>
      </c>
      <c r="W35" s="617">
        <v>7.3728164917987531</v>
      </c>
      <c r="X35" s="617">
        <v>8.7164798225123903</v>
      </c>
      <c r="Y35" s="617">
        <v>7.7973655118050162</v>
      </c>
      <c r="Z35" s="617">
        <v>8.5750275350487186</v>
      </c>
      <c r="AA35" s="616">
        <v>9.9733945018524732</v>
      </c>
    </row>
    <row r="36" spans="1:27" ht="15.75" x14ac:dyDescent="0.25">
      <c r="A36" s="1" t="s">
        <v>755</v>
      </c>
      <c r="B36" s="617">
        <v>17.025159941816629</v>
      </c>
      <c r="C36" s="617">
        <v>17.086224034636764</v>
      </c>
      <c r="D36" s="617">
        <v>15.66773113671168</v>
      </c>
      <c r="E36" s="617">
        <v>14.454464215867461</v>
      </c>
      <c r="F36" s="617">
        <v>13.664812187949968</v>
      </c>
      <c r="G36" s="617">
        <v>12.71994693540903</v>
      </c>
      <c r="H36" s="617">
        <v>11.649446254014165</v>
      </c>
      <c r="I36" s="617">
        <v>10.706903430454041</v>
      </c>
      <c r="J36" s="617">
        <v>11.358452544790554</v>
      </c>
      <c r="K36" s="617">
        <v>11.338580115287854</v>
      </c>
      <c r="L36" s="617">
        <v>9.7225384939792789</v>
      </c>
      <c r="M36" s="617">
        <v>9.0651022822756797</v>
      </c>
      <c r="N36" s="617">
        <v>8.640238847186259</v>
      </c>
      <c r="O36" s="617">
        <v>8.481078833726146</v>
      </c>
      <c r="P36" s="617">
        <v>8.7729887045781449</v>
      </c>
      <c r="Q36" s="617">
        <v>9.1776749073551969</v>
      </c>
      <c r="R36" s="617">
        <v>9.3457999648864067</v>
      </c>
      <c r="S36" s="617">
        <v>8.7580290307300146</v>
      </c>
      <c r="T36" s="617">
        <v>5.763701100924397</v>
      </c>
      <c r="U36" s="617">
        <v>7.2431227335269446</v>
      </c>
      <c r="V36" s="617">
        <v>8.5433208732796242</v>
      </c>
      <c r="W36" s="617">
        <v>8.1641603267357414</v>
      </c>
      <c r="X36" s="617">
        <v>7.2542269395112067</v>
      </c>
      <c r="Y36" s="617">
        <v>8.0053902153984495</v>
      </c>
      <c r="Z36" s="617">
        <v>6.9712203609312011</v>
      </c>
      <c r="AA36" s="616">
        <v>-12.918419048180965</v>
      </c>
    </row>
    <row r="37" spans="1:27" ht="33" customHeight="1" x14ac:dyDescent="0.25">
      <c r="A37" s="33" t="s">
        <v>756</v>
      </c>
      <c r="B37" s="615">
        <v>21.284806498581798</v>
      </c>
      <c r="C37" s="615">
        <v>23.001192175763638</v>
      </c>
      <c r="D37" s="615">
        <v>22.463190771628483</v>
      </c>
      <c r="E37" s="615">
        <v>22.084728968542347</v>
      </c>
      <c r="F37" s="615">
        <v>21.971879862719685</v>
      </c>
      <c r="G37" s="615">
        <v>19.09215375904893</v>
      </c>
      <c r="H37" s="615">
        <v>17.105563730652868</v>
      </c>
      <c r="I37" s="615">
        <v>14.599195648860029</v>
      </c>
      <c r="J37" s="615">
        <v>12.584064745752139</v>
      </c>
      <c r="K37" s="615">
        <v>11.240451865418029</v>
      </c>
      <c r="L37" s="615">
        <v>9.4303588758647336</v>
      </c>
      <c r="M37" s="615">
        <v>8.9436587604948521</v>
      </c>
      <c r="N37" s="615">
        <v>8.830694168410373</v>
      </c>
      <c r="O37" s="615">
        <v>9.4148212626927936</v>
      </c>
      <c r="P37" s="615">
        <v>9.7628055568441088</v>
      </c>
      <c r="Q37" s="615">
        <v>10.125603690588109</v>
      </c>
      <c r="R37" s="615">
        <v>9.7652482889789418</v>
      </c>
      <c r="S37" s="615">
        <v>9.4983308130128243</v>
      </c>
      <c r="T37" s="615">
        <v>7.9463853237413371</v>
      </c>
      <c r="U37" s="615">
        <v>8.9952886772981202</v>
      </c>
      <c r="V37" s="615">
        <v>8.8900995908115057</v>
      </c>
      <c r="W37" s="615">
        <v>8.2397105961518857</v>
      </c>
      <c r="X37" s="615">
        <v>7.6130322628840323</v>
      </c>
      <c r="Y37" s="615">
        <v>8.062995013217396</v>
      </c>
      <c r="Z37" s="615">
        <v>7.4387911650070455</v>
      </c>
      <c r="AA37" s="616">
        <v>-7.7415879234343326</v>
      </c>
    </row>
    <row r="38" spans="1:27" ht="15.75" x14ac:dyDescent="0.25">
      <c r="A38" s="1" t="s">
        <v>788</v>
      </c>
      <c r="B38" s="617">
        <v>1.0227658995578646</v>
      </c>
      <c r="C38" s="617">
        <v>1.093985847686852</v>
      </c>
      <c r="D38" s="617">
        <v>0.91496476246876901</v>
      </c>
      <c r="E38" s="617">
        <v>0.86038119114264366</v>
      </c>
      <c r="F38" s="617">
        <v>0.80447455091421438</v>
      </c>
      <c r="G38" s="617">
        <v>0.72894119525892953</v>
      </c>
      <c r="H38" s="617">
        <v>0.6403506165546603</v>
      </c>
      <c r="I38" s="617">
        <v>0.59407327122489961</v>
      </c>
      <c r="J38" s="617">
        <v>0.52712712296257613</v>
      </c>
      <c r="K38" s="617">
        <v>0.48873793837269386</v>
      </c>
      <c r="L38" s="617">
        <v>0.34368312988674726</v>
      </c>
      <c r="M38" s="617">
        <v>0.32843305512026461</v>
      </c>
      <c r="N38" s="617">
        <v>0.34355304350902155</v>
      </c>
      <c r="O38" s="617">
        <v>0.38372952685990919</v>
      </c>
      <c r="P38" s="617">
        <v>0.41735330762041667</v>
      </c>
      <c r="Q38" s="617">
        <v>0.46084892387801368</v>
      </c>
      <c r="R38" s="617">
        <v>0.45542732094427013</v>
      </c>
      <c r="S38" s="617">
        <v>0.44341168696616046</v>
      </c>
      <c r="T38" s="617">
        <v>0.39153516648328152</v>
      </c>
      <c r="U38" s="617">
        <v>0.41694118926656509</v>
      </c>
      <c r="V38" s="617">
        <v>0.46625470470222491</v>
      </c>
      <c r="W38" s="617">
        <v>0.39207784290716774</v>
      </c>
      <c r="X38" s="617">
        <v>0.37898452818628209</v>
      </c>
      <c r="Y38" s="617">
        <v>0.37416557292254438</v>
      </c>
      <c r="Z38" s="617">
        <v>0.39953608899439058</v>
      </c>
      <c r="AA38" s="616">
        <v>6.7805586370978412</v>
      </c>
    </row>
    <row r="39" spans="1:27" ht="15.75" x14ac:dyDescent="0.25">
      <c r="A39" s="1" t="s">
        <v>789</v>
      </c>
      <c r="B39" s="617">
        <v>20.262040599023933</v>
      </c>
      <c r="C39" s="617">
        <v>21.907206328076786</v>
      </c>
      <c r="D39" s="617">
        <v>21.548226009159713</v>
      </c>
      <c r="E39" s="617">
        <v>21.224347777399704</v>
      </c>
      <c r="F39" s="617">
        <v>21.167405311805471</v>
      </c>
      <c r="G39" s="617">
        <v>18.36321256379</v>
      </c>
      <c r="H39" s="617">
        <v>16.465213114098209</v>
      </c>
      <c r="I39" s="617">
        <v>14.005122377635129</v>
      </c>
      <c r="J39" s="617">
        <v>12.056937622789562</v>
      </c>
      <c r="K39" s="617">
        <v>10.751713927045335</v>
      </c>
      <c r="L39" s="617">
        <v>9.0866757459779848</v>
      </c>
      <c r="M39" s="617">
        <v>8.6152257053745878</v>
      </c>
      <c r="N39" s="617">
        <v>8.4871411249013509</v>
      </c>
      <c r="O39" s="617">
        <v>9.0310917358328844</v>
      </c>
      <c r="P39" s="617">
        <v>9.3454522492236922</v>
      </c>
      <c r="Q39" s="617">
        <v>9.6647547667100948</v>
      </c>
      <c r="R39" s="617">
        <v>9.3098209680346713</v>
      </c>
      <c r="S39" s="617">
        <v>9.0549191260466646</v>
      </c>
      <c r="T39" s="617">
        <v>7.5548501572580555</v>
      </c>
      <c r="U39" s="617">
        <v>8.5783474880315538</v>
      </c>
      <c r="V39" s="617">
        <v>8.4238448861092809</v>
      </c>
      <c r="W39" s="617">
        <v>7.847632753244719</v>
      </c>
      <c r="X39" s="617">
        <v>7.2340477346977501</v>
      </c>
      <c r="Y39" s="617">
        <v>7.6888294402948514</v>
      </c>
      <c r="Z39" s="617">
        <v>7.0392550760126547</v>
      </c>
      <c r="AA39" s="616">
        <v>-8.4482868208517168</v>
      </c>
    </row>
    <row r="40" spans="1:27" ht="31.5" customHeight="1" x14ac:dyDescent="0.25">
      <c r="A40" s="33" t="s">
        <v>599</v>
      </c>
      <c r="B40" s="615">
        <v>7.406821293927969</v>
      </c>
      <c r="C40" s="615">
        <v>7.9957769020931337</v>
      </c>
      <c r="D40" s="615">
        <v>8.5848884247310018</v>
      </c>
      <c r="E40" s="615">
        <v>9.6977119703931489</v>
      </c>
      <c r="F40" s="615">
        <v>9.9702394812479316</v>
      </c>
      <c r="G40" s="615">
        <v>10.05833939162483</v>
      </c>
      <c r="H40" s="615">
        <v>9.9131982647743069</v>
      </c>
      <c r="I40" s="615">
        <v>9.201917810017628</v>
      </c>
      <c r="J40" s="615">
        <v>8.6960767609772702</v>
      </c>
      <c r="K40" s="615">
        <v>8.0554225482342545</v>
      </c>
      <c r="L40" s="615">
        <v>7.1677115102622393</v>
      </c>
      <c r="M40" s="615">
        <v>7.0465699054080284</v>
      </c>
      <c r="N40" s="615">
        <v>7.0847484417547131</v>
      </c>
      <c r="O40" s="615">
        <v>7.7401673247353289</v>
      </c>
      <c r="P40" s="615">
        <v>9.2366435754896461</v>
      </c>
      <c r="Q40" s="615">
        <v>11.291895160073727</v>
      </c>
      <c r="R40" s="615">
        <v>12.869816643740846</v>
      </c>
      <c r="S40" s="615">
        <v>13.53804599374787</v>
      </c>
      <c r="T40" s="615">
        <v>14.340706703358528</v>
      </c>
      <c r="U40" s="615">
        <v>15.848661672458647</v>
      </c>
      <c r="V40" s="615">
        <v>15.870075160586923</v>
      </c>
      <c r="W40" s="615">
        <v>13.974608535556886</v>
      </c>
      <c r="X40" s="615">
        <v>13.788082559305542</v>
      </c>
      <c r="Y40" s="615">
        <v>13.635786079221239</v>
      </c>
      <c r="Z40" s="615">
        <v>13.820851926657379</v>
      </c>
      <c r="AA40" s="616">
        <v>1.3572070312701034</v>
      </c>
    </row>
    <row r="41" spans="1:27" ht="31.5" customHeight="1" x14ac:dyDescent="0.25">
      <c r="A41" s="33" t="s">
        <v>757</v>
      </c>
      <c r="B41" s="615">
        <v>2.737205122584276</v>
      </c>
      <c r="C41" s="615">
        <v>2.7282348553746187</v>
      </c>
      <c r="D41" s="615">
        <v>2.7587602560403131</v>
      </c>
      <c r="E41" s="615">
        <v>3.3578967136941658</v>
      </c>
      <c r="F41" s="615">
        <v>3.6254177598079025</v>
      </c>
      <c r="G41" s="615">
        <v>4.2615266108669942</v>
      </c>
      <c r="H41" s="615">
        <v>4.4778025024623354</v>
      </c>
      <c r="I41" s="615">
        <v>4.2957077203267877</v>
      </c>
      <c r="J41" s="615">
        <v>4.2169083574216639</v>
      </c>
      <c r="K41" s="615">
        <v>4.1136475602794293</v>
      </c>
      <c r="L41" s="615">
        <v>3.7030366260467802</v>
      </c>
      <c r="M41" s="615">
        <v>3.5034273196490351</v>
      </c>
      <c r="N41" s="615">
        <v>2.9950827643654621</v>
      </c>
      <c r="O41" s="615">
        <v>2.6064466456063107</v>
      </c>
      <c r="P41" s="615">
        <v>2.4052971061609325</v>
      </c>
      <c r="Q41" s="615">
        <v>2.3732914319125014</v>
      </c>
      <c r="R41" s="615">
        <v>2.6298909076611654</v>
      </c>
      <c r="S41" s="615">
        <v>3.1165918704953843</v>
      </c>
      <c r="T41" s="615">
        <v>3.559168457191964</v>
      </c>
      <c r="U41" s="615">
        <v>3.0207918352418837</v>
      </c>
      <c r="V41" s="615">
        <v>3.0142041662255599</v>
      </c>
      <c r="W41" s="615">
        <v>3.0325190870260417</v>
      </c>
      <c r="X41" s="615">
        <v>3.3631569820369092</v>
      </c>
      <c r="Y41" s="615">
        <v>3.0371507119803605</v>
      </c>
      <c r="Z41" s="615">
        <v>3.5076142738094238</v>
      </c>
      <c r="AA41" s="616">
        <v>15.490293582510423</v>
      </c>
    </row>
    <row r="42" spans="1:27" ht="15.75" x14ac:dyDescent="0.25">
      <c r="A42" s="609" t="s">
        <v>790</v>
      </c>
      <c r="B42" s="617">
        <v>0.42847611586085843</v>
      </c>
      <c r="C42" s="617">
        <v>0.46819385286261062</v>
      </c>
      <c r="D42" s="617">
        <v>0.45759588165976517</v>
      </c>
      <c r="E42" s="617">
        <v>0.47554164543354532</v>
      </c>
      <c r="F42" s="617">
        <v>0.49556378948427826</v>
      </c>
      <c r="G42" s="617">
        <v>0.52497778811805274</v>
      </c>
      <c r="H42" s="617">
        <v>0.5494839686374372</v>
      </c>
      <c r="I42" s="617">
        <v>0.60579792172820257</v>
      </c>
      <c r="J42" s="617">
        <v>0.58542322599662944</v>
      </c>
      <c r="K42" s="617">
        <v>0.56230270318818776</v>
      </c>
      <c r="L42" s="617">
        <v>0.52956220572966506</v>
      </c>
      <c r="M42" s="617">
        <v>0.51871990645084098</v>
      </c>
      <c r="N42" s="617">
        <v>0.48022675799350845</v>
      </c>
      <c r="O42" s="617">
        <v>0.45395431075288539</v>
      </c>
      <c r="P42" s="617">
        <v>0.44814039186844346</v>
      </c>
      <c r="Q42" s="617">
        <v>0.46496089286197995</v>
      </c>
      <c r="R42" s="617">
        <v>0.51919123439883752</v>
      </c>
      <c r="S42" s="617">
        <v>0.58752684026102875</v>
      </c>
      <c r="T42" s="617">
        <v>0.72354350098152687</v>
      </c>
      <c r="U42" s="617">
        <v>0.66262335176227183</v>
      </c>
      <c r="V42" s="617">
        <v>0.73505891433337067</v>
      </c>
      <c r="W42" s="617">
        <v>0.86818896724358785</v>
      </c>
      <c r="X42" s="617">
        <v>1.094376777008629</v>
      </c>
      <c r="Y42" s="617">
        <v>0.87290359622934599</v>
      </c>
      <c r="Z42" s="617">
        <v>1.1822993507401027</v>
      </c>
      <c r="AA42" s="616">
        <v>35.444435771286059</v>
      </c>
    </row>
    <row r="43" spans="1:27" ht="15.75" x14ac:dyDescent="0.25">
      <c r="A43" s="609" t="s">
        <v>791</v>
      </c>
      <c r="B43" s="617">
        <v>2.3087290067234174</v>
      </c>
      <c r="C43" s="617">
        <v>2.2600410025120081</v>
      </c>
      <c r="D43" s="617">
        <v>2.3011643743805479</v>
      </c>
      <c r="E43" s="617">
        <v>2.8823550682606207</v>
      </c>
      <c r="F43" s="617">
        <v>3.1298539703236243</v>
      </c>
      <c r="G43" s="617">
        <v>3.736548822748941</v>
      </c>
      <c r="H43" s="617">
        <v>3.928318533824898</v>
      </c>
      <c r="I43" s="617">
        <v>3.6899097985985851</v>
      </c>
      <c r="J43" s="617">
        <v>3.631485131425034</v>
      </c>
      <c r="K43" s="617">
        <v>3.5513448570912418</v>
      </c>
      <c r="L43" s="617">
        <v>3.173474420317115</v>
      </c>
      <c r="M43" s="617">
        <v>2.9847074131981941</v>
      </c>
      <c r="N43" s="617">
        <v>2.5148560063719536</v>
      </c>
      <c r="O43" s="617">
        <v>2.1524923348534255</v>
      </c>
      <c r="P43" s="617">
        <v>1.9571567142924893</v>
      </c>
      <c r="Q43" s="617">
        <v>1.9083305390505214</v>
      </c>
      <c r="R43" s="617">
        <v>2.110699673262328</v>
      </c>
      <c r="S43" s="617">
        <v>2.529065030234356</v>
      </c>
      <c r="T43" s="617">
        <v>2.8356249562104372</v>
      </c>
      <c r="U43" s="617">
        <v>2.3581684834796119</v>
      </c>
      <c r="V43" s="617">
        <v>2.2791452518921891</v>
      </c>
      <c r="W43" s="617">
        <v>2.1643301197824538</v>
      </c>
      <c r="X43" s="617">
        <v>2.2687802050282802</v>
      </c>
      <c r="Y43" s="617">
        <v>2.1642471157510141</v>
      </c>
      <c r="Z43" s="617">
        <v>2.3253149230693211</v>
      </c>
      <c r="AA43" s="616">
        <v>7.442209632443701</v>
      </c>
    </row>
    <row r="44" spans="1:27" ht="24.75" customHeight="1" x14ac:dyDescent="0.25">
      <c r="A44" s="33" t="s">
        <v>758</v>
      </c>
      <c r="B44" s="615">
        <v>0.69478638818373828</v>
      </c>
      <c r="C44" s="615">
        <v>0.74181388389442615</v>
      </c>
      <c r="D44" s="615">
        <v>0.76811412876373564</v>
      </c>
      <c r="E44" s="615">
        <v>0.74712115373522392</v>
      </c>
      <c r="F44" s="615">
        <v>0.72677089533519179</v>
      </c>
      <c r="G44" s="615">
        <v>0.68727364352749631</v>
      </c>
      <c r="H44" s="615">
        <v>0.65570343950303778</v>
      </c>
      <c r="I44" s="615">
        <v>0.52438180275892143</v>
      </c>
      <c r="J44" s="615">
        <v>0.47663400763277036</v>
      </c>
      <c r="K44" s="615">
        <v>0.42533613594079034</v>
      </c>
      <c r="L44" s="615">
        <v>0.35445382626496441</v>
      </c>
      <c r="M44" s="615">
        <v>0.36450731330024849</v>
      </c>
      <c r="N44" s="615">
        <v>0.38410419952053126</v>
      </c>
      <c r="O44" s="615">
        <v>0.44974152004834889</v>
      </c>
      <c r="P44" s="615">
        <v>0.54107177580230204</v>
      </c>
      <c r="Q44" s="615">
        <v>0.66917155252820215</v>
      </c>
      <c r="R44" s="615">
        <v>0.79204899603437184</v>
      </c>
      <c r="S44" s="615">
        <v>0.8081057249371818</v>
      </c>
      <c r="T44" s="615">
        <v>0.75353450469191463</v>
      </c>
      <c r="U44" s="615">
        <v>0.82634415452120802</v>
      </c>
      <c r="V44" s="615">
        <v>0.96546252258863841</v>
      </c>
      <c r="W44" s="615">
        <v>0.9654032888654176</v>
      </c>
      <c r="X44" s="615">
        <v>0.94406799327191138</v>
      </c>
      <c r="Y44" s="615">
        <v>0.95667126475799225</v>
      </c>
      <c r="Z44" s="615">
        <v>0.9472923979319906</v>
      </c>
      <c r="AA44" s="616">
        <v>-0.98036464264181711</v>
      </c>
    </row>
    <row r="45" spans="1:27" ht="20.25" customHeight="1" x14ac:dyDescent="0.25">
      <c r="A45" s="33" t="s">
        <v>759</v>
      </c>
      <c r="B45" s="615">
        <v>2.4735877467328193</v>
      </c>
      <c r="C45" s="615">
        <v>3.0070637996630674</v>
      </c>
      <c r="D45" s="615">
        <v>3.6295922697735619</v>
      </c>
      <c r="E45" s="615">
        <v>4.1876299644818786</v>
      </c>
      <c r="F45" s="615">
        <v>4.4173492272368655</v>
      </c>
      <c r="G45" s="615">
        <v>4.0477579835900279</v>
      </c>
      <c r="H45" s="615">
        <v>3.7561830506599767</v>
      </c>
      <c r="I45" s="615">
        <v>3.4326786249592462</v>
      </c>
      <c r="J45" s="615">
        <v>3.1335241643593088</v>
      </c>
      <c r="K45" s="615">
        <v>2.708770634741462</v>
      </c>
      <c r="L45" s="615">
        <v>2.3536196936895841</v>
      </c>
      <c r="M45" s="615">
        <v>2.3754925523713037</v>
      </c>
      <c r="N45" s="615">
        <v>2.7937833867090189</v>
      </c>
      <c r="O45" s="615">
        <v>3.5729861724545562</v>
      </c>
      <c r="P45" s="615">
        <v>4.9165522301070217</v>
      </c>
      <c r="Q45" s="615">
        <v>6.6248274964761711</v>
      </c>
      <c r="R45" s="615">
        <v>7.6550085744831851</v>
      </c>
      <c r="S45" s="615">
        <v>7.8049099748022179</v>
      </c>
      <c r="T45" s="615">
        <v>8.1475560079886993</v>
      </c>
      <c r="U45" s="615">
        <v>10.081465990730273</v>
      </c>
      <c r="V45" s="615">
        <v>9.8965272246016482</v>
      </c>
      <c r="W45" s="615">
        <v>8.0744993719748965</v>
      </c>
      <c r="X45" s="615">
        <v>7.4497253105744772</v>
      </c>
      <c r="Y45" s="615">
        <v>7.7415037986462973</v>
      </c>
      <c r="Z45" s="615">
        <v>7.3231078801479752</v>
      </c>
      <c r="AA45" s="616">
        <v>-5.4045819698684907</v>
      </c>
    </row>
    <row r="46" spans="1:27" ht="18.75" customHeight="1" x14ac:dyDescent="0.25">
      <c r="A46" s="33" t="s">
        <v>792</v>
      </c>
      <c r="B46" s="615">
        <v>1.5012420364271353</v>
      </c>
      <c r="C46" s="615">
        <v>1.5186643631610219</v>
      </c>
      <c r="D46" s="615">
        <v>1.428421770153391</v>
      </c>
      <c r="E46" s="615">
        <v>1.4050641384818814</v>
      </c>
      <c r="F46" s="615">
        <v>1.2007015988679717</v>
      </c>
      <c r="G46" s="615">
        <v>1.0617811536403112</v>
      </c>
      <c r="H46" s="615">
        <v>1.0235092721489569</v>
      </c>
      <c r="I46" s="615">
        <v>0.94914966197267336</v>
      </c>
      <c r="J46" s="615">
        <v>0.86901023156352708</v>
      </c>
      <c r="K46" s="615">
        <v>0.80766821727257221</v>
      </c>
      <c r="L46" s="615">
        <v>0.75660136426091018</v>
      </c>
      <c r="M46" s="615">
        <v>0.80314272008744081</v>
      </c>
      <c r="N46" s="615">
        <v>0.91177809115970065</v>
      </c>
      <c r="O46" s="615">
        <v>1.1109929866261128</v>
      </c>
      <c r="P46" s="615">
        <v>1.3737224634193894</v>
      </c>
      <c r="Q46" s="615">
        <v>1.6246046791568525</v>
      </c>
      <c r="R46" s="615">
        <v>1.7928681655621241</v>
      </c>
      <c r="S46" s="615">
        <v>1.8084384235130855</v>
      </c>
      <c r="T46" s="615">
        <v>1.8804477334859486</v>
      </c>
      <c r="U46" s="615">
        <v>1.9200596919652828</v>
      </c>
      <c r="V46" s="615">
        <v>1.9938812471710776</v>
      </c>
      <c r="W46" s="615">
        <v>1.9021867876905287</v>
      </c>
      <c r="X46" s="615">
        <v>2.0311322734222439</v>
      </c>
      <c r="Y46" s="615">
        <v>1.900460303836589</v>
      </c>
      <c r="Z46" s="615">
        <v>2.0428373747679904</v>
      </c>
      <c r="AA46" s="616">
        <v>7.4917150673431632</v>
      </c>
    </row>
    <row r="47" spans="1:27" ht="43.5" customHeight="1" x14ac:dyDescent="0.25">
      <c r="A47" s="620" t="s">
        <v>761</v>
      </c>
      <c r="B47" s="621">
        <v>110.60503119386337</v>
      </c>
      <c r="C47" s="621">
        <v>111.08956150322622</v>
      </c>
      <c r="D47" s="621">
        <v>103.60263970209317</v>
      </c>
      <c r="E47" s="621">
        <v>102.07873183074767</v>
      </c>
      <c r="F47" s="621">
        <v>99.343778349678502</v>
      </c>
      <c r="G47" s="621">
        <v>90.473822712797102</v>
      </c>
      <c r="H47" s="621">
        <v>85.137066325960248</v>
      </c>
      <c r="I47" s="621">
        <v>77.769916771392289</v>
      </c>
      <c r="J47" s="621">
        <v>73.83826050366784</v>
      </c>
      <c r="K47" s="621">
        <v>70.091778912187024</v>
      </c>
      <c r="L47" s="621">
        <v>63.256353237681118</v>
      </c>
      <c r="M47" s="621">
        <v>61.977466756360364</v>
      </c>
      <c r="N47" s="621">
        <v>62.722724285267894</v>
      </c>
      <c r="O47" s="621">
        <v>67.868946069611624</v>
      </c>
      <c r="P47" s="621">
        <v>74.665002574660619</v>
      </c>
      <c r="Q47" s="621">
        <v>83.788512594421306</v>
      </c>
      <c r="R47" s="621">
        <v>89.71161845963762</v>
      </c>
      <c r="S47" s="621">
        <v>89.904333568418636</v>
      </c>
      <c r="T47" s="621">
        <v>77.635818112435345</v>
      </c>
      <c r="U47" s="621">
        <v>89.669547143211645</v>
      </c>
      <c r="V47" s="621">
        <v>93.506788508930967</v>
      </c>
      <c r="W47" s="621">
        <v>89.671164256711023</v>
      </c>
      <c r="X47" s="621">
        <v>87.209511267711378</v>
      </c>
      <c r="Y47" s="621">
        <v>89.071908351331103</v>
      </c>
      <c r="Z47" s="621">
        <v>85.545960871997622</v>
      </c>
      <c r="AA47" s="616">
        <v>-3.9585404024643749</v>
      </c>
    </row>
    <row r="48" spans="1:27" ht="25.5" customHeight="1" x14ac:dyDescent="0.25">
      <c r="A48" s="622" t="s">
        <v>793</v>
      </c>
      <c r="B48" s="615">
        <v>3.5080801600031228</v>
      </c>
      <c r="C48" s="615">
        <v>3.2357997277791517</v>
      </c>
      <c r="D48" s="615">
        <v>3.0406763959483527</v>
      </c>
      <c r="E48" s="615">
        <v>2.4360503162043394</v>
      </c>
      <c r="F48" s="615">
        <v>1.9632352143783756</v>
      </c>
      <c r="G48" s="615">
        <v>1.318551880568934</v>
      </c>
      <c r="H48" s="615">
        <v>1.3296096271724152</v>
      </c>
      <c r="I48" s="615">
        <v>1.3358260827705621</v>
      </c>
      <c r="J48" s="615">
        <v>1.3114993788477805</v>
      </c>
      <c r="K48" s="615">
        <v>8.5541798028791103</v>
      </c>
      <c r="L48" s="615">
        <v>9.0866045347622624</v>
      </c>
      <c r="M48" s="615">
        <v>9.2247940621170095</v>
      </c>
      <c r="N48" s="615">
        <v>10.406556660440517</v>
      </c>
      <c r="O48" s="615">
        <v>10.778337976426371</v>
      </c>
      <c r="P48" s="615">
        <v>11.270664340185878</v>
      </c>
      <c r="Q48" s="615">
        <v>10.937117902777942</v>
      </c>
      <c r="R48" s="615">
        <v>11.812780291632256</v>
      </c>
      <c r="S48" s="615">
        <v>13.125884111894095</v>
      </c>
      <c r="T48" s="615">
        <v>13.96486666023352</v>
      </c>
      <c r="U48" s="615">
        <v>17.035645905657375</v>
      </c>
      <c r="V48" s="615">
        <v>19.419038290712969</v>
      </c>
      <c r="W48" s="615">
        <v>20.841830871051943</v>
      </c>
      <c r="X48" s="615">
        <v>21.055948537900761</v>
      </c>
      <c r="Y48" s="615">
        <v>21.536126392429978</v>
      </c>
      <c r="Z48" s="615">
        <v>21.108494385768839</v>
      </c>
      <c r="AA48" s="616">
        <v>-1.985649595794778</v>
      </c>
    </row>
    <row r="49" spans="1:27" ht="15.75" x14ac:dyDescent="0.25">
      <c r="A49" s="623" t="s">
        <v>696</v>
      </c>
      <c r="B49" s="618" t="s">
        <v>169</v>
      </c>
      <c r="C49" s="618" t="s">
        <v>169</v>
      </c>
      <c r="D49" s="618" t="s">
        <v>169</v>
      </c>
      <c r="E49" s="618" t="s">
        <v>169</v>
      </c>
      <c r="F49" s="618" t="s">
        <v>169</v>
      </c>
      <c r="G49" s="618" t="s">
        <v>169</v>
      </c>
      <c r="H49" s="618" t="s">
        <v>169</v>
      </c>
      <c r="I49" s="618" t="s">
        <v>169</v>
      </c>
      <c r="J49" s="618" t="s">
        <v>169</v>
      </c>
      <c r="K49" s="617">
        <v>2.1443850629375563</v>
      </c>
      <c r="L49" s="617">
        <v>3.2025642019402669</v>
      </c>
      <c r="M49" s="617">
        <v>3.7334117622937928</v>
      </c>
      <c r="N49" s="617">
        <v>4.0414815690345973</v>
      </c>
      <c r="O49" s="617">
        <v>3.8409161796178672</v>
      </c>
      <c r="P49" s="617">
        <v>4.5255113407300076</v>
      </c>
      <c r="Q49" s="617">
        <v>4.7464629313963034</v>
      </c>
      <c r="R49" s="617">
        <v>5.2995086243461218</v>
      </c>
      <c r="S49" s="617">
        <v>5.7322378412499049</v>
      </c>
      <c r="T49" s="617">
        <v>7.2236173068355143</v>
      </c>
      <c r="U49" s="617">
        <v>6.4553446714953022</v>
      </c>
      <c r="V49" s="617">
        <v>5.47553018474997</v>
      </c>
      <c r="W49" s="617">
        <v>5.8574450914221341</v>
      </c>
      <c r="X49" s="617">
        <v>5.8273533952424108</v>
      </c>
      <c r="Y49" s="617">
        <v>6.0207306220697294</v>
      </c>
      <c r="Z49" s="617">
        <v>5.8169276907632739</v>
      </c>
      <c r="AA49" s="616">
        <v>-3.3850199269734942</v>
      </c>
    </row>
    <row r="50" spans="1:27" ht="15.75" x14ac:dyDescent="0.25">
      <c r="A50" s="624" t="s">
        <v>697</v>
      </c>
      <c r="B50" s="618" t="s">
        <v>169</v>
      </c>
      <c r="C50" s="618" t="s">
        <v>169</v>
      </c>
      <c r="D50" s="618" t="s">
        <v>169</v>
      </c>
      <c r="E50" s="618" t="s">
        <v>169</v>
      </c>
      <c r="F50" s="618" t="s">
        <v>169</v>
      </c>
      <c r="G50" s="618" t="s">
        <v>169</v>
      </c>
      <c r="H50" s="618" t="s">
        <v>169</v>
      </c>
      <c r="I50" s="618" t="s">
        <v>169</v>
      </c>
      <c r="J50" s="618" t="s">
        <v>169</v>
      </c>
      <c r="K50" s="617">
        <v>4.2285644494225005</v>
      </c>
      <c r="L50" s="617">
        <v>3.86977768766394</v>
      </c>
      <c r="M50" s="617">
        <v>3.785163564327596</v>
      </c>
      <c r="N50" s="617">
        <v>4.5229541652266416</v>
      </c>
      <c r="O50" s="617">
        <v>5.2045025262556521</v>
      </c>
      <c r="P50" s="617">
        <v>5.2900399895199524</v>
      </c>
      <c r="Q50" s="617">
        <v>4.7458461360487085</v>
      </c>
      <c r="R50" s="617">
        <v>5.3350958044707788</v>
      </c>
      <c r="S50" s="617">
        <v>5.6652473425463992</v>
      </c>
      <c r="T50" s="617">
        <v>5.0870912448724486</v>
      </c>
      <c r="U50" s="617">
        <v>5.6407621655998392</v>
      </c>
      <c r="V50" s="617">
        <v>6.2242162003136281</v>
      </c>
      <c r="W50" s="617">
        <v>5.7826750599015195</v>
      </c>
      <c r="X50" s="617">
        <v>6.2724626141203457</v>
      </c>
      <c r="Y50" s="617">
        <v>6.0540484402895061</v>
      </c>
      <c r="Z50" s="617">
        <v>6.0872706287647018</v>
      </c>
      <c r="AA50" s="616">
        <v>0.54875987205690524</v>
      </c>
    </row>
    <row r="51" spans="1:27" ht="15.75" x14ac:dyDescent="0.25">
      <c r="A51" s="624" t="s">
        <v>698</v>
      </c>
      <c r="B51" s="618" t="s">
        <v>169</v>
      </c>
      <c r="C51" s="618" t="s">
        <v>169</v>
      </c>
      <c r="D51" s="618" t="s">
        <v>169</v>
      </c>
      <c r="E51" s="618" t="s">
        <v>169</v>
      </c>
      <c r="F51" s="618" t="s">
        <v>169</v>
      </c>
      <c r="G51" s="618" t="s">
        <v>169</v>
      </c>
      <c r="H51" s="618" t="s">
        <v>169</v>
      </c>
      <c r="I51" s="618" t="s">
        <v>169</v>
      </c>
      <c r="J51" s="618" t="s">
        <v>169</v>
      </c>
      <c r="K51" s="617">
        <v>2.181230290519053</v>
      </c>
      <c r="L51" s="617">
        <v>2.0142626451580545</v>
      </c>
      <c r="M51" s="617">
        <v>1.7062187354956209</v>
      </c>
      <c r="N51" s="617">
        <v>1.8421209261792788</v>
      </c>
      <c r="O51" s="617">
        <v>1.7329192705528522</v>
      </c>
      <c r="P51" s="617">
        <v>1.4551130099359182</v>
      </c>
      <c r="Q51" s="617">
        <v>1.4448088353329296</v>
      </c>
      <c r="R51" s="617">
        <v>1.1781758628153558</v>
      </c>
      <c r="S51" s="617">
        <v>1.7283989280977912</v>
      </c>
      <c r="T51" s="617">
        <v>1.6541581085255572</v>
      </c>
      <c r="U51" s="617">
        <v>4.939539068562234</v>
      </c>
      <c r="V51" s="617">
        <v>7.7192919056493707</v>
      </c>
      <c r="W51" s="617">
        <v>9.2017107197282879</v>
      </c>
      <c r="X51" s="617">
        <v>8.9561325285380047</v>
      </c>
      <c r="Y51" s="617">
        <v>9.461347330070744</v>
      </c>
      <c r="Z51" s="617">
        <v>9.2042960662408628</v>
      </c>
      <c r="AA51" s="616">
        <v>-2.7168568583557029</v>
      </c>
    </row>
    <row r="52" spans="1:27" ht="49.5" customHeight="1" x14ac:dyDescent="0.25">
      <c r="A52" s="625" t="s">
        <v>700</v>
      </c>
      <c r="B52" s="626">
        <v>114.11311135386649</v>
      </c>
      <c r="C52" s="626">
        <v>114.32536123100537</v>
      </c>
      <c r="D52" s="626">
        <v>106.64331609804152</v>
      </c>
      <c r="E52" s="626">
        <v>104.514782146952</v>
      </c>
      <c r="F52" s="626">
        <v>101.30701356405689</v>
      </c>
      <c r="G52" s="626">
        <v>91.792374593366034</v>
      </c>
      <c r="H52" s="626">
        <v>86.466675953132665</v>
      </c>
      <c r="I52" s="626">
        <v>79.105742854162855</v>
      </c>
      <c r="J52" s="626">
        <v>75.14975988251561</v>
      </c>
      <c r="K52" s="626">
        <v>78.645958715066143</v>
      </c>
      <c r="L52" s="626">
        <v>72.342957772443384</v>
      </c>
      <c r="M52" s="626">
        <v>71.20226081847737</v>
      </c>
      <c r="N52" s="626">
        <v>73.129280945708402</v>
      </c>
      <c r="O52" s="626">
        <v>78.647284046037996</v>
      </c>
      <c r="P52" s="626">
        <v>85.935666914846493</v>
      </c>
      <c r="Q52" s="626">
        <v>94.725630497199248</v>
      </c>
      <c r="R52" s="626">
        <v>101.52439875126987</v>
      </c>
      <c r="S52" s="626">
        <v>103.03021768031273</v>
      </c>
      <c r="T52" s="626">
        <v>91.60068477266887</v>
      </c>
      <c r="U52" s="626">
        <v>106.70519304886902</v>
      </c>
      <c r="V52" s="626">
        <v>112.92582679964394</v>
      </c>
      <c r="W52" s="626">
        <v>110.51299512776296</v>
      </c>
      <c r="X52" s="626">
        <v>108.26545980561214</v>
      </c>
      <c r="Y52" s="626">
        <v>110.60803474376108</v>
      </c>
      <c r="Z52" s="626">
        <v>106.65445525776647</v>
      </c>
      <c r="AA52" s="616">
        <v>-3.574405327021339</v>
      </c>
    </row>
  </sheetData>
  <hyperlinks>
    <hyperlink ref="A4" location="'Table of contents'!A1" display="Link to table of contents" xr:uid="{E774238E-9EFC-454D-A1B0-5E12F3BE529E}"/>
    <hyperlink ref="A6" location="'Notes_A5 to A7'!A1" display="Link to notes page" xr:uid="{FFD72CB3-D34D-453D-BD56-3895404D75B1}"/>
  </hyperlinks>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914EB-39F5-4B19-92DD-ADE6EFF41478}">
  <sheetPr>
    <tabColor rgb="FF0070C0"/>
  </sheetPr>
  <dimension ref="A1:C65"/>
  <sheetViews>
    <sheetView showGridLines="0" workbookViewId="0"/>
  </sheetViews>
  <sheetFormatPr defaultColWidth="11.85546875" defaultRowHeight="15" customHeight="1" x14ac:dyDescent="0.25"/>
  <cols>
    <col min="1" max="1" width="19.28515625" customWidth="1"/>
    <col min="2" max="2" width="133.85546875" customWidth="1"/>
    <col min="3" max="3" width="57" customWidth="1"/>
  </cols>
  <sheetData>
    <row r="1" spans="1:3" ht="25.9" customHeight="1" x14ac:dyDescent="0.25">
      <c r="A1" s="63" t="s">
        <v>68</v>
      </c>
      <c r="B1" s="713"/>
      <c r="C1" s="714"/>
    </row>
    <row r="2" spans="1:3" ht="28.15" customHeight="1" x14ac:dyDescent="0.25">
      <c r="A2" s="36" t="s">
        <v>794</v>
      </c>
      <c r="B2" s="713"/>
      <c r="C2" s="714"/>
    </row>
    <row r="3" spans="1:3" ht="28.15" customHeight="1" x14ac:dyDescent="0.25">
      <c r="A3" s="64" t="s">
        <v>795</v>
      </c>
      <c r="B3" s="65"/>
      <c r="C3" s="65"/>
    </row>
    <row r="4" spans="1:3" ht="28.15" customHeight="1" x14ac:dyDescent="0.25">
      <c r="A4" s="64" t="s">
        <v>71</v>
      </c>
      <c r="B4" s="81" t="s">
        <v>72</v>
      </c>
      <c r="C4" s="64" t="s">
        <v>2</v>
      </c>
    </row>
    <row r="5" spans="1:3" ht="51" customHeight="1" x14ac:dyDescent="0.25">
      <c r="A5" s="66">
        <v>1</v>
      </c>
      <c r="B5" s="20" t="s">
        <v>1450</v>
      </c>
      <c r="C5" s="67"/>
    </row>
    <row r="6" spans="1:3" ht="46.5" customHeight="1" x14ac:dyDescent="0.25">
      <c r="A6" s="66">
        <v>2</v>
      </c>
      <c r="B6" s="715" t="s">
        <v>796</v>
      </c>
      <c r="C6" s="67" t="s">
        <v>797</v>
      </c>
    </row>
    <row r="7" spans="1:3" ht="67.5" customHeight="1" x14ac:dyDescent="0.25">
      <c r="A7" s="66">
        <v>3</v>
      </c>
      <c r="B7" s="715" t="s">
        <v>75</v>
      </c>
      <c r="C7" s="714"/>
    </row>
    <row r="8" spans="1:3" ht="23.25" customHeight="1" x14ac:dyDescent="0.25">
      <c r="A8" s="66">
        <v>4</v>
      </c>
      <c r="B8" s="20" t="s">
        <v>76</v>
      </c>
      <c r="C8" s="714"/>
    </row>
    <row r="9" spans="1:3" ht="38.25" customHeight="1" x14ac:dyDescent="0.25">
      <c r="A9" s="66">
        <v>5</v>
      </c>
      <c r="B9" s="715" t="s">
        <v>798</v>
      </c>
      <c r="C9" s="714"/>
    </row>
    <row r="10" spans="1:3" ht="23.25" customHeight="1" x14ac:dyDescent="0.25">
      <c r="A10" s="66">
        <v>6</v>
      </c>
      <c r="B10" s="68" t="s">
        <v>78</v>
      </c>
      <c r="C10" s="714"/>
    </row>
    <row r="11" spans="1:3" ht="23.25" customHeight="1" x14ac:dyDescent="0.25">
      <c r="A11" s="66">
        <v>7</v>
      </c>
      <c r="B11" s="49" t="s">
        <v>79</v>
      </c>
      <c r="C11" s="714"/>
    </row>
    <row r="12" spans="1:3" ht="21.75" customHeight="1" x14ac:dyDescent="0.25">
      <c r="A12" s="66">
        <v>8</v>
      </c>
      <c r="B12" s="715" t="s">
        <v>799</v>
      </c>
      <c r="C12" s="714"/>
    </row>
    <row r="13" spans="1:3" ht="30" x14ac:dyDescent="0.25">
      <c r="A13" s="66">
        <v>9</v>
      </c>
      <c r="B13" s="716" t="s">
        <v>800</v>
      </c>
      <c r="C13" s="714"/>
    </row>
    <row r="14" spans="1:3" ht="19.5" customHeight="1" x14ac:dyDescent="0.25">
      <c r="A14" s="36"/>
      <c r="B14" s="713"/>
      <c r="C14" s="714"/>
    </row>
    <row r="15" spans="1:3" ht="15.75" x14ac:dyDescent="0.25">
      <c r="A15" s="64" t="s">
        <v>801</v>
      </c>
      <c r="B15" s="65"/>
      <c r="C15" s="65"/>
    </row>
    <row r="16" spans="1:3" ht="26.25" customHeight="1" x14ac:dyDescent="0.25">
      <c r="A16" s="64" t="s">
        <v>71</v>
      </c>
      <c r="B16" s="81" t="s">
        <v>72</v>
      </c>
      <c r="C16" s="64" t="s">
        <v>2</v>
      </c>
    </row>
    <row r="17" spans="1:3" ht="74.25" customHeight="1" x14ac:dyDescent="0.25">
      <c r="A17" s="69">
        <v>1</v>
      </c>
      <c r="B17" s="795" t="s">
        <v>1413</v>
      </c>
      <c r="C17" s="800"/>
    </row>
    <row r="18" spans="1:3" ht="33" customHeight="1" x14ac:dyDescent="0.25">
      <c r="A18" s="69">
        <v>2</v>
      </c>
      <c r="B18" s="875" t="s">
        <v>1414</v>
      </c>
      <c r="C18" s="800"/>
    </row>
    <row r="19" spans="1:3" ht="28.5" customHeight="1" x14ac:dyDescent="0.25">
      <c r="A19" s="69"/>
      <c r="B19" s="800"/>
      <c r="C19" s="800"/>
    </row>
    <row r="20" spans="1:3" ht="27" customHeight="1" x14ac:dyDescent="0.25">
      <c r="A20" s="64" t="s">
        <v>802</v>
      </c>
      <c r="B20" s="717"/>
      <c r="C20" s="718"/>
    </row>
    <row r="21" spans="1:3" ht="39.75" customHeight="1" x14ac:dyDescent="0.25">
      <c r="A21" s="64" t="s">
        <v>71</v>
      </c>
      <c r="B21" s="81" t="s">
        <v>72</v>
      </c>
      <c r="C21" s="64" t="s">
        <v>2</v>
      </c>
    </row>
    <row r="22" spans="1:3" ht="29.25" customHeight="1" x14ac:dyDescent="0.25">
      <c r="A22" s="719">
        <v>1</v>
      </c>
      <c r="B22" s="713" t="s">
        <v>803</v>
      </c>
      <c r="C22" s="714"/>
    </row>
    <row r="23" spans="1:3" ht="39.75" customHeight="1" x14ac:dyDescent="0.25">
      <c r="A23" s="719">
        <v>2</v>
      </c>
      <c r="B23" s="713" t="s">
        <v>804</v>
      </c>
      <c r="C23" s="714"/>
    </row>
    <row r="24" spans="1:3" ht="43.5" customHeight="1" x14ac:dyDescent="0.25">
      <c r="A24" s="70">
        <v>3</v>
      </c>
      <c r="B24" s="71" t="s">
        <v>805</v>
      </c>
      <c r="C24" s="72"/>
    </row>
    <row r="25" spans="1:3" ht="37.5" customHeight="1" x14ac:dyDescent="0.25">
      <c r="A25" s="719">
        <v>4</v>
      </c>
      <c r="B25" s="73" t="s">
        <v>806</v>
      </c>
      <c r="C25" s="714"/>
    </row>
    <row r="26" spans="1:3" ht="18.600000000000001" customHeight="1" x14ac:dyDescent="0.25">
      <c r="A26" s="719">
        <v>5</v>
      </c>
      <c r="B26" s="74" t="s">
        <v>807</v>
      </c>
      <c r="C26" s="714"/>
    </row>
    <row r="27" spans="1:3" ht="22.9" customHeight="1" x14ac:dyDescent="0.25">
      <c r="A27" s="719">
        <v>6</v>
      </c>
      <c r="B27" s="75" t="s">
        <v>808</v>
      </c>
      <c r="C27" s="714"/>
    </row>
    <row r="28" spans="1:3" ht="26.25" customHeight="1" x14ac:dyDescent="0.25">
      <c r="A28" s="719"/>
      <c r="B28" s="76"/>
      <c r="C28" s="714"/>
    </row>
    <row r="29" spans="1:3" ht="36" customHeight="1" x14ac:dyDescent="0.25">
      <c r="A29" s="64" t="s">
        <v>809</v>
      </c>
      <c r="B29" s="713"/>
      <c r="C29" s="714"/>
    </row>
    <row r="30" spans="1:3" ht="32.25" customHeight="1" x14ac:dyDescent="0.25">
      <c r="A30" s="64" t="s">
        <v>71</v>
      </c>
      <c r="B30" s="81" t="s">
        <v>72</v>
      </c>
      <c r="C30" s="64" t="s">
        <v>2</v>
      </c>
    </row>
    <row r="31" spans="1:3" ht="71.25" customHeight="1" x14ac:dyDescent="0.25">
      <c r="A31" s="719">
        <v>1</v>
      </c>
      <c r="B31" s="65" t="s">
        <v>810</v>
      </c>
      <c r="C31" s="77"/>
    </row>
    <row r="32" spans="1:3" ht="43.5" customHeight="1" x14ac:dyDescent="0.25">
      <c r="A32" s="719">
        <v>2</v>
      </c>
      <c r="B32" s="65" t="s">
        <v>811</v>
      </c>
      <c r="C32" s="61" t="s">
        <v>812</v>
      </c>
    </row>
    <row r="33" spans="1:3" ht="29.25" customHeight="1" x14ac:dyDescent="0.25">
      <c r="A33" s="719">
        <v>3</v>
      </c>
      <c r="B33" s="65" t="s">
        <v>813</v>
      </c>
      <c r="C33" s="77"/>
    </row>
    <row r="34" spans="1:3" ht="48.75" customHeight="1" x14ac:dyDescent="0.25">
      <c r="A34" s="719">
        <v>4</v>
      </c>
      <c r="B34" s="65" t="s">
        <v>814</v>
      </c>
      <c r="C34" s="77"/>
    </row>
    <row r="35" spans="1:3" ht="29.25" customHeight="1" x14ac:dyDescent="0.25">
      <c r="A35" s="719">
        <v>5</v>
      </c>
      <c r="B35" s="65" t="s">
        <v>815</v>
      </c>
      <c r="C35" s="77"/>
    </row>
    <row r="36" spans="1:3" ht="90" customHeight="1" x14ac:dyDescent="0.25">
      <c r="A36" s="719">
        <v>6</v>
      </c>
      <c r="B36" s="65" t="s">
        <v>1432</v>
      </c>
      <c r="C36" s="77"/>
    </row>
    <row r="37" spans="1:3" ht="120" customHeight="1" x14ac:dyDescent="0.25">
      <c r="A37" s="719">
        <v>7</v>
      </c>
      <c r="B37" s="65" t="s">
        <v>816</v>
      </c>
      <c r="C37" s="77"/>
    </row>
    <row r="38" spans="1:3" ht="78" customHeight="1" x14ac:dyDescent="0.25">
      <c r="A38" s="719">
        <v>8</v>
      </c>
      <c r="B38" s="65" t="s">
        <v>817</v>
      </c>
      <c r="C38" s="77"/>
    </row>
    <row r="39" spans="1:3" ht="27" customHeight="1" x14ac:dyDescent="0.25">
      <c r="A39" s="70"/>
      <c r="B39" s="71"/>
      <c r="C39" s="61"/>
    </row>
    <row r="40" spans="1:3" ht="60" customHeight="1" x14ac:dyDescent="0.25">
      <c r="A40" s="64" t="s">
        <v>818</v>
      </c>
      <c r="B40" s="717"/>
      <c r="C40" s="62"/>
    </row>
    <row r="41" spans="1:3" ht="21.6" customHeight="1" x14ac:dyDescent="0.25">
      <c r="A41" s="64" t="s">
        <v>71</v>
      </c>
      <c r="B41" s="81" t="s">
        <v>72</v>
      </c>
      <c r="C41" s="82" t="s">
        <v>2</v>
      </c>
    </row>
    <row r="42" spans="1:3" ht="57.75" customHeight="1" x14ac:dyDescent="0.25">
      <c r="A42" s="78">
        <v>1</v>
      </c>
      <c r="B42" s="713" t="s">
        <v>819</v>
      </c>
      <c r="C42" s="714"/>
    </row>
    <row r="43" spans="1:3" ht="27" customHeight="1" x14ac:dyDescent="0.25">
      <c r="A43" s="78">
        <v>2</v>
      </c>
      <c r="B43" s="717" t="s">
        <v>820</v>
      </c>
      <c r="C43" s="718"/>
    </row>
    <row r="44" spans="1:3" ht="26.25" customHeight="1" x14ac:dyDescent="0.25">
      <c r="A44" s="78">
        <v>3</v>
      </c>
      <c r="B44" s="713" t="s">
        <v>821</v>
      </c>
      <c r="C44" s="714"/>
    </row>
    <row r="45" spans="1:3" ht="62.25" customHeight="1" x14ac:dyDescent="0.25">
      <c r="A45" s="78">
        <v>4</v>
      </c>
      <c r="B45" s="713" t="s">
        <v>822</v>
      </c>
      <c r="C45" s="714"/>
    </row>
    <row r="46" spans="1:3" ht="39.75" customHeight="1" x14ac:dyDescent="0.25">
      <c r="A46" s="78">
        <v>5</v>
      </c>
      <c r="B46" s="71" t="s">
        <v>823</v>
      </c>
      <c r="C46" s="714"/>
    </row>
    <row r="47" spans="1:3" ht="30" customHeight="1" x14ac:dyDescent="0.25">
      <c r="A47" s="78">
        <v>6</v>
      </c>
      <c r="B47" s="713" t="s">
        <v>824</v>
      </c>
      <c r="C47" s="714"/>
    </row>
    <row r="48" spans="1:3" ht="19.149999999999999" customHeight="1" x14ac:dyDescent="0.25">
      <c r="A48" s="78">
        <v>7</v>
      </c>
      <c r="B48" s="717" t="s">
        <v>825</v>
      </c>
      <c r="C48" s="718"/>
    </row>
    <row r="49" spans="1:3" ht="55.5" customHeight="1" x14ac:dyDescent="0.25">
      <c r="A49" s="78">
        <v>8</v>
      </c>
      <c r="B49" s="713" t="s">
        <v>826</v>
      </c>
      <c r="C49" s="714"/>
    </row>
    <row r="50" spans="1:3" ht="26.25" customHeight="1" x14ac:dyDescent="0.25">
      <c r="A50" s="719"/>
      <c r="B50" s="713"/>
      <c r="C50" s="61"/>
    </row>
    <row r="51" spans="1:3" ht="58.5" customHeight="1" x14ac:dyDescent="0.25">
      <c r="A51" s="64" t="s">
        <v>827</v>
      </c>
      <c r="B51" s="713"/>
      <c r="C51" s="714"/>
    </row>
    <row r="52" spans="1:3" ht="39" customHeight="1" x14ac:dyDescent="0.25">
      <c r="A52" s="64" t="s">
        <v>71</v>
      </c>
      <c r="B52" s="81" t="s">
        <v>72</v>
      </c>
      <c r="C52" s="64" t="s">
        <v>2</v>
      </c>
    </row>
    <row r="53" spans="1:3" ht="54.75" customHeight="1" x14ac:dyDescent="0.25">
      <c r="A53" s="719">
        <v>1</v>
      </c>
      <c r="B53" s="65" t="s">
        <v>828</v>
      </c>
      <c r="C53" s="77"/>
    </row>
    <row r="54" spans="1:3" ht="48.75" customHeight="1" x14ac:dyDescent="0.25">
      <c r="A54" s="70">
        <v>2</v>
      </c>
      <c r="B54" s="65" t="s">
        <v>829</v>
      </c>
      <c r="C54" s="65"/>
    </row>
    <row r="55" spans="1:3" ht="45" x14ac:dyDescent="0.25">
      <c r="A55" s="70">
        <v>3</v>
      </c>
      <c r="B55" s="720" t="s">
        <v>830</v>
      </c>
      <c r="C55" s="61" t="s">
        <v>812</v>
      </c>
    </row>
    <row r="56" spans="1:3" ht="75" customHeight="1" x14ac:dyDescent="0.25">
      <c r="A56" s="70">
        <v>4</v>
      </c>
      <c r="B56" s="720" t="s">
        <v>831</v>
      </c>
      <c r="C56" s="65"/>
    </row>
    <row r="57" spans="1:3" ht="63.75" customHeight="1" x14ac:dyDescent="0.25">
      <c r="A57" s="70">
        <v>5</v>
      </c>
      <c r="B57" s="65" t="s">
        <v>832</v>
      </c>
      <c r="C57" s="65"/>
    </row>
    <row r="58" spans="1:3" ht="24.75" customHeight="1" x14ac:dyDescent="0.25">
      <c r="A58" s="70"/>
      <c r="B58" s="65"/>
      <c r="C58" s="65"/>
    </row>
    <row r="59" spans="1:3" ht="24.75" customHeight="1" x14ac:dyDescent="0.25">
      <c r="A59" s="64" t="s">
        <v>833</v>
      </c>
      <c r="B59" s="65"/>
      <c r="C59" s="65"/>
    </row>
    <row r="60" spans="1:3" ht="36" customHeight="1" x14ac:dyDescent="0.25">
      <c r="A60" s="64" t="s">
        <v>71</v>
      </c>
      <c r="B60" s="81" t="s">
        <v>72</v>
      </c>
      <c r="C60" s="64" t="s">
        <v>2</v>
      </c>
    </row>
    <row r="61" spans="1:3" ht="21.75" customHeight="1" x14ac:dyDescent="0.25">
      <c r="A61" s="78">
        <v>1</v>
      </c>
      <c r="B61" s="79" t="s">
        <v>834</v>
      </c>
      <c r="C61" s="721"/>
    </row>
    <row r="62" spans="1:3" ht="37.5" customHeight="1" x14ac:dyDescent="0.25">
      <c r="A62" s="78">
        <v>2</v>
      </c>
      <c r="B62" s="79" t="s">
        <v>835</v>
      </c>
      <c r="C62" s="721"/>
    </row>
    <row r="63" spans="1:3" ht="22.5" customHeight="1" x14ac:dyDescent="0.25">
      <c r="A63" s="78">
        <v>3</v>
      </c>
      <c r="B63" s="79" t="s">
        <v>836</v>
      </c>
      <c r="C63" s="721"/>
    </row>
    <row r="64" spans="1:3" x14ac:dyDescent="0.25">
      <c r="A64" s="78">
        <v>4</v>
      </c>
      <c r="B64" s="79" t="s">
        <v>837</v>
      </c>
      <c r="C64" s="80"/>
    </row>
    <row r="65" spans="1:3" x14ac:dyDescent="0.25">
      <c r="A65" s="78">
        <v>5</v>
      </c>
      <c r="B65" s="79" t="s">
        <v>838</v>
      </c>
      <c r="C65" s="80"/>
    </row>
  </sheetData>
  <hyperlinks>
    <hyperlink ref="C32" r:id="rId1" display="Methedology reportPolice recorded offences involving knives or sharp instruments: methodology changes" xr:uid="{DA313CD9-2D2C-4E21-8596-F73B6CC169AB}"/>
    <hyperlink ref="C6" r:id="rId2" display="https://www.ons.gov.uk/peoplepopulationandcommunity/crimeandjustice/articles/improvingvictimisationestimatesderivedfromthecrimesurveyforenglandandwales/2019-01-24" xr:uid="{79995E99-9242-414B-B3A8-8393D84A3C61}"/>
    <hyperlink ref="C55" r:id="rId3" display="Methedology reportPolice recorded offences involving knives or sharp instruments: methodology changes" xr:uid="{375F5823-8F48-4D0A-8D4C-E287CBACAADC}"/>
  </hyperlinks>
  <pageMargins left="0.7" right="0.7" top="0.75" bottom="0.75" header="0.3" footer="0.3"/>
  <pageSetup paperSize="9" orientation="portrait" r:id="rId4"/>
  <tableParts count="7">
    <tablePart r:id="rId5"/>
    <tablePart r:id="rId6"/>
    <tablePart r:id="rId7"/>
    <tablePart r:id="rId8"/>
    <tablePart r:id="rId9"/>
    <tablePart r:id="rId10"/>
    <tablePart r:id="rId1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E38"/>
  <sheetViews>
    <sheetView showGridLines="0" workbookViewId="0"/>
  </sheetViews>
  <sheetFormatPr defaultRowHeight="15" customHeight="1" x14ac:dyDescent="0.25"/>
  <cols>
    <col min="1" max="1" width="58.28515625" customWidth="1"/>
    <col min="2" max="33" width="16.7109375" customWidth="1"/>
    <col min="35" max="35" width="40.7109375" customWidth="1"/>
    <col min="36" max="83" width="15" customWidth="1"/>
    <col min="84" max="87" width="9.140625" customWidth="1"/>
  </cols>
  <sheetData>
    <row r="1" spans="1:83" ht="20.100000000000001" customHeight="1" x14ac:dyDescent="0.25">
      <c r="A1" s="836" t="s">
        <v>1493</v>
      </c>
      <c r="B1" s="124"/>
      <c r="C1" s="124"/>
      <c r="D1" s="124"/>
      <c r="E1" s="124"/>
      <c r="F1" s="124"/>
      <c r="G1" s="124"/>
      <c r="H1" s="124"/>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J1" s="123"/>
      <c r="AK1" s="123"/>
      <c r="AL1" s="123"/>
      <c r="AM1" s="123"/>
      <c r="AN1" s="123"/>
      <c r="AO1" s="123"/>
      <c r="AP1" s="123"/>
      <c r="AQ1" s="123"/>
      <c r="AR1" s="123"/>
      <c r="AS1" s="123"/>
      <c r="AT1" s="123"/>
      <c r="AU1" s="123"/>
      <c r="AV1" s="123"/>
      <c r="AW1" s="123"/>
      <c r="AX1" s="123"/>
      <c r="AY1" s="123"/>
      <c r="AZ1" s="123"/>
      <c r="BA1" s="123"/>
      <c r="BB1" s="123"/>
      <c r="BC1" s="123"/>
      <c r="BD1" s="123"/>
      <c r="BE1" s="123"/>
      <c r="BF1" s="123"/>
      <c r="BG1" s="123"/>
      <c r="BH1" s="123"/>
      <c r="BI1" s="123"/>
      <c r="BJ1" s="123"/>
      <c r="BK1" s="123"/>
      <c r="BL1" s="123"/>
      <c r="BM1" s="123"/>
      <c r="BN1" s="123"/>
      <c r="BO1" s="123"/>
      <c r="BP1" s="123"/>
      <c r="BQ1" s="123"/>
      <c r="BR1" s="123"/>
      <c r="BS1" s="123"/>
      <c r="BT1" s="123"/>
      <c r="BU1" s="123"/>
      <c r="BV1" s="123"/>
      <c r="BW1" s="123"/>
      <c r="BX1" s="123"/>
      <c r="BY1" s="123"/>
      <c r="BZ1" s="123"/>
      <c r="CA1" s="123"/>
      <c r="CB1" s="123"/>
      <c r="CC1" s="123"/>
      <c r="CD1" s="123"/>
      <c r="CE1" s="123"/>
    </row>
    <row r="2" spans="1:83" ht="20.100000000000001" customHeight="1" x14ac:dyDescent="0.25">
      <c r="A2" s="185" t="s">
        <v>95</v>
      </c>
      <c r="B2" s="124"/>
      <c r="C2" s="124"/>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row>
    <row r="3" spans="1:83" ht="20.100000000000001" customHeight="1" x14ac:dyDescent="0.25">
      <c r="A3" s="1" t="s">
        <v>177</v>
      </c>
      <c r="B3" s="124"/>
      <c r="C3" s="124"/>
      <c r="D3" s="124"/>
      <c r="E3" s="124"/>
      <c r="F3" s="124"/>
      <c r="G3" s="124"/>
      <c r="H3" s="124"/>
      <c r="I3" s="124"/>
      <c r="J3" s="124"/>
      <c r="K3" s="124"/>
      <c r="L3" s="124"/>
      <c r="M3" s="124"/>
      <c r="N3" s="124"/>
      <c r="O3" s="124"/>
      <c r="P3" s="124"/>
      <c r="Q3" s="124"/>
      <c r="R3" s="124"/>
      <c r="S3" s="124"/>
      <c r="T3" s="124"/>
      <c r="U3" s="124"/>
      <c r="V3" s="124"/>
      <c r="W3" s="124"/>
      <c r="X3" s="124"/>
      <c r="Y3" s="124"/>
      <c r="Z3" s="124"/>
      <c r="AA3" s="124"/>
      <c r="AB3" s="124"/>
      <c r="AC3" s="124"/>
      <c r="AD3" s="124"/>
      <c r="AE3" s="124"/>
      <c r="AF3" s="124"/>
      <c r="AG3" s="124"/>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c r="BM3" s="123"/>
      <c r="BN3" s="123"/>
      <c r="BO3" s="123"/>
      <c r="BP3" s="123"/>
      <c r="BQ3" s="123"/>
      <c r="BR3" s="123"/>
      <c r="BS3" s="123"/>
      <c r="BT3" s="123"/>
      <c r="BU3" s="123"/>
      <c r="BV3" s="123"/>
      <c r="BW3" s="123"/>
      <c r="BX3" s="123"/>
      <c r="BY3" s="123"/>
      <c r="BZ3" s="123"/>
      <c r="CA3" s="123"/>
      <c r="CB3" s="123"/>
      <c r="CC3" s="123"/>
      <c r="CD3" s="123"/>
      <c r="CE3" s="123"/>
    </row>
    <row r="4" spans="1:83" ht="20.100000000000001" customHeight="1" x14ac:dyDescent="0.25">
      <c r="A4" s="2" t="s">
        <v>97</v>
      </c>
      <c r="B4" s="124"/>
      <c r="C4" s="124"/>
      <c r="D4" s="124"/>
      <c r="E4" s="124"/>
      <c r="F4" s="124"/>
      <c r="G4" s="124"/>
      <c r="H4" s="124"/>
      <c r="I4" s="124"/>
      <c r="J4" s="124"/>
      <c r="K4" s="124"/>
      <c r="L4" s="124"/>
      <c r="M4" s="124"/>
      <c r="N4" s="124"/>
      <c r="O4" s="124"/>
      <c r="P4" s="124"/>
      <c r="Q4" s="124"/>
      <c r="R4" s="124"/>
      <c r="S4" s="124"/>
      <c r="T4" s="124"/>
      <c r="U4" s="124"/>
      <c r="V4" s="124"/>
      <c r="W4" s="124"/>
      <c r="X4" s="124"/>
      <c r="Y4" s="124"/>
      <c r="Z4" s="124"/>
      <c r="AA4" s="124"/>
      <c r="AB4" s="124"/>
      <c r="AC4" s="124"/>
      <c r="AD4" s="124"/>
      <c r="AE4" s="124"/>
      <c r="AF4" s="124"/>
      <c r="AG4" s="124"/>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row>
    <row r="5" spans="1:83" ht="20.100000000000001" customHeight="1" x14ac:dyDescent="0.25">
      <c r="A5" s="1" t="s">
        <v>839</v>
      </c>
      <c r="B5" s="124"/>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c r="AG5" s="124"/>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row>
    <row r="6" spans="1:83" ht="20.100000000000001" customHeight="1" x14ac:dyDescent="0.25">
      <c r="A6" s="2" t="s">
        <v>99</v>
      </c>
      <c r="B6" s="124"/>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c r="AG6" s="124"/>
      <c r="AJ6" s="123"/>
      <c r="AK6" s="123"/>
      <c r="AL6" s="123"/>
      <c r="AM6" s="123"/>
      <c r="AN6" s="123"/>
      <c r="AO6" s="123"/>
      <c r="AP6" s="123"/>
      <c r="AQ6" s="123"/>
      <c r="AR6" s="123"/>
      <c r="AS6" s="123"/>
      <c r="AT6" s="123"/>
      <c r="AU6" s="123"/>
      <c r="AV6" s="123"/>
      <c r="AW6" s="123"/>
      <c r="AX6" s="123"/>
      <c r="AY6" s="123"/>
      <c r="AZ6" s="123"/>
      <c r="BA6" s="123"/>
      <c r="BB6" s="123"/>
      <c r="BC6" s="123"/>
      <c r="BD6" s="123"/>
      <c r="BE6" s="123"/>
      <c r="BF6" s="123"/>
      <c r="BG6" s="123"/>
      <c r="BH6" s="123"/>
      <c r="BI6" s="123"/>
      <c r="BJ6" s="123"/>
      <c r="BK6" s="123"/>
      <c r="BL6" s="123"/>
      <c r="BM6" s="123"/>
      <c r="BN6" s="123"/>
      <c r="BO6" s="123"/>
      <c r="BP6" s="123"/>
      <c r="BQ6" s="123"/>
      <c r="BR6" s="123"/>
      <c r="BS6" s="123"/>
      <c r="BT6" s="123"/>
      <c r="BU6" s="123"/>
      <c r="BV6" s="123"/>
      <c r="BW6" s="123"/>
      <c r="BX6" s="123"/>
      <c r="BY6" s="123"/>
      <c r="BZ6" s="123"/>
      <c r="CA6" s="123"/>
      <c r="CB6" s="123"/>
      <c r="CC6" s="123"/>
      <c r="CD6" s="123"/>
      <c r="CE6" s="123"/>
    </row>
    <row r="7" spans="1:83" ht="20.100000000000001" customHeight="1" x14ac:dyDescent="0.25">
      <c r="A7" s="1" t="s">
        <v>100</v>
      </c>
      <c r="B7" s="124"/>
      <c r="C7" s="124"/>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c r="AG7" s="124"/>
      <c r="AJ7" s="123"/>
      <c r="AK7" s="123"/>
      <c r="AL7" s="123"/>
      <c r="AM7" s="123"/>
      <c r="AN7" s="123"/>
      <c r="AO7" s="123"/>
      <c r="AP7" s="123"/>
      <c r="AQ7" s="123"/>
      <c r="AR7" s="123"/>
      <c r="AS7" s="123"/>
      <c r="AT7" s="123"/>
      <c r="AU7" s="123"/>
      <c r="AV7" s="123"/>
      <c r="AW7" s="123"/>
      <c r="AX7" s="123"/>
      <c r="AY7" s="123"/>
      <c r="AZ7" s="123"/>
      <c r="BA7" s="123"/>
      <c r="BB7" s="123"/>
      <c r="BC7" s="123"/>
      <c r="BD7" s="123"/>
      <c r="BE7" s="123"/>
      <c r="BF7" s="123"/>
      <c r="BG7" s="123"/>
      <c r="BH7" s="123"/>
      <c r="BI7" s="123"/>
      <c r="BJ7" s="123"/>
      <c r="BK7" s="123"/>
      <c r="BL7" s="123"/>
      <c r="BM7" s="123"/>
      <c r="BN7" s="123"/>
      <c r="BO7" s="123"/>
      <c r="BP7" s="123"/>
      <c r="BQ7" s="123"/>
      <c r="BR7" s="123"/>
      <c r="BS7" s="123"/>
      <c r="BT7" s="123"/>
      <c r="BU7" s="123"/>
      <c r="BV7" s="123"/>
      <c r="BW7" s="123"/>
      <c r="BX7" s="123"/>
      <c r="BY7" s="123"/>
      <c r="BZ7" s="123"/>
      <c r="CA7" s="123"/>
      <c r="CB7" s="123"/>
      <c r="CC7" s="123"/>
      <c r="CD7" s="123"/>
      <c r="CE7" s="123"/>
    </row>
    <row r="8" spans="1:83" ht="29.25" customHeight="1" x14ac:dyDescent="0.25">
      <c r="A8" s="32" t="s">
        <v>840</v>
      </c>
      <c r="B8" s="124"/>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c r="AG8" s="124"/>
      <c r="AI8" s="32" t="s">
        <v>841</v>
      </c>
      <c r="AJ8" s="123"/>
      <c r="AK8" s="123"/>
      <c r="AL8" s="123"/>
      <c r="AM8" s="123"/>
      <c r="AN8" s="123"/>
      <c r="AO8" s="123"/>
      <c r="AP8" s="123"/>
      <c r="AQ8" s="123"/>
      <c r="AR8" s="123"/>
      <c r="AS8" s="123"/>
      <c r="AT8" s="123"/>
      <c r="AU8" s="123"/>
      <c r="AV8" s="123"/>
      <c r="AW8" s="123"/>
      <c r="AX8" s="123"/>
      <c r="AY8" s="123"/>
      <c r="AZ8" s="123"/>
      <c r="BA8" s="123"/>
      <c r="BB8" s="123"/>
      <c r="BC8" s="123"/>
      <c r="BD8" s="123"/>
      <c r="BE8" s="123"/>
      <c r="BF8" s="123"/>
      <c r="BG8" s="123"/>
      <c r="BH8" s="123"/>
      <c r="BI8" s="123"/>
      <c r="BJ8" s="123"/>
      <c r="BK8" s="123"/>
      <c r="BL8" s="123"/>
      <c r="BM8" s="123"/>
      <c r="BN8" s="123"/>
      <c r="BO8" s="123"/>
      <c r="BP8" s="123"/>
      <c r="BQ8" s="123"/>
      <c r="BR8" s="123"/>
      <c r="BS8" s="123"/>
      <c r="BT8" s="123"/>
      <c r="BU8" s="123"/>
      <c r="BV8" s="123"/>
      <c r="BW8" s="123"/>
      <c r="BX8" s="123"/>
      <c r="BY8" s="123"/>
      <c r="BZ8" s="123"/>
      <c r="CA8" s="123"/>
      <c r="CB8" s="123"/>
      <c r="CC8" s="123"/>
      <c r="CD8" s="123"/>
      <c r="CE8" s="123"/>
    </row>
    <row r="9" spans="1:83" ht="80.099999999999994" customHeight="1" x14ac:dyDescent="0.25">
      <c r="A9" s="31" t="s">
        <v>842</v>
      </c>
      <c r="B9" s="99" t="s">
        <v>102</v>
      </c>
      <c r="C9" s="99" t="s">
        <v>103</v>
      </c>
      <c r="D9" s="99" t="s">
        <v>104</v>
      </c>
      <c r="E9" s="99" t="s">
        <v>105</v>
      </c>
      <c r="F9" s="99" t="s">
        <v>106</v>
      </c>
      <c r="G9" s="99" t="s">
        <v>107</v>
      </c>
      <c r="H9" s="99" t="s">
        <v>108</v>
      </c>
      <c r="I9" s="99" t="s">
        <v>109</v>
      </c>
      <c r="J9" s="99" t="s">
        <v>110</v>
      </c>
      <c r="K9" s="99" t="s">
        <v>111</v>
      </c>
      <c r="L9" s="99" t="s">
        <v>112</v>
      </c>
      <c r="M9" s="99" t="s">
        <v>113</v>
      </c>
      <c r="N9" s="99" t="s">
        <v>114</v>
      </c>
      <c r="O9" s="99" t="s">
        <v>115</v>
      </c>
      <c r="P9" s="99" t="s">
        <v>116</v>
      </c>
      <c r="Q9" s="99" t="s">
        <v>117</v>
      </c>
      <c r="R9" s="99" t="s">
        <v>118</v>
      </c>
      <c r="S9" s="99" t="s">
        <v>119</v>
      </c>
      <c r="T9" s="99" t="s">
        <v>120</v>
      </c>
      <c r="U9" s="99" t="s">
        <v>121</v>
      </c>
      <c r="V9" s="99" t="s">
        <v>122</v>
      </c>
      <c r="W9" s="99" t="s">
        <v>123</v>
      </c>
      <c r="X9" s="99" t="s">
        <v>124</v>
      </c>
      <c r="Y9" s="99" t="s">
        <v>125</v>
      </c>
      <c r="Z9" s="99" t="s">
        <v>126</v>
      </c>
      <c r="AA9" s="99" t="s">
        <v>127</v>
      </c>
      <c r="AB9" s="99" t="s">
        <v>128</v>
      </c>
      <c r="AC9" s="99" t="s">
        <v>129</v>
      </c>
      <c r="AD9" s="99" t="s">
        <v>130</v>
      </c>
      <c r="AE9" s="99" t="s">
        <v>131</v>
      </c>
      <c r="AF9" s="99" t="s">
        <v>132</v>
      </c>
      <c r="AG9" s="99" t="s">
        <v>133</v>
      </c>
      <c r="AH9" s="124"/>
      <c r="AI9" s="99" t="s">
        <v>842</v>
      </c>
      <c r="AJ9" s="99" t="s">
        <v>178</v>
      </c>
      <c r="AK9" s="99" t="s">
        <v>179</v>
      </c>
      <c r="AL9" s="99" t="s">
        <v>180</v>
      </c>
      <c r="AM9" s="99" t="s">
        <v>181</v>
      </c>
      <c r="AN9" s="99" t="s">
        <v>182</v>
      </c>
      <c r="AO9" s="99" t="s">
        <v>183</v>
      </c>
      <c r="AP9" s="99" t="s">
        <v>184</v>
      </c>
      <c r="AQ9" s="99" t="s">
        <v>185</v>
      </c>
      <c r="AR9" s="99" t="s">
        <v>186</v>
      </c>
      <c r="AS9" s="99" t="s">
        <v>187</v>
      </c>
      <c r="AT9" s="99" t="s">
        <v>188</v>
      </c>
      <c r="AU9" s="99" t="s">
        <v>189</v>
      </c>
      <c r="AV9" s="99" t="s">
        <v>190</v>
      </c>
      <c r="AW9" s="99" t="s">
        <v>191</v>
      </c>
      <c r="AX9" s="99" t="s">
        <v>192</v>
      </c>
      <c r="AY9" s="99" t="s">
        <v>193</v>
      </c>
      <c r="AZ9" s="99" t="s">
        <v>194</v>
      </c>
      <c r="BA9" s="99" t="s">
        <v>195</v>
      </c>
      <c r="BB9" s="99" t="s">
        <v>196</v>
      </c>
      <c r="BC9" s="99" t="s">
        <v>197</v>
      </c>
      <c r="BD9" s="99" t="s">
        <v>198</v>
      </c>
      <c r="BE9" s="99" t="s">
        <v>199</v>
      </c>
      <c r="BF9" s="99" t="s">
        <v>200</v>
      </c>
      <c r="BG9" s="99" t="s">
        <v>201</v>
      </c>
      <c r="BH9" s="99" t="s">
        <v>202</v>
      </c>
      <c r="BI9" s="99" t="s">
        <v>203</v>
      </c>
      <c r="BJ9" s="99" t="s">
        <v>843</v>
      </c>
      <c r="BK9" s="99" t="s">
        <v>205</v>
      </c>
      <c r="BL9" s="99" t="s">
        <v>206</v>
      </c>
      <c r="BM9" s="99" t="s">
        <v>207</v>
      </c>
      <c r="BN9" s="99" t="s">
        <v>208</v>
      </c>
      <c r="BO9" s="99" t="s">
        <v>209</v>
      </c>
      <c r="BP9" s="99" t="s">
        <v>210</v>
      </c>
      <c r="BQ9" s="99" t="s">
        <v>211</v>
      </c>
      <c r="BR9" s="99" t="s">
        <v>212</v>
      </c>
      <c r="BS9" s="99" t="s">
        <v>213</v>
      </c>
      <c r="BT9" s="99" t="s">
        <v>214</v>
      </c>
      <c r="BU9" s="99" t="s">
        <v>215</v>
      </c>
      <c r="BV9" s="99" t="s">
        <v>216</v>
      </c>
      <c r="BW9" s="99" t="s">
        <v>217</v>
      </c>
      <c r="BX9" s="99" t="s">
        <v>218</v>
      </c>
      <c r="BY9" s="99" t="s">
        <v>219</v>
      </c>
      <c r="BZ9" s="99" t="s">
        <v>220</v>
      </c>
      <c r="CA9" s="99" t="s">
        <v>221</v>
      </c>
      <c r="CB9" s="99" t="s">
        <v>222</v>
      </c>
      <c r="CC9" s="99" t="s">
        <v>223</v>
      </c>
      <c r="CD9" s="99" t="s">
        <v>224</v>
      </c>
      <c r="CE9" s="99" t="s">
        <v>225</v>
      </c>
    </row>
    <row r="10" spans="1:83" ht="15.75" x14ac:dyDescent="0.25">
      <c r="A10" s="4" t="s">
        <v>1494</v>
      </c>
      <c r="B10" s="5">
        <v>2063</v>
      </c>
      <c r="C10" s="5">
        <v>2014</v>
      </c>
      <c r="D10" s="5">
        <v>2265</v>
      </c>
      <c r="E10" s="5">
        <v>2900</v>
      </c>
      <c r="F10" s="5">
        <v>3768</v>
      </c>
      <c r="G10" s="5">
        <v>4464</v>
      </c>
      <c r="H10" s="5">
        <v>3746</v>
      </c>
      <c r="I10" s="5">
        <v>3375</v>
      </c>
      <c r="J10" s="5">
        <v>2551</v>
      </c>
      <c r="K10" s="5">
        <v>2579</v>
      </c>
      <c r="L10" s="5">
        <v>2355</v>
      </c>
      <c r="M10" s="5">
        <v>2191</v>
      </c>
      <c r="N10" s="5">
        <v>2221</v>
      </c>
      <c r="O10" s="5">
        <v>2287</v>
      </c>
      <c r="P10" s="5">
        <v>1975</v>
      </c>
      <c r="Q10" s="5">
        <v>1889</v>
      </c>
      <c r="R10" s="5">
        <v>1841</v>
      </c>
      <c r="S10" s="5">
        <v>2126</v>
      </c>
      <c r="T10" s="5">
        <v>1956</v>
      </c>
      <c r="U10" s="5">
        <v>1936</v>
      </c>
      <c r="V10" s="5">
        <v>1562</v>
      </c>
      <c r="W10" s="5">
        <v>1726</v>
      </c>
      <c r="X10" s="5">
        <v>1468</v>
      </c>
      <c r="Y10" s="5">
        <v>1432</v>
      </c>
      <c r="Z10" s="5">
        <v>1426</v>
      </c>
      <c r="AA10" s="5">
        <v>1344</v>
      </c>
      <c r="AB10" s="5">
        <v>1239</v>
      </c>
      <c r="AC10" s="5">
        <v>998</v>
      </c>
      <c r="AD10" s="5">
        <v>1125</v>
      </c>
      <c r="AE10" s="5">
        <v>1103</v>
      </c>
      <c r="AF10" s="5">
        <v>1125</v>
      </c>
      <c r="AG10" s="6">
        <v>1134</v>
      </c>
      <c r="AI10" s="4" t="s">
        <v>134</v>
      </c>
      <c r="AJ10" s="111">
        <v>-74.59266884229821</v>
      </c>
      <c r="AK10" s="111" t="s">
        <v>226</v>
      </c>
      <c r="AL10" s="111">
        <v>-69.723071661652497</v>
      </c>
      <c r="AM10" s="111" t="s">
        <v>226</v>
      </c>
      <c r="AN10" s="111">
        <v>-66.388127034801983</v>
      </c>
      <c r="AO10" s="111" t="s">
        <v>226</v>
      </c>
      <c r="AP10" s="111">
        <v>-55.528813892157288</v>
      </c>
      <c r="AQ10" s="111" t="s">
        <v>226</v>
      </c>
      <c r="AR10" s="111">
        <v>-56.015561963176722</v>
      </c>
      <c r="AS10" s="111" t="s">
        <v>226</v>
      </c>
      <c r="AT10" s="111">
        <v>-51.831687971729899</v>
      </c>
      <c r="AU10" s="111" t="s">
        <v>226</v>
      </c>
      <c r="AV10" s="111">
        <v>-48.234560056982701</v>
      </c>
      <c r="AW10" s="111" t="s">
        <v>226</v>
      </c>
      <c r="AX10" s="111">
        <v>-48.941463751271321</v>
      </c>
      <c r="AY10" s="111" t="s">
        <v>226</v>
      </c>
      <c r="AZ10" s="111">
        <v>-50.396230094924199</v>
      </c>
      <c r="BA10" s="111" t="s">
        <v>226</v>
      </c>
      <c r="BB10" s="111">
        <v>-42.561090685422542</v>
      </c>
      <c r="BC10" s="111" t="s">
        <v>226</v>
      </c>
      <c r="BD10" s="111">
        <v>-39.946210425976837</v>
      </c>
      <c r="BE10" s="111" t="s">
        <v>226</v>
      </c>
      <c r="BF10" s="111">
        <v>-38.375348657286047</v>
      </c>
      <c r="BG10" s="111" t="s">
        <v>226</v>
      </c>
      <c r="BH10" s="111">
        <v>-46.660337628145641</v>
      </c>
      <c r="BI10" s="111" t="s">
        <v>226</v>
      </c>
      <c r="BJ10" s="111">
        <v>-42.025378181477443</v>
      </c>
      <c r="BK10" s="111" t="s">
        <v>226</v>
      </c>
      <c r="BL10" s="111">
        <v>-41.423121464197429</v>
      </c>
      <c r="BM10" s="111" t="s">
        <v>226</v>
      </c>
      <c r="BN10" s="111">
        <v>-27.394420582584011</v>
      </c>
      <c r="BO10" s="111" t="s">
        <v>226</v>
      </c>
      <c r="BP10" s="111">
        <v>-34.26574344075847</v>
      </c>
      <c r="BQ10" s="111" t="s">
        <v>226</v>
      </c>
      <c r="BR10" s="111">
        <v>-22.73319785399341</v>
      </c>
      <c r="BS10" s="111" t="s">
        <v>226</v>
      </c>
      <c r="BT10" s="111">
        <v>-20.79206714960474</v>
      </c>
      <c r="BU10" s="111" t="s">
        <v>226</v>
      </c>
      <c r="BV10" s="111">
        <v>-20.466688763763852</v>
      </c>
      <c r="BW10" s="111"/>
      <c r="BX10" s="111">
        <v>-15.62940513203773</v>
      </c>
      <c r="BY10" s="111"/>
      <c r="BZ10" s="111">
        <v>-8.4216044135644434</v>
      </c>
      <c r="CA10" s="111"/>
      <c r="CB10" s="111">
        <v>13.6494706834198</v>
      </c>
      <c r="CC10" s="111"/>
      <c r="CD10" s="112">
        <v>0.83721630191468943</v>
      </c>
      <c r="CE10" s="111"/>
    </row>
    <row r="11" spans="1:83" ht="15.75" x14ac:dyDescent="0.25">
      <c r="A11" s="7" t="s">
        <v>844</v>
      </c>
      <c r="B11" s="8">
        <v>355</v>
      </c>
      <c r="C11" s="8">
        <v>334</v>
      </c>
      <c r="D11" s="8">
        <v>536</v>
      </c>
      <c r="E11" s="8">
        <v>720</v>
      </c>
      <c r="F11" s="8">
        <v>1289</v>
      </c>
      <c r="G11" s="8">
        <v>1249</v>
      </c>
      <c r="H11" s="8">
        <v>993</v>
      </c>
      <c r="I11" s="8">
        <v>887</v>
      </c>
      <c r="J11" s="8">
        <v>701</v>
      </c>
      <c r="K11" s="8">
        <v>572</v>
      </c>
      <c r="L11" s="8">
        <v>467</v>
      </c>
      <c r="M11" s="8">
        <v>431</v>
      </c>
      <c r="N11" s="8">
        <v>405</v>
      </c>
      <c r="O11" s="8">
        <v>434</v>
      </c>
      <c r="P11" s="8">
        <v>409</v>
      </c>
      <c r="Q11" s="8">
        <v>309</v>
      </c>
      <c r="R11" s="8">
        <v>335</v>
      </c>
      <c r="S11" s="8">
        <v>458</v>
      </c>
      <c r="T11" s="8">
        <v>343</v>
      </c>
      <c r="U11" s="8">
        <v>488</v>
      </c>
      <c r="V11" s="8">
        <v>341</v>
      </c>
      <c r="W11" s="8">
        <v>360</v>
      </c>
      <c r="X11" s="8">
        <v>302</v>
      </c>
      <c r="Y11" s="8">
        <v>302</v>
      </c>
      <c r="Z11" s="8">
        <v>249</v>
      </c>
      <c r="AA11" s="8">
        <v>269</v>
      </c>
      <c r="AB11" s="8">
        <v>200</v>
      </c>
      <c r="AC11" s="8">
        <v>156</v>
      </c>
      <c r="AD11" s="8">
        <v>197</v>
      </c>
      <c r="AE11" s="8">
        <v>210</v>
      </c>
      <c r="AF11" s="8">
        <v>197</v>
      </c>
      <c r="AG11" s="9">
        <v>253</v>
      </c>
      <c r="AI11" s="7" t="s">
        <v>845</v>
      </c>
      <c r="AJ11" s="113">
        <v>-79.757565060145367</v>
      </c>
      <c r="AK11" s="113" t="s">
        <v>226</v>
      </c>
      <c r="AL11" s="113">
        <v>-74.532375393082248</v>
      </c>
      <c r="AM11" s="113" t="s">
        <v>226</v>
      </c>
      <c r="AN11" s="113">
        <v>-71.490452702461653</v>
      </c>
      <c r="AO11" s="113" t="s">
        <v>226</v>
      </c>
      <c r="AP11" s="113">
        <v>-63.9517228811997</v>
      </c>
      <c r="AQ11" s="113" t="s">
        <v>226</v>
      </c>
      <c r="AR11" s="113">
        <v>-55.782173908645902</v>
      </c>
      <c r="AS11" s="113" t="s">
        <v>226</v>
      </c>
      <c r="AT11" s="113">
        <v>-45.904768149171119</v>
      </c>
      <c r="AU11" s="113" t="s">
        <v>226</v>
      </c>
      <c r="AV11" s="113">
        <v>-41.34711930884356</v>
      </c>
      <c r="AW11" s="113" t="s">
        <v>226</v>
      </c>
      <c r="AX11" s="113">
        <v>-37.584911060563762</v>
      </c>
      <c r="AY11" s="113" t="s">
        <v>226</v>
      </c>
      <c r="AZ11" s="113">
        <v>-41.814292687475728</v>
      </c>
      <c r="BA11" s="113" t="s">
        <v>226</v>
      </c>
      <c r="BB11" s="113">
        <v>-38.145940346890782</v>
      </c>
      <c r="BC11" s="113" t="s">
        <v>226</v>
      </c>
      <c r="BD11" s="113">
        <v>-18.318305435092661</v>
      </c>
      <c r="BE11" s="113"/>
      <c r="BF11" s="113">
        <v>-24.46057933085288</v>
      </c>
      <c r="BG11" s="113"/>
      <c r="BH11" s="113">
        <v>-44.840845104721538</v>
      </c>
      <c r="BI11" s="113" t="s">
        <v>226</v>
      </c>
      <c r="BJ11" s="113">
        <v>-26.27805507722595</v>
      </c>
      <c r="BK11" s="113"/>
      <c r="BL11" s="113">
        <v>-48.237456667459803</v>
      </c>
      <c r="BM11" s="113" t="s">
        <v>226</v>
      </c>
      <c r="BN11" s="113">
        <v>-25.771698076723911</v>
      </c>
      <c r="BO11" s="113"/>
      <c r="BP11" s="113">
        <v>-29.7352859795851</v>
      </c>
      <c r="BQ11" s="113"/>
      <c r="BR11" s="113">
        <v>-16.224729648679229</v>
      </c>
      <c r="BS11" s="113"/>
      <c r="BT11" s="113">
        <v>-16.279832498131071</v>
      </c>
      <c r="BU11" s="113"/>
      <c r="BV11" s="113">
        <v>1.5429582630622329</v>
      </c>
      <c r="BW11" s="113"/>
      <c r="BX11" s="113">
        <v>-6.2021858399768259</v>
      </c>
      <c r="BY11" s="113"/>
      <c r="BZ11" s="113">
        <v>26.415210865175709</v>
      </c>
      <c r="CA11" s="113"/>
      <c r="CB11" s="113">
        <v>62.489638097999148</v>
      </c>
      <c r="CC11" s="113"/>
      <c r="CD11" s="114">
        <v>28.223498011239268</v>
      </c>
      <c r="CE11" s="113"/>
    </row>
    <row r="12" spans="1:83" ht="15.75" x14ac:dyDescent="0.25">
      <c r="A12" s="7" t="s">
        <v>846</v>
      </c>
      <c r="B12" s="8">
        <v>804</v>
      </c>
      <c r="C12" s="8">
        <v>694</v>
      </c>
      <c r="D12" s="8">
        <v>838</v>
      </c>
      <c r="E12" s="8">
        <v>1189</v>
      </c>
      <c r="F12" s="8">
        <v>1544</v>
      </c>
      <c r="G12" s="8">
        <v>2122</v>
      </c>
      <c r="H12" s="8">
        <v>1870</v>
      </c>
      <c r="I12" s="8">
        <v>1432</v>
      </c>
      <c r="J12" s="8">
        <v>917</v>
      </c>
      <c r="K12" s="8">
        <v>991</v>
      </c>
      <c r="L12" s="8">
        <v>941</v>
      </c>
      <c r="M12" s="8">
        <v>893</v>
      </c>
      <c r="N12" s="8">
        <v>879</v>
      </c>
      <c r="O12" s="8">
        <v>896</v>
      </c>
      <c r="P12" s="8">
        <v>816</v>
      </c>
      <c r="Q12" s="8">
        <v>721</v>
      </c>
      <c r="R12" s="8">
        <v>732</v>
      </c>
      <c r="S12" s="8">
        <v>756</v>
      </c>
      <c r="T12" s="8">
        <v>832</v>
      </c>
      <c r="U12" s="8">
        <v>777</v>
      </c>
      <c r="V12" s="8">
        <v>598</v>
      </c>
      <c r="W12" s="8">
        <v>660</v>
      </c>
      <c r="X12" s="8">
        <v>604</v>
      </c>
      <c r="Y12" s="8">
        <v>548</v>
      </c>
      <c r="Z12" s="8">
        <v>629</v>
      </c>
      <c r="AA12" s="8">
        <v>459</v>
      </c>
      <c r="AB12" s="8">
        <v>528</v>
      </c>
      <c r="AC12" s="8">
        <v>386</v>
      </c>
      <c r="AD12" s="8">
        <v>453</v>
      </c>
      <c r="AE12" s="8">
        <v>354</v>
      </c>
      <c r="AF12" s="8">
        <v>447</v>
      </c>
      <c r="AG12" s="9">
        <v>319</v>
      </c>
      <c r="AI12" s="7" t="s">
        <v>846</v>
      </c>
      <c r="AJ12" s="113">
        <v>-84.941580470809569</v>
      </c>
      <c r="AK12" s="113" t="s">
        <v>226</v>
      </c>
      <c r="AL12" s="113">
        <v>-82.911646268231081</v>
      </c>
      <c r="AM12" s="113" t="s">
        <v>226</v>
      </c>
      <c r="AN12" s="113">
        <v>-77.696144539488529</v>
      </c>
      <c r="AO12" s="113" t="s">
        <v>226</v>
      </c>
      <c r="AP12" s="113">
        <v>-65.169937342696912</v>
      </c>
      <c r="AQ12" s="113" t="s">
        <v>226</v>
      </c>
      <c r="AR12" s="113">
        <v>-67.763935992515314</v>
      </c>
      <c r="AS12" s="113" t="s">
        <v>226</v>
      </c>
      <c r="AT12" s="113">
        <v>-66.054205783407596</v>
      </c>
      <c r="AU12" s="113" t="s">
        <v>226</v>
      </c>
      <c r="AV12" s="113">
        <v>-64.236172587577329</v>
      </c>
      <c r="AW12" s="113" t="s">
        <v>226</v>
      </c>
      <c r="AX12" s="113">
        <v>-63.670654017778503</v>
      </c>
      <c r="AY12" s="113" t="s">
        <v>226</v>
      </c>
      <c r="AZ12" s="113">
        <v>-64.347024098850653</v>
      </c>
      <c r="BA12" s="113" t="s">
        <v>226</v>
      </c>
      <c r="BB12" s="113">
        <v>-60.832716487038176</v>
      </c>
      <c r="BC12" s="113" t="s">
        <v>226</v>
      </c>
      <c r="BD12" s="113">
        <v>-55.691905047525239</v>
      </c>
      <c r="BE12" s="113" t="s">
        <v>226</v>
      </c>
      <c r="BF12" s="113">
        <v>-56.372918206418788</v>
      </c>
      <c r="BG12" s="113" t="s">
        <v>226</v>
      </c>
      <c r="BH12" s="113">
        <v>-57.730207676154762</v>
      </c>
      <c r="BI12" s="113" t="s">
        <v>226</v>
      </c>
      <c r="BJ12" s="113">
        <v>-61.588982640054432</v>
      </c>
      <c r="BK12" s="113" t="s">
        <v>226</v>
      </c>
      <c r="BL12" s="113">
        <v>-58.879025324789389</v>
      </c>
      <c r="BM12" s="113" t="s">
        <v>226</v>
      </c>
      <c r="BN12" s="113">
        <v>-46.550623349546044</v>
      </c>
      <c r="BO12" s="113" t="s">
        <v>226</v>
      </c>
      <c r="BP12" s="113">
        <v>-51.585491290318878</v>
      </c>
      <c r="BQ12" s="113" t="s">
        <v>226</v>
      </c>
      <c r="BR12" s="113">
        <v>-47.131646615221392</v>
      </c>
      <c r="BS12" s="113" t="s">
        <v>226</v>
      </c>
      <c r="BT12" s="113">
        <v>-41.714341861023307</v>
      </c>
      <c r="BU12" s="113" t="s">
        <v>226</v>
      </c>
      <c r="BV12" s="113">
        <v>-49.21301278410678</v>
      </c>
      <c r="BW12" s="113" t="s">
        <v>226</v>
      </c>
      <c r="BX12" s="113">
        <v>-30.411748921981658</v>
      </c>
      <c r="BY12" s="113"/>
      <c r="BZ12" s="113">
        <v>-39.492507275503201</v>
      </c>
      <c r="CA12" s="113" t="s">
        <v>226</v>
      </c>
      <c r="CB12" s="113">
        <v>-17.266194989960031</v>
      </c>
      <c r="CC12" s="113"/>
      <c r="CD12" s="114">
        <v>-28.568892978491512</v>
      </c>
      <c r="CE12" s="113"/>
    </row>
    <row r="13" spans="1:83" ht="15.75" x14ac:dyDescent="0.25">
      <c r="A13" s="7" t="s">
        <v>847</v>
      </c>
      <c r="B13" s="8">
        <v>904</v>
      </c>
      <c r="C13" s="8">
        <v>913</v>
      </c>
      <c r="D13" s="8">
        <v>889</v>
      </c>
      <c r="E13" s="8">
        <v>868</v>
      </c>
      <c r="F13" s="8">
        <v>935</v>
      </c>
      <c r="G13" s="8">
        <v>1067</v>
      </c>
      <c r="H13" s="8">
        <v>867</v>
      </c>
      <c r="I13" s="8">
        <v>1022</v>
      </c>
      <c r="J13" s="8">
        <v>932</v>
      </c>
      <c r="K13" s="8">
        <v>1000</v>
      </c>
      <c r="L13" s="8">
        <v>934</v>
      </c>
      <c r="M13" s="8">
        <v>866</v>
      </c>
      <c r="N13" s="8">
        <v>933</v>
      </c>
      <c r="O13" s="8">
        <v>950</v>
      </c>
      <c r="P13" s="8">
        <v>745</v>
      </c>
      <c r="Q13" s="8">
        <v>852</v>
      </c>
      <c r="R13" s="8">
        <v>770</v>
      </c>
      <c r="S13" s="8">
        <v>895</v>
      </c>
      <c r="T13" s="8">
        <v>778</v>
      </c>
      <c r="U13" s="8">
        <v>664</v>
      </c>
      <c r="V13" s="8">
        <v>612</v>
      </c>
      <c r="W13" s="8">
        <v>671</v>
      </c>
      <c r="X13" s="8">
        <v>559</v>
      </c>
      <c r="Y13" s="8">
        <v>580</v>
      </c>
      <c r="Z13" s="8">
        <v>542</v>
      </c>
      <c r="AA13" s="8">
        <v>614</v>
      </c>
      <c r="AB13" s="8">
        <v>511</v>
      </c>
      <c r="AC13" s="8">
        <v>452</v>
      </c>
      <c r="AD13" s="8">
        <v>475</v>
      </c>
      <c r="AE13" s="8">
        <v>535</v>
      </c>
      <c r="AF13" s="8">
        <v>480</v>
      </c>
      <c r="AG13" s="9">
        <v>558</v>
      </c>
      <c r="AI13" s="7" t="s">
        <v>847</v>
      </c>
      <c r="AJ13" s="113">
        <v>-47.716858804945318</v>
      </c>
      <c r="AK13" s="113" t="s">
        <v>226</v>
      </c>
      <c r="AL13" s="113">
        <v>-35.657037664618009</v>
      </c>
      <c r="AM13" s="113" t="s">
        <v>226</v>
      </c>
      <c r="AN13" s="113">
        <v>-45.418029113133663</v>
      </c>
      <c r="AO13" s="113" t="s">
        <v>226</v>
      </c>
      <c r="AP13" s="113">
        <v>-40.140540877275093</v>
      </c>
      <c r="AQ13" s="113" t="s">
        <v>226</v>
      </c>
      <c r="AR13" s="113">
        <v>-44.190255929464072</v>
      </c>
      <c r="AS13" s="113" t="s">
        <v>226</v>
      </c>
      <c r="AT13" s="113">
        <v>-40.273315499679441</v>
      </c>
      <c r="AU13" s="113" t="s">
        <v>226</v>
      </c>
      <c r="AV13" s="113">
        <v>-35.587195272340168</v>
      </c>
      <c r="AW13" s="113" t="s">
        <v>226</v>
      </c>
      <c r="AX13" s="113">
        <v>-40.225052664576943</v>
      </c>
      <c r="AY13" s="113" t="s">
        <v>226</v>
      </c>
      <c r="AZ13" s="113">
        <v>-41.267927739727007</v>
      </c>
      <c r="BA13" s="113" t="s">
        <v>226</v>
      </c>
      <c r="BB13" s="113">
        <v>-25.12888779662536</v>
      </c>
      <c r="BC13" s="113" t="s">
        <v>226</v>
      </c>
      <c r="BD13" s="113">
        <v>-34.550021452329993</v>
      </c>
      <c r="BE13" s="113" t="s">
        <v>226</v>
      </c>
      <c r="BF13" s="113">
        <v>-27.504587160905629</v>
      </c>
      <c r="BG13" s="113" t="s">
        <v>226</v>
      </c>
      <c r="BH13" s="113">
        <v>-37.6926626655303</v>
      </c>
      <c r="BI13" s="113" t="s">
        <v>226</v>
      </c>
      <c r="BJ13" s="113">
        <v>-28.253978132208129</v>
      </c>
      <c r="BK13" s="113" t="s">
        <v>226</v>
      </c>
      <c r="BL13" s="113">
        <v>-16.030367596488851</v>
      </c>
      <c r="BM13" s="113"/>
      <c r="BN13" s="113">
        <v>-8.8635092003344731</v>
      </c>
      <c r="BO13" s="113"/>
      <c r="BP13" s="113">
        <v>-16.834573969670359</v>
      </c>
      <c r="BQ13" s="113"/>
      <c r="BR13" s="113">
        <v>-0.2468022148347071</v>
      </c>
      <c r="BS13" s="113"/>
      <c r="BT13" s="113">
        <v>-3.842863442397126</v>
      </c>
      <c r="BU13" s="113"/>
      <c r="BV13" s="113">
        <v>3.0140428491289621</v>
      </c>
      <c r="BW13" s="113"/>
      <c r="BX13" s="113">
        <v>-9.0854031128204902</v>
      </c>
      <c r="BY13" s="113"/>
      <c r="BZ13" s="113">
        <v>9.2683493899705205</v>
      </c>
      <c r="CA13" s="113"/>
      <c r="CB13" s="113">
        <v>23.309531136764509</v>
      </c>
      <c r="CC13" s="113"/>
      <c r="CD13" s="114">
        <v>16.12802930052781</v>
      </c>
      <c r="CE13" s="113"/>
    </row>
    <row r="14" spans="1:83" ht="30" customHeight="1" x14ac:dyDescent="0.25">
      <c r="A14" s="10" t="s">
        <v>146</v>
      </c>
      <c r="B14" s="11">
        <v>9898</v>
      </c>
      <c r="C14" s="11">
        <v>11017</v>
      </c>
      <c r="D14" s="11">
        <v>10391</v>
      </c>
      <c r="E14" s="11">
        <v>10059</v>
      </c>
      <c r="F14" s="11">
        <v>14510</v>
      </c>
      <c r="G14" s="11">
        <v>16337</v>
      </c>
      <c r="H14" s="11">
        <v>14937</v>
      </c>
      <c r="I14" s="11">
        <v>19398</v>
      </c>
      <c r="J14" s="11">
        <v>32787</v>
      </c>
      <c r="K14" s="11">
        <v>36450</v>
      </c>
      <c r="L14" s="11">
        <v>37891</v>
      </c>
      <c r="M14" s="11">
        <v>45118</v>
      </c>
      <c r="N14" s="11">
        <v>47796</v>
      </c>
      <c r="O14" s="11">
        <v>47138</v>
      </c>
      <c r="P14" s="11">
        <v>46911</v>
      </c>
      <c r="Q14" s="11">
        <v>46220</v>
      </c>
      <c r="R14" s="11">
        <v>44559</v>
      </c>
      <c r="S14" s="11">
        <v>46754</v>
      </c>
      <c r="T14" s="11">
        <v>46031</v>
      </c>
      <c r="U14" s="11">
        <v>34880</v>
      </c>
      <c r="V14" s="11">
        <v>35371</v>
      </c>
      <c r="W14" s="11">
        <v>33350</v>
      </c>
      <c r="X14" s="11">
        <v>35324</v>
      </c>
      <c r="Y14" s="11">
        <v>35420</v>
      </c>
      <c r="Z14" s="11">
        <v>34715</v>
      </c>
      <c r="AA14" s="11">
        <v>34163</v>
      </c>
      <c r="AB14" s="11">
        <v>33734</v>
      </c>
      <c r="AC14" s="11">
        <v>31183</v>
      </c>
      <c r="AD14" s="11">
        <v>30847</v>
      </c>
      <c r="AE14" s="11">
        <v>31532</v>
      </c>
      <c r="AF14" s="11">
        <v>31799</v>
      </c>
      <c r="AG14" s="12">
        <v>31791</v>
      </c>
      <c r="AI14" s="10"/>
      <c r="AJ14" s="115"/>
      <c r="AK14" s="115"/>
      <c r="AL14" s="115"/>
      <c r="AM14" s="115"/>
      <c r="AN14" s="115"/>
      <c r="AO14" s="115"/>
      <c r="AP14" s="115"/>
      <c r="AQ14" s="115"/>
      <c r="AR14" s="115"/>
      <c r="AS14" s="115"/>
      <c r="AT14" s="115"/>
      <c r="AU14" s="115"/>
      <c r="AV14" s="115"/>
      <c r="AW14" s="115"/>
      <c r="AX14" s="115"/>
      <c r="AY14" s="115"/>
      <c r="AZ14" s="115"/>
      <c r="BA14" s="115"/>
      <c r="BB14" s="115"/>
      <c r="BC14" s="115"/>
      <c r="BD14" s="115"/>
      <c r="BE14" s="115"/>
      <c r="BF14" s="115"/>
      <c r="BG14" s="115"/>
      <c r="BH14" s="115"/>
      <c r="BI14" s="115"/>
      <c r="BJ14" s="115"/>
      <c r="BK14" s="115"/>
      <c r="BL14" s="115"/>
      <c r="BM14" s="115"/>
      <c r="BN14" s="115"/>
      <c r="BO14" s="115"/>
      <c r="BP14" s="115"/>
      <c r="BQ14" s="115"/>
      <c r="BR14" s="115"/>
      <c r="BS14" s="115"/>
      <c r="BT14" s="115"/>
      <c r="BU14" s="115"/>
      <c r="BV14" s="115"/>
      <c r="BW14" s="115"/>
      <c r="BX14" s="115"/>
      <c r="BY14" s="115"/>
      <c r="BZ14" s="115"/>
      <c r="CA14" s="115"/>
      <c r="CB14" s="115"/>
      <c r="CC14" s="115"/>
      <c r="CD14" s="116"/>
      <c r="CE14" s="115"/>
    </row>
    <row r="15" spans="1:83" ht="30.75" customHeight="1" x14ac:dyDescent="0.25">
      <c r="B15" s="124"/>
      <c r="C15" s="124"/>
      <c r="D15" s="124"/>
      <c r="E15" s="124"/>
      <c r="F15" s="124"/>
      <c r="G15" s="124"/>
      <c r="H15" s="124"/>
      <c r="I15" s="124"/>
      <c r="J15" s="124"/>
      <c r="K15" s="124"/>
      <c r="L15" s="124"/>
      <c r="M15" s="124"/>
      <c r="N15" s="124"/>
      <c r="O15" s="124"/>
      <c r="P15" s="124"/>
      <c r="Q15" s="124"/>
      <c r="R15" s="124"/>
      <c r="S15" s="124"/>
      <c r="T15" s="124"/>
      <c r="U15" s="124"/>
      <c r="V15" s="124"/>
      <c r="W15" s="124"/>
      <c r="X15" s="124"/>
      <c r="Y15" s="124"/>
      <c r="Z15" s="124"/>
      <c r="AA15" s="124"/>
      <c r="AB15" s="124"/>
      <c r="AC15" s="124"/>
      <c r="AD15" s="124"/>
      <c r="AE15" s="124"/>
      <c r="AF15" s="124"/>
      <c r="AG15" s="124"/>
      <c r="AJ15" s="123"/>
      <c r="AK15" s="123"/>
      <c r="AL15" s="123"/>
      <c r="AM15" s="123"/>
      <c r="AN15" s="123"/>
      <c r="AO15" s="123"/>
      <c r="AP15" s="123"/>
      <c r="AQ15" s="123"/>
      <c r="AR15" s="123"/>
      <c r="AS15" s="123"/>
      <c r="AT15" s="123"/>
      <c r="AU15" s="123"/>
      <c r="AV15" s="123"/>
      <c r="AW15" s="123"/>
      <c r="AX15" s="123"/>
      <c r="AY15" s="123"/>
      <c r="AZ15" s="123"/>
      <c r="BA15" s="123"/>
      <c r="BB15" s="123"/>
      <c r="BC15" s="123"/>
      <c r="BD15" s="123"/>
      <c r="BE15" s="123"/>
      <c r="BF15" s="123"/>
      <c r="BG15" s="123"/>
      <c r="BH15" s="123"/>
      <c r="BI15" s="123"/>
      <c r="BJ15" s="123"/>
      <c r="BK15" s="123"/>
      <c r="BL15" s="123"/>
      <c r="BM15" s="123"/>
      <c r="BN15" s="123"/>
      <c r="BO15" s="123"/>
      <c r="BP15" s="123"/>
      <c r="BQ15" s="123"/>
      <c r="BR15" s="123"/>
      <c r="BS15" s="123"/>
      <c r="BT15" s="123"/>
      <c r="BU15" s="123"/>
      <c r="BV15" s="123"/>
      <c r="BW15" s="123"/>
      <c r="BX15" s="123"/>
      <c r="BY15" s="123"/>
      <c r="BZ15" s="123"/>
      <c r="CA15" s="123"/>
      <c r="CB15" s="123"/>
      <c r="CC15" s="123"/>
      <c r="CD15" s="123"/>
      <c r="CE15" s="123"/>
    </row>
    <row r="16" spans="1:83" ht="16.5" x14ac:dyDescent="0.25">
      <c r="A16" s="32" t="s">
        <v>848</v>
      </c>
      <c r="B16" s="124"/>
      <c r="C16" s="124"/>
      <c r="D16" s="124"/>
      <c r="E16" s="124"/>
      <c r="F16" s="124"/>
      <c r="G16" s="124"/>
      <c r="H16" s="124"/>
      <c r="I16" s="124"/>
      <c r="J16" s="124"/>
      <c r="K16" s="124"/>
      <c r="L16" s="124"/>
      <c r="M16" s="124"/>
      <c r="N16" s="124"/>
      <c r="O16" s="124"/>
      <c r="P16" s="124"/>
      <c r="Q16" s="124"/>
      <c r="R16" s="124"/>
      <c r="S16" s="124"/>
      <c r="T16" s="124"/>
      <c r="U16" s="124"/>
      <c r="V16" s="124"/>
      <c r="W16" s="124"/>
      <c r="X16" s="124"/>
      <c r="Y16" s="124"/>
      <c r="Z16" s="124"/>
      <c r="AA16" s="124"/>
      <c r="AB16" s="124"/>
      <c r="AC16" s="124"/>
      <c r="AD16" s="124"/>
      <c r="AE16" s="124"/>
      <c r="AF16" s="124"/>
      <c r="AG16" s="124"/>
      <c r="AI16" s="32" t="s">
        <v>849</v>
      </c>
      <c r="AJ16" s="123"/>
      <c r="AK16" s="123"/>
      <c r="AL16" s="123"/>
      <c r="AM16" s="123"/>
      <c r="AN16" s="123"/>
      <c r="AO16" s="123"/>
      <c r="AP16" s="123"/>
      <c r="AQ16" s="123"/>
      <c r="AR16" s="123"/>
      <c r="AS16" s="123"/>
      <c r="AT16" s="123"/>
      <c r="AU16" s="123"/>
      <c r="AV16" s="123"/>
      <c r="AW16" s="123"/>
      <c r="AX16" s="123"/>
      <c r="AY16" s="123"/>
      <c r="AZ16" s="123"/>
      <c r="BA16" s="123"/>
      <c r="BB16" s="123"/>
      <c r="BC16" s="123"/>
      <c r="BD16" s="123"/>
      <c r="BE16" s="123"/>
      <c r="BF16" s="123"/>
      <c r="BG16" s="123"/>
      <c r="BH16" s="123"/>
      <c r="BI16" s="123"/>
      <c r="BJ16" s="123"/>
      <c r="BK16" s="123"/>
      <c r="BL16" s="123"/>
      <c r="BM16" s="123"/>
      <c r="BN16" s="123"/>
      <c r="BO16" s="123"/>
      <c r="BP16" s="123"/>
      <c r="BQ16" s="123"/>
      <c r="BR16" s="123"/>
      <c r="BS16" s="123"/>
      <c r="BT16" s="123"/>
      <c r="BU16" s="123"/>
      <c r="BV16" s="123"/>
      <c r="BW16" s="123"/>
      <c r="BX16" s="123"/>
      <c r="BY16" s="123"/>
      <c r="BZ16" s="123"/>
      <c r="CA16" s="123"/>
      <c r="CB16" s="123"/>
      <c r="CC16" s="123"/>
      <c r="CD16" s="123"/>
      <c r="CE16" s="123"/>
    </row>
    <row r="17" spans="1:83" ht="47.25" x14ac:dyDescent="0.25">
      <c r="A17" s="31" t="s">
        <v>842</v>
      </c>
      <c r="B17" s="99" t="s">
        <v>102</v>
      </c>
      <c r="C17" s="99" t="s">
        <v>103</v>
      </c>
      <c r="D17" s="99" t="s">
        <v>104</v>
      </c>
      <c r="E17" s="99" t="s">
        <v>105</v>
      </c>
      <c r="F17" s="99" t="s">
        <v>106</v>
      </c>
      <c r="G17" s="99" t="s">
        <v>107</v>
      </c>
      <c r="H17" s="99" t="s">
        <v>108</v>
      </c>
      <c r="I17" s="99" t="s">
        <v>109</v>
      </c>
      <c r="J17" s="99" t="s">
        <v>110</v>
      </c>
      <c r="K17" s="99" t="s">
        <v>111</v>
      </c>
      <c r="L17" s="99" t="s">
        <v>112</v>
      </c>
      <c r="M17" s="99" t="s">
        <v>113</v>
      </c>
      <c r="N17" s="99" t="s">
        <v>114</v>
      </c>
      <c r="O17" s="99" t="s">
        <v>115</v>
      </c>
      <c r="P17" s="99" t="s">
        <v>116</v>
      </c>
      <c r="Q17" s="99" t="s">
        <v>117</v>
      </c>
      <c r="R17" s="99" t="s">
        <v>118</v>
      </c>
      <c r="S17" s="99" t="s">
        <v>119</v>
      </c>
      <c r="T17" s="99" t="s">
        <v>120</v>
      </c>
      <c r="U17" s="99" t="s">
        <v>121</v>
      </c>
      <c r="V17" s="99" t="s">
        <v>122</v>
      </c>
      <c r="W17" s="99" t="s">
        <v>123</v>
      </c>
      <c r="X17" s="99" t="s">
        <v>124</v>
      </c>
      <c r="Y17" s="99" t="s">
        <v>125</v>
      </c>
      <c r="Z17" s="99" t="s">
        <v>126</v>
      </c>
      <c r="AA17" s="99" t="s">
        <v>127</v>
      </c>
      <c r="AB17" s="99" t="s">
        <v>128</v>
      </c>
      <c r="AC17" s="99" t="s">
        <v>129</v>
      </c>
      <c r="AD17" s="99" t="s">
        <v>130</v>
      </c>
      <c r="AE17" s="99" t="s">
        <v>131</v>
      </c>
      <c r="AF17" s="99" t="s">
        <v>132</v>
      </c>
      <c r="AG17" s="99" t="s">
        <v>133</v>
      </c>
      <c r="AI17" s="31" t="s">
        <v>842</v>
      </c>
      <c r="AJ17" s="99" t="s">
        <v>178</v>
      </c>
      <c r="AK17" s="99" t="s">
        <v>179</v>
      </c>
      <c r="AL17" s="99" t="s">
        <v>180</v>
      </c>
      <c r="AM17" s="99" t="s">
        <v>181</v>
      </c>
      <c r="AN17" s="99" t="s">
        <v>182</v>
      </c>
      <c r="AO17" s="99" t="s">
        <v>183</v>
      </c>
      <c r="AP17" s="99" t="s">
        <v>184</v>
      </c>
      <c r="AQ17" s="99" t="s">
        <v>185</v>
      </c>
      <c r="AR17" s="99" t="s">
        <v>186</v>
      </c>
      <c r="AS17" s="99" t="s">
        <v>187</v>
      </c>
      <c r="AT17" s="99" t="s">
        <v>188</v>
      </c>
      <c r="AU17" s="99" t="s">
        <v>189</v>
      </c>
      <c r="AV17" s="99" t="s">
        <v>190</v>
      </c>
      <c r="AW17" s="99" t="s">
        <v>191</v>
      </c>
      <c r="AX17" s="99" t="s">
        <v>192</v>
      </c>
      <c r="AY17" s="99" t="s">
        <v>193</v>
      </c>
      <c r="AZ17" s="99" t="s">
        <v>194</v>
      </c>
      <c r="BA17" s="99" t="s">
        <v>195</v>
      </c>
      <c r="BB17" s="99" t="s">
        <v>196</v>
      </c>
      <c r="BC17" s="99" t="s">
        <v>197</v>
      </c>
      <c r="BD17" s="99" t="s">
        <v>198</v>
      </c>
      <c r="BE17" s="99" t="s">
        <v>199</v>
      </c>
      <c r="BF17" s="99" t="s">
        <v>200</v>
      </c>
      <c r="BG17" s="99" t="s">
        <v>201</v>
      </c>
      <c r="BH17" s="99" t="s">
        <v>202</v>
      </c>
      <c r="BI17" s="99" t="s">
        <v>203</v>
      </c>
      <c r="BJ17" s="99" t="s">
        <v>843</v>
      </c>
      <c r="BK17" s="99" t="s">
        <v>205</v>
      </c>
      <c r="BL17" s="99" t="s">
        <v>206</v>
      </c>
      <c r="BM17" s="99" t="s">
        <v>207</v>
      </c>
      <c r="BN17" s="99" t="s">
        <v>208</v>
      </c>
      <c r="BO17" s="99" t="s">
        <v>209</v>
      </c>
      <c r="BP17" s="99" t="s">
        <v>210</v>
      </c>
      <c r="BQ17" s="99" t="s">
        <v>211</v>
      </c>
      <c r="BR17" s="99" t="s">
        <v>212</v>
      </c>
      <c r="BS17" s="99" t="s">
        <v>213</v>
      </c>
      <c r="BT17" s="99" t="s">
        <v>214</v>
      </c>
      <c r="BU17" s="99" t="s">
        <v>215</v>
      </c>
      <c r="BV17" s="99" t="s">
        <v>216</v>
      </c>
      <c r="BW17" s="99" t="s">
        <v>217</v>
      </c>
      <c r="BX17" s="99" t="s">
        <v>218</v>
      </c>
      <c r="BY17" s="99" t="s">
        <v>219</v>
      </c>
      <c r="BZ17" s="99" t="s">
        <v>220</v>
      </c>
      <c r="CA17" s="99" t="s">
        <v>221</v>
      </c>
      <c r="CB17" s="99" t="s">
        <v>222</v>
      </c>
      <c r="CC17" s="99" t="s">
        <v>223</v>
      </c>
      <c r="CD17" s="99" t="s">
        <v>224</v>
      </c>
      <c r="CE17" s="99" t="s">
        <v>225</v>
      </c>
    </row>
    <row r="18" spans="1:83" ht="15.75" x14ac:dyDescent="0.25">
      <c r="A18" s="4" t="s">
        <v>850</v>
      </c>
      <c r="B18" s="5">
        <v>53.284101</v>
      </c>
      <c r="C18" s="5">
        <v>51.467579999999998</v>
      </c>
      <c r="D18" s="5">
        <v>56.576788999999998</v>
      </c>
      <c r="E18" s="5">
        <v>71.612031000000002</v>
      </c>
      <c r="F18" s="5">
        <v>92.954718</v>
      </c>
      <c r="G18" s="5">
        <v>109.725543</v>
      </c>
      <c r="H18" s="5">
        <v>91.449258</v>
      </c>
      <c r="I18" s="5">
        <v>81.659679999999994</v>
      </c>
      <c r="J18" s="5">
        <v>62.361761999999999</v>
      </c>
      <c r="K18" s="5">
        <v>62.617547999999999</v>
      </c>
      <c r="L18" s="5">
        <v>56.791410999999997</v>
      </c>
      <c r="M18" s="5">
        <v>52.457206999999997</v>
      </c>
      <c r="N18" s="5">
        <v>52.679569999999998</v>
      </c>
      <c r="O18" s="5">
        <v>53.727578000000001</v>
      </c>
      <c r="P18" s="5">
        <v>45.954673</v>
      </c>
      <c r="Q18" s="5">
        <v>43.528146</v>
      </c>
      <c r="R18" s="5">
        <v>42.068129999999996</v>
      </c>
      <c r="S18" s="5">
        <v>48.18591</v>
      </c>
      <c r="T18" s="5">
        <v>43.938440999999997</v>
      </c>
      <c r="U18" s="5">
        <v>43.125734999999999</v>
      </c>
      <c r="V18" s="5">
        <v>34.499648999999998</v>
      </c>
      <c r="W18" s="5">
        <v>37.934704000000004</v>
      </c>
      <c r="X18" s="5">
        <v>32.006746</v>
      </c>
      <c r="Y18" s="5">
        <v>30.985596000000001</v>
      </c>
      <c r="Z18" s="5">
        <v>30.649353999999999</v>
      </c>
      <c r="AA18" s="5">
        <v>28.711414000000001</v>
      </c>
      <c r="AB18" s="5">
        <v>26.291582999999999</v>
      </c>
      <c r="AC18" s="5">
        <v>20.854234999999999</v>
      </c>
      <c r="AD18" s="5">
        <v>23.354801999999999</v>
      </c>
      <c r="AE18" s="5">
        <v>22.759732</v>
      </c>
      <c r="AF18" s="5">
        <v>23.326432</v>
      </c>
      <c r="AG18" s="6">
        <v>23.375702</v>
      </c>
      <c r="AI18" s="4" t="s">
        <v>134</v>
      </c>
      <c r="AJ18" s="111">
        <v>-78.696207586241641</v>
      </c>
      <c r="AK18" s="111" t="s">
        <v>226</v>
      </c>
      <c r="AL18" s="111">
        <v>-74.438609579475298</v>
      </c>
      <c r="AM18" s="111" t="s">
        <v>226</v>
      </c>
      <c r="AN18" s="111">
        <v>-71.374242808465766</v>
      </c>
      <c r="AO18" s="111" t="s">
        <v>226</v>
      </c>
      <c r="AP18" s="111">
        <v>-62.515969867572572</v>
      </c>
      <c r="AQ18" s="111" t="s">
        <v>226</v>
      </c>
      <c r="AR18" s="111">
        <v>-62.66908772329878</v>
      </c>
      <c r="AS18" s="111" t="s">
        <v>226</v>
      </c>
      <c r="AT18" s="111">
        <v>-58.839371486578649</v>
      </c>
      <c r="AU18" s="111" t="s">
        <v>226</v>
      </c>
      <c r="AV18" s="111">
        <v>-55.438531486686507</v>
      </c>
      <c r="AW18" s="111" t="s">
        <v>226</v>
      </c>
      <c r="AX18" s="111">
        <v>-55.626627176593317</v>
      </c>
      <c r="AY18" s="111" t="s">
        <v>226</v>
      </c>
      <c r="AZ18" s="111">
        <v>-56.4921730280725</v>
      </c>
      <c r="BA18" s="111" t="s">
        <v>226</v>
      </c>
      <c r="BB18" s="111">
        <v>-49.133134184429693</v>
      </c>
      <c r="BC18" s="111" t="s">
        <v>226</v>
      </c>
      <c r="BD18" s="111">
        <v>-46.297502149512617</v>
      </c>
      <c r="BE18" s="111" t="s">
        <v>226</v>
      </c>
      <c r="BF18" s="111">
        <v>-44.433702970818203</v>
      </c>
      <c r="BG18" s="111" t="s">
        <v>226</v>
      </c>
      <c r="BH18" s="111">
        <v>-51.488512464844959</v>
      </c>
      <c r="BI18" s="111" t="s">
        <v>226</v>
      </c>
      <c r="BJ18" s="111">
        <v>-46.798972859651641</v>
      </c>
      <c r="BK18" s="111" t="s">
        <v>226</v>
      </c>
      <c r="BL18" s="111">
        <v>-45.796398460926611</v>
      </c>
      <c r="BM18" s="111" t="s">
        <v>226</v>
      </c>
      <c r="BN18" s="111">
        <v>-32.243652770386262</v>
      </c>
      <c r="BO18" s="111" t="s">
        <v>226</v>
      </c>
      <c r="BP18" s="111">
        <v>-38.379110478338767</v>
      </c>
      <c r="BQ18" s="111" t="s">
        <v>226</v>
      </c>
      <c r="BR18" s="111">
        <v>-26.966328016898981</v>
      </c>
      <c r="BS18" s="111" t="s">
        <v>226</v>
      </c>
      <c r="BT18" s="111">
        <v>-24.559457563220231</v>
      </c>
      <c r="BU18" s="111" t="s">
        <v>226</v>
      </c>
      <c r="BV18" s="111">
        <v>-23.73182827147653</v>
      </c>
      <c r="BW18" s="111" t="s">
        <v>226</v>
      </c>
      <c r="BX18" s="111">
        <v>-18.583939775756718</v>
      </c>
      <c r="BY18" s="111"/>
      <c r="BZ18" s="111">
        <v>-11.09055136574281</v>
      </c>
      <c r="CA18" s="111"/>
      <c r="CB18" s="111">
        <v>12.090909739442729</v>
      </c>
      <c r="CC18" s="111"/>
      <c r="CD18" s="112">
        <v>0.21122099270798331</v>
      </c>
      <c r="CE18" s="111"/>
    </row>
    <row r="19" spans="1:83" ht="15.75" x14ac:dyDescent="0.25">
      <c r="A19" s="7" t="s">
        <v>844</v>
      </c>
      <c r="B19" s="8">
        <v>9.1687110000000001</v>
      </c>
      <c r="C19" s="8">
        <v>8.5416089999999993</v>
      </c>
      <c r="D19" s="8">
        <v>13.391266999999999</v>
      </c>
      <c r="E19" s="8">
        <v>17.785592999999999</v>
      </c>
      <c r="F19" s="8">
        <v>31.793068999999999</v>
      </c>
      <c r="G19" s="8">
        <v>30.692585999999999</v>
      </c>
      <c r="H19" s="8">
        <v>24.229029000000001</v>
      </c>
      <c r="I19" s="8">
        <v>21.455611999999999</v>
      </c>
      <c r="J19" s="8">
        <v>17.145233999999999</v>
      </c>
      <c r="K19" s="8">
        <v>13.881249</v>
      </c>
      <c r="L19" s="8">
        <v>11.269793</v>
      </c>
      <c r="M19" s="8">
        <v>10.317786999999999</v>
      </c>
      <c r="N19" s="8">
        <v>9.6039929999999991</v>
      </c>
      <c r="O19" s="8">
        <v>10.207667000000001</v>
      </c>
      <c r="P19" s="8">
        <v>9.5103939999999998</v>
      </c>
      <c r="Q19" s="8">
        <v>7.1320880000000004</v>
      </c>
      <c r="R19" s="8">
        <v>7.6482989999999997</v>
      </c>
      <c r="S19" s="8">
        <v>10.384452</v>
      </c>
      <c r="T19" s="8">
        <v>7.7004590000000004</v>
      </c>
      <c r="U19" s="8">
        <v>10.87622</v>
      </c>
      <c r="V19" s="8">
        <v>7.5204870000000001</v>
      </c>
      <c r="W19" s="8">
        <v>7.909008</v>
      </c>
      <c r="X19" s="8">
        <v>6.5788419999999999</v>
      </c>
      <c r="Y19" s="8">
        <v>6.5332499999999998</v>
      </c>
      <c r="Z19" s="8">
        <v>5.349971</v>
      </c>
      <c r="AA19" s="8">
        <v>5.7555100000000001</v>
      </c>
      <c r="AB19" s="8">
        <v>4.2446440000000001</v>
      </c>
      <c r="AC19" s="8">
        <v>3.2506249999999999</v>
      </c>
      <c r="AD19" s="8">
        <v>4.0870980000000001</v>
      </c>
      <c r="AE19" s="8">
        <v>4.3264129999999996</v>
      </c>
      <c r="AF19" s="8">
        <v>4.0882019999999999</v>
      </c>
      <c r="AG19" s="9">
        <v>5.2094940000000003</v>
      </c>
      <c r="AI19" s="7" t="s">
        <v>845</v>
      </c>
      <c r="AJ19" s="113">
        <v>-83.026866818091435</v>
      </c>
      <c r="AK19" s="113" t="s">
        <v>226</v>
      </c>
      <c r="AL19" s="113">
        <v>-78.498958820386576</v>
      </c>
      <c r="AM19" s="113" t="s">
        <v>226</v>
      </c>
      <c r="AN19" s="113">
        <v>-75.719669667932294</v>
      </c>
      <c r="AO19" s="113" t="s">
        <v>226</v>
      </c>
      <c r="AP19" s="113">
        <v>-69.615501082487867</v>
      </c>
      <c r="AQ19" s="113" t="s">
        <v>226</v>
      </c>
      <c r="AR19" s="113">
        <v>-62.471004272941563</v>
      </c>
      <c r="AS19" s="113" t="s">
        <v>226</v>
      </c>
      <c r="AT19" s="113">
        <v>-53.774719326002327</v>
      </c>
      <c r="AU19" s="113" t="s">
        <v>226</v>
      </c>
      <c r="AV19" s="113">
        <v>-49.509585943290759</v>
      </c>
      <c r="AW19" s="113" t="s">
        <v>226</v>
      </c>
      <c r="AX19" s="113">
        <v>-45.757003305020987</v>
      </c>
      <c r="AY19" s="113" t="s">
        <v>226</v>
      </c>
      <c r="AZ19" s="113">
        <v>-48.964893363400599</v>
      </c>
      <c r="BA19" s="113" t="s">
        <v>226</v>
      </c>
      <c r="BB19" s="113">
        <v>-45.223156367672473</v>
      </c>
      <c r="BC19" s="113" t="s">
        <v>226</v>
      </c>
      <c r="BD19" s="113">
        <v>-26.956965445482322</v>
      </c>
      <c r="BE19" s="113"/>
      <c r="BF19" s="113">
        <v>-31.886902424446461</v>
      </c>
      <c r="BG19" s="113"/>
      <c r="BH19" s="113">
        <v>-49.833715926846637</v>
      </c>
      <c r="BI19" s="113" t="s">
        <v>226</v>
      </c>
      <c r="BJ19" s="113">
        <v>-32.348274623918861</v>
      </c>
      <c r="BK19" s="113"/>
      <c r="BL19" s="113">
        <v>-52.101983865461079</v>
      </c>
      <c r="BM19" s="113" t="s">
        <v>226</v>
      </c>
      <c r="BN19" s="113">
        <v>-30.729309763372669</v>
      </c>
      <c r="BO19" s="113"/>
      <c r="BP19" s="113">
        <v>-34.132149522010479</v>
      </c>
      <c r="BQ19" s="113"/>
      <c r="BR19" s="113">
        <v>-20.814432001358789</v>
      </c>
      <c r="BS19" s="113"/>
      <c r="BT19" s="113">
        <v>-20.261839715893579</v>
      </c>
      <c r="BU19" s="113"/>
      <c r="BV19" s="113">
        <v>-2.6257594420010082</v>
      </c>
      <c r="BW19" s="113"/>
      <c r="BX19" s="113">
        <v>-9.4868479915732102</v>
      </c>
      <c r="BY19" s="113"/>
      <c r="BZ19" s="113">
        <v>22.730984959102241</v>
      </c>
      <c r="CA19" s="113"/>
      <c r="CB19" s="113">
        <v>60.261295121342457</v>
      </c>
      <c r="CC19" s="113"/>
      <c r="CD19" s="114">
        <v>27.427489243555911</v>
      </c>
      <c r="CE19" s="113"/>
    </row>
    <row r="20" spans="1:83" ht="15.75" x14ac:dyDescent="0.25">
      <c r="A20" s="7" t="s">
        <v>846</v>
      </c>
      <c r="B20" s="8">
        <v>20.760446999999999</v>
      </c>
      <c r="C20" s="8">
        <v>17.745370000000001</v>
      </c>
      <c r="D20" s="8">
        <v>20.917304000000001</v>
      </c>
      <c r="E20" s="8">
        <v>29.368410999999998</v>
      </c>
      <c r="F20" s="8">
        <v>38.102894999999997</v>
      </c>
      <c r="G20" s="8">
        <v>52.144029000000003</v>
      </c>
      <c r="H20" s="8">
        <v>45.636240000000001</v>
      </c>
      <c r="I20" s="8">
        <v>34.660812999999997</v>
      </c>
      <c r="J20" s="8">
        <v>22.426480999999999</v>
      </c>
      <c r="K20" s="8">
        <v>24.064198000000001</v>
      </c>
      <c r="L20" s="8">
        <v>22.697416</v>
      </c>
      <c r="M20" s="8">
        <v>21.385498999999999</v>
      </c>
      <c r="N20" s="8">
        <v>20.853131999999999</v>
      </c>
      <c r="O20" s="8">
        <v>21.053992000000001</v>
      </c>
      <c r="P20" s="8">
        <v>18.981508000000002</v>
      </c>
      <c r="Q20" s="8">
        <v>16.61674</v>
      </c>
      <c r="R20" s="8">
        <v>16.736699000000002</v>
      </c>
      <c r="S20" s="8">
        <v>17.126101999999999</v>
      </c>
      <c r="T20" s="8">
        <v>18.678632</v>
      </c>
      <c r="U20" s="8">
        <v>17.302849999999999</v>
      </c>
      <c r="V20" s="8">
        <v>13.199586</v>
      </c>
      <c r="W20" s="8">
        <v>14.506786999999999</v>
      </c>
      <c r="X20" s="8">
        <v>13.175193</v>
      </c>
      <c r="Y20" s="8">
        <v>11.860011999999999</v>
      </c>
      <c r="Z20" s="8">
        <v>13.518741</v>
      </c>
      <c r="AA20" s="8">
        <v>9.8045589999999994</v>
      </c>
      <c r="AB20" s="8">
        <v>11.207762000000001</v>
      </c>
      <c r="AC20" s="8">
        <v>8.0685780000000005</v>
      </c>
      <c r="AD20" s="8">
        <v>9.4100579999999994</v>
      </c>
      <c r="AE20" s="8">
        <v>7.3009969999999997</v>
      </c>
      <c r="AF20" s="8">
        <v>9.2747039999999998</v>
      </c>
      <c r="AG20" s="9">
        <v>6.5838960000000002</v>
      </c>
      <c r="AI20" s="7" t="s">
        <v>846</v>
      </c>
      <c r="AJ20" s="113">
        <v>-87.373634011780325</v>
      </c>
      <c r="AK20" s="113" t="s">
        <v>226</v>
      </c>
      <c r="AL20" s="113">
        <v>-85.573097456880788</v>
      </c>
      <c r="AM20" s="113" t="s">
        <v>226</v>
      </c>
      <c r="AN20" s="113">
        <v>-81.004785076502444</v>
      </c>
      <c r="AO20" s="113" t="s">
        <v>226</v>
      </c>
      <c r="AP20" s="113">
        <v>-70.642313988538532</v>
      </c>
      <c r="AQ20" s="113" t="s">
        <v>226</v>
      </c>
      <c r="AR20" s="113">
        <v>-72.64028525511759</v>
      </c>
      <c r="AS20" s="113" t="s">
        <v>226</v>
      </c>
      <c r="AT20" s="113">
        <v>-70.992750914925224</v>
      </c>
      <c r="AU20" s="113" t="s">
        <v>226</v>
      </c>
      <c r="AV20" s="113">
        <v>-69.213269109977119</v>
      </c>
      <c r="AW20" s="113" t="s">
        <v>226</v>
      </c>
      <c r="AX20" s="113">
        <v>-68.427304578286225</v>
      </c>
      <c r="AY20" s="113" t="s">
        <v>226</v>
      </c>
      <c r="AZ20" s="113">
        <v>-68.728515803195208</v>
      </c>
      <c r="BA20" s="113" t="s">
        <v>226</v>
      </c>
      <c r="BB20" s="113">
        <v>-65.314157607906665</v>
      </c>
      <c r="BC20" s="113" t="s">
        <v>226</v>
      </c>
      <c r="BD20" s="113">
        <v>-60.37793135542826</v>
      </c>
      <c r="BE20" s="113" t="s">
        <v>226</v>
      </c>
      <c r="BF20" s="113">
        <v>-60.661921273121642</v>
      </c>
      <c r="BG20" s="113" t="s">
        <v>226</v>
      </c>
      <c r="BH20" s="113">
        <v>-61.556365134614531</v>
      </c>
      <c r="BI20" s="113" t="s">
        <v>226</v>
      </c>
      <c r="BJ20" s="113">
        <v>-64.751722179807388</v>
      </c>
      <c r="BK20" s="113" t="s">
        <v>226</v>
      </c>
      <c r="BL20" s="113">
        <v>-61.949066218188008</v>
      </c>
      <c r="BM20" s="113" t="s">
        <v>226</v>
      </c>
      <c r="BN20" s="113">
        <v>-50.120437666200573</v>
      </c>
      <c r="BO20" s="113" t="s">
        <v>226</v>
      </c>
      <c r="BP20" s="113">
        <v>-54.615063004989459</v>
      </c>
      <c r="BQ20" s="113" t="s">
        <v>226</v>
      </c>
      <c r="BR20" s="113">
        <v>-50.028086145781813</v>
      </c>
      <c r="BS20" s="113" t="s">
        <v>226</v>
      </c>
      <c r="BT20" s="113">
        <v>-44.486599937889537</v>
      </c>
      <c r="BU20" s="113" t="s">
        <v>226</v>
      </c>
      <c r="BV20" s="113">
        <v>-51.298008326017673</v>
      </c>
      <c r="BW20" s="113" t="s">
        <v>226</v>
      </c>
      <c r="BX20" s="113">
        <v>-32.84862754990133</v>
      </c>
      <c r="BY20" s="113" t="s">
        <v>226</v>
      </c>
      <c r="BZ20" s="113">
        <v>-41.255928475502792</v>
      </c>
      <c r="CA20" s="113" t="s">
        <v>226</v>
      </c>
      <c r="CB20" s="113">
        <v>-18.400786060184991</v>
      </c>
      <c r="CC20" s="113"/>
      <c r="CD20" s="114">
        <v>-29.012335782317269</v>
      </c>
      <c r="CE20" s="113"/>
    </row>
    <row r="21" spans="1:83" ht="15.75" x14ac:dyDescent="0.25">
      <c r="A21" s="7" t="s">
        <v>847</v>
      </c>
      <c r="B21" s="8">
        <v>23.354942000000001</v>
      </c>
      <c r="C21" s="8">
        <v>23.343122999999999</v>
      </c>
      <c r="D21" s="8">
        <v>22.199034000000001</v>
      </c>
      <c r="E21" s="8">
        <v>21.439955000000001</v>
      </c>
      <c r="F21" s="8">
        <v>23.058752999999999</v>
      </c>
      <c r="G21" s="8">
        <v>26.229354000000001</v>
      </c>
      <c r="H21" s="8">
        <v>21.167573999999998</v>
      </c>
      <c r="I21" s="8">
        <v>24.736149000000001</v>
      </c>
      <c r="J21" s="8">
        <v>22.790047000000001</v>
      </c>
      <c r="K21" s="8">
        <v>24.275376999999999</v>
      </c>
      <c r="L21" s="8">
        <v>22.529762000000002</v>
      </c>
      <c r="M21" s="8">
        <v>20.737375</v>
      </c>
      <c r="N21" s="8">
        <v>22.134630999999999</v>
      </c>
      <c r="O21" s="8">
        <v>22.321200000000001</v>
      </c>
      <c r="P21" s="8">
        <v>17.342131999999999</v>
      </c>
      <c r="Q21" s="8">
        <v>19.646355</v>
      </c>
      <c r="R21" s="8">
        <v>17.590495000000001</v>
      </c>
      <c r="S21" s="8">
        <v>20.291402000000001</v>
      </c>
      <c r="T21" s="8">
        <v>17.464881999999999</v>
      </c>
      <c r="U21" s="8">
        <v>14.798626000000001</v>
      </c>
      <c r="V21" s="8">
        <v>13.519894000000001</v>
      </c>
      <c r="W21" s="8">
        <v>14.749135000000001</v>
      </c>
      <c r="X21" s="8">
        <v>12.195188999999999</v>
      </c>
      <c r="Y21" s="8">
        <v>12.555324000000001</v>
      </c>
      <c r="Z21" s="8">
        <v>11.640051</v>
      </c>
      <c r="AA21" s="8">
        <v>13.106688999999999</v>
      </c>
      <c r="AB21" s="8">
        <v>10.839176999999999</v>
      </c>
      <c r="AC21" s="8">
        <v>9.4546609999999998</v>
      </c>
      <c r="AD21" s="8">
        <v>9.8576460000000008</v>
      </c>
      <c r="AE21" s="8">
        <v>11.048619</v>
      </c>
      <c r="AF21" s="8">
        <v>9.9635250000000006</v>
      </c>
      <c r="AG21" s="9">
        <v>11.498616</v>
      </c>
      <c r="AI21" s="7" t="s">
        <v>847</v>
      </c>
      <c r="AJ21" s="113">
        <v>-56.161268595392663</v>
      </c>
      <c r="AK21" s="113" t="s">
        <v>226</v>
      </c>
      <c r="AL21" s="113">
        <v>-45.678157418607732</v>
      </c>
      <c r="AM21" s="113" t="s">
        <v>226</v>
      </c>
      <c r="AN21" s="113">
        <v>-53.514930640658108</v>
      </c>
      <c r="AO21" s="113" t="s">
        <v>226</v>
      </c>
      <c r="AP21" s="113">
        <v>-49.545448062952367</v>
      </c>
      <c r="AQ21" s="113" t="s">
        <v>226</v>
      </c>
      <c r="AR21" s="113">
        <v>-52.63259567213948</v>
      </c>
      <c r="AS21" s="113" t="s">
        <v>226</v>
      </c>
      <c r="AT21" s="113">
        <v>-48.962548832265497</v>
      </c>
      <c r="AU21" s="113" t="s">
        <v>226</v>
      </c>
      <c r="AV21" s="113">
        <v>-44.551245533973074</v>
      </c>
      <c r="AW21" s="113" t="s">
        <v>226</v>
      </c>
      <c r="AX21" s="113">
        <v>-48.051467606420587</v>
      </c>
      <c r="AY21" s="113" t="s">
        <v>226</v>
      </c>
      <c r="AZ21" s="113">
        <v>-48.485672709150997</v>
      </c>
      <c r="BA21" s="113" t="s">
        <v>226</v>
      </c>
      <c r="BB21" s="113">
        <v>-33.695488569351717</v>
      </c>
      <c r="BC21" s="113" t="s">
        <v>226</v>
      </c>
      <c r="BD21" s="113">
        <v>-41.472014414950714</v>
      </c>
      <c r="BE21" s="113" t="s">
        <v>226</v>
      </c>
      <c r="BF21" s="113">
        <v>-34.63165217516115</v>
      </c>
      <c r="BG21" s="113" t="s">
        <v>226</v>
      </c>
      <c r="BH21" s="113">
        <v>-43.332569335301983</v>
      </c>
      <c r="BI21" s="113" t="s">
        <v>226</v>
      </c>
      <c r="BJ21" s="113">
        <v>-34.161501426149933</v>
      </c>
      <c r="BK21" s="113" t="s">
        <v>226</v>
      </c>
      <c r="BL21" s="113">
        <v>-22.299436078869011</v>
      </c>
      <c r="BM21" s="113"/>
      <c r="BN21" s="113">
        <v>-14.950396807991311</v>
      </c>
      <c r="BO21" s="113"/>
      <c r="BP21" s="113">
        <v>-22.038708582629479</v>
      </c>
      <c r="BQ21" s="113"/>
      <c r="BR21" s="113">
        <v>-5.711869401575786</v>
      </c>
      <c r="BS21" s="113"/>
      <c r="BT21" s="113">
        <v>-8.4164138654610365</v>
      </c>
      <c r="BU21" s="113"/>
      <c r="BV21" s="113">
        <v>-1.215068423845278</v>
      </c>
      <c r="BW21" s="113"/>
      <c r="BX21" s="113">
        <v>-12.26909912693924</v>
      </c>
      <c r="BY21" s="113"/>
      <c r="BZ21" s="113">
        <v>6.0838491279015861</v>
      </c>
      <c r="CA21" s="113"/>
      <c r="CB21" s="113">
        <v>21.618494498603159</v>
      </c>
      <c r="CC21" s="113"/>
      <c r="CD21" s="114">
        <v>15.407108947154599</v>
      </c>
      <c r="CE21" s="113"/>
    </row>
    <row r="22" spans="1:83" ht="15.75" x14ac:dyDescent="0.25">
      <c r="A22" s="10" t="s">
        <v>146</v>
      </c>
      <c r="B22" s="11">
        <v>9898</v>
      </c>
      <c r="C22" s="11">
        <v>11017</v>
      </c>
      <c r="D22" s="11">
        <v>10391</v>
      </c>
      <c r="E22" s="11">
        <v>10059</v>
      </c>
      <c r="F22" s="11">
        <v>14510</v>
      </c>
      <c r="G22" s="11">
        <v>16337</v>
      </c>
      <c r="H22" s="11">
        <v>14937</v>
      </c>
      <c r="I22" s="11">
        <v>19398</v>
      </c>
      <c r="J22" s="11">
        <v>32787</v>
      </c>
      <c r="K22" s="11">
        <v>36450</v>
      </c>
      <c r="L22" s="11">
        <v>37891</v>
      </c>
      <c r="M22" s="11">
        <v>45118</v>
      </c>
      <c r="N22" s="11">
        <v>47796</v>
      </c>
      <c r="O22" s="11">
        <v>47138</v>
      </c>
      <c r="P22" s="11">
        <v>46911</v>
      </c>
      <c r="Q22" s="11">
        <v>46220</v>
      </c>
      <c r="R22" s="11">
        <v>44559</v>
      </c>
      <c r="S22" s="11">
        <v>46754</v>
      </c>
      <c r="T22" s="11">
        <v>46031</v>
      </c>
      <c r="U22" s="11">
        <v>34880</v>
      </c>
      <c r="V22" s="11">
        <v>35371</v>
      </c>
      <c r="W22" s="11">
        <v>33350</v>
      </c>
      <c r="X22" s="11">
        <v>35324</v>
      </c>
      <c r="Y22" s="11">
        <v>35420</v>
      </c>
      <c r="Z22" s="11">
        <v>34715</v>
      </c>
      <c r="AA22" s="11">
        <v>34163</v>
      </c>
      <c r="AB22" s="11">
        <v>33734</v>
      </c>
      <c r="AC22" s="11">
        <v>31183</v>
      </c>
      <c r="AD22" s="11">
        <v>30847</v>
      </c>
      <c r="AE22" s="11">
        <v>31532</v>
      </c>
      <c r="AF22" s="11">
        <v>31799</v>
      </c>
      <c r="AG22" s="12">
        <v>31791</v>
      </c>
      <c r="AI22" s="10"/>
      <c r="AJ22" s="115"/>
      <c r="AK22" s="115"/>
      <c r="AL22" s="115"/>
      <c r="AM22" s="115"/>
      <c r="AN22" s="115"/>
      <c r="AO22" s="115"/>
      <c r="AP22" s="115"/>
      <c r="AQ22" s="115"/>
      <c r="AR22" s="115"/>
      <c r="AS22" s="115"/>
      <c r="AT22" s="115"/>
      <c r="AU22" s="115"/>
      <c r="AV22" s="115"/>
      <c r="AW22" s="115"/>
      <c r="AX22" s="115"/>
      <c r="AY22" s="115"/>
      <c r="AZ22" s="115"/>
      <c r="BA22" s="115"/>
      <c r="BB22" s="115"/>
      <c r="BC22" s="115"/>
      <c r="BD22" s="115"/>
      <c r="BE22" s="115"/>
      <c r="BF22" s="115"/>
      <c r="BG22" s="115"/>
      <c r="BH22" s="115"/>
      <c r="BI22" s="115"/>
      <c r="BJ22" s="115"/>
      <c r="BK22" s="115"/>
      <c r="BL22" s="115"/>
      <c r="BM22" s="115"/>
      <c r="BN22" s="115"/>
      <c r="BO22" s="115"/>
      <c r="BP22" s="115"/>
      <c r="BQ22" s="115"/>
      <c r="BR22" s="115"/>
      <c r="BS22" s="115"/>
      <c r="BT22" s="115"/>
      <c r="BU22" s="115"/>
      <c r="BV22" s="115"/>
      <c r="BW22" s="115"/>
      <c r="BX22" s="115"/>
      <c r="BY22" s="115"/>
      <c r="BZ22" s="115"/>
      <c r="CA22" s="115"/>
      <c r="CB22" s="115"/>
      <c r="CC22" s="115"/>
      <c r="CD22" s="116"/>
      <c r="CE22" s="115"/>
    </row>
    <row r="23" spans="1:83" ht="30" customHeight="1" x14ac:dyDescent="0.25">
      <c r="B23" s="124"/>
      <c r="C23" s="124"/>
      <c r="D23" s="124"/>
      <c r="E23" s="124"/>
      <c r="F23" s="124"/>
      <c r="G23" s="124"/>
      <c r="H23" s="124"/>
      <c r="I23" s="124"/>
      <c r="J23" s="124"/>
      <c r="K23" s="124"/>
      <c r="L23" s="124"/>
      <c r="M23" s="124"/>
      <c r="N23" s="124"/>
      <c r="O23" s="124"/>
      <c r="P23" s="124"/>
      <c r="Q23" s="124"/>
      <c r="R23" s="124"/>
      <c r="S23" s="124"/>
      <c r="T23" s="124"/>
      <c r="U23" s="124"/>
      <c r="V23" s="124"/>
      <c r="W23" s="124"/>
      <c r="X23" s="124"/>
      <c r="Y23" s="124"/>
      <c r="Z23" s="124"/>
      <c r="AA23" s="124"/>
      <c r="AB23" s="124"/>
      <c r="AC23" s="124"/>
      <c r="AD23" s="124"/>
      <c r="AE23" s="124"/>
      <c r="AF23" s="124"/>
      <c r="AG23" s="124"/>
      <c r="AJ23" s="123"/>
      <c r="AK23" s="123"/>
      <c r="AL23" s="123"/>
      <c r="AM23" s="123"/>
      <c r="AN23" s="123"/>
      <c r="AO23" s="123"/>
      <c r="AP23" s="123"/>
      <c r="AQ23" s="123"/>
      <c r="AR23" s="123"/>
      <c r="AS23" s="123"/>
      <c r="AT23" s="123"/>
      <c r="AU23" s="123"/>
      <c r="AV23" s="123"/>
      <c r="AW23" s="123"/>
      <c r="AX23" s="123"/>
      <c r="AY23" s="123"/>
      <c r="AZ23" s="123"/>
      <c r="BA23" s="123"/>
      <c r="BB23" s="123"/>
      <c r="BC23" s="123"/>
      <c r="BD23" s="123"/>
      <c r="BE23" s="123"/>
      <c r="BF23" s="123"/>
      <c r="BG23" s="123"/>
      <c r="BH23" s="123"/>
      <c r="BI23" s="123"/>
      <c r="BJ23" s="123"/>
      <c r="BK23" s="123"/>
      <c r="BL23" s="123"/>
      <c r="BM23" s="123"/>
      <c r="BN23" s="123"/>
      <c r="BO23" s="123"/>
      <c r="BP23" s="123"/>
      <c r="BQ23" s="123"/>
      <c r="BR23" s="123"/>
      <c r="BS23" s="123"/>
      <c r="BT23" s="123"/>
      <c r="BU23" s="123"/>
      <c r="BV23" s="123"/>
      <c r="BW23" s="123"/>
      <c r="BX23" s="123"/>
      <c r="BY23" s="123"/>
      <c r="BZ23" s="123"/>
      <c r="CA23" s="123"/>
      <c r="CB23" s="123"/>
      <c r="CC23" s="123"/>
      <c r="CD23" s="123"/>
      <c r="CE23" s="123"/>
    </row>
    <row r="24" spans="1:83" ht="16.5" x14ac:dyDescent="0.25">
      <c r="A24" s="32" t="s">
        <v>851</v>
      </c>
      <c r="B24" s="124"/>
      <c r="C24" s="124"/>
      <c r="D24" s="124"/>
      <c r="E24" s="124"/>
      <c r="F24" s="124"/>
      <c r="G24" s="124"/>
      <c r="H24" s="124"/>
      <c r="I24" s="124"/>
      <c r="J24" s="124"/>
      <c r="K24" s="124"/>
      <c r="L24" s="124"/>
      <c r="M24" s="124"/>
      <c r="N24" s="124"/>
      <c r="O24" s="124"/>
      <c r="P24" s="124"/>
      <c r="Q24" s="124"/>
      <c r="R24" s="124"/>
      <c r="S24" s="124"/>
      <c r="T24" s="124"/>
      <c r="U24" s="124"/>
      <c r="V24" s="124"/>
      <c r="W24" s="124"/>
      <c r="X24" s="124"/>
      <c r="Y24" s="124"/>
      <c r="Z24" s="124"/>
      <c r="AA24" s="124"/>
      <c r="AB24" s="124"/>
      <c r="AC24" s="124"/>
      <c r="AD24" s="124"/>
      <c r="AE24" s="124"/>
      <c r="AF24" s="124"/>
      <c r="AG24" s="124"/>
      <c r="AI24" s="32" t="s">
        <v>852</v>
      </c>
      <c r="AJ24" s="123"/>
      <c r="AK24" s="123"/>
      <c r="AL24" s="123"/>
      <c r="AM24" s="123"/>
      <c r="AN24" s="123"/>
      <c r="AO24" s="123"/>
      <c r="AP24" s="123"/>
      <c r="AQ24" s="123"/>
      <c r="AR24" s="123"/>
      <c r="AS24" s="123"/>
      <c r="AT24" s="123"/>
      <c r="AU24" s="123"/>
      <c r="AV24" s="123"/>
      <c r="AW24" s="123"/>
      <c r="AX24" s="123"/>
      <c r="AY24" s="123"/>
      <c r="AZ24" s="123"/>
      <c r="BA24" s="123"/>
      <c r="BB24" s="123"/>
      <c r="BC24" s="123"/>
      <c r="BD24" s="123"/>
      <c r="BE24" s="123"/>
      <c r="BF24" s="123"/>
      <c r="BG24" s="123"/>
      <c r="BH24" s="123"/>
      <c r="BI24" s="123"/>
      <c r="BJ24" s="123"/>
      <c r="BK24" s="123"/>
      <c r="BL24" s="123"/>
      <c r="BM24" s="123"/>
      <c r="BN24" s="123"/>
      <c r="BO24" s="123"/>
      <c r="BP24" s="123"/>
      <c r="BQ24" s="123"/>
      <c r="BR24" s="123"/>
      <c r="BS24" s="123"/>
      <c r="BT24" s="123"/>
      <c r="BU24" s="123"/>
      <c r="BV24" s="123"/>
      <c r="BW24" s="123"/>
      <c r="BX24" s="123"/>
      <c r="BY24" s="123"/>
      <c r="BZ24" s="123"/>
      <c r="CA24" s="123"/>
      <c r="CB24" s="123"/>
      <c r="CC24" s="123"/>
      <c r="CD24" s="123"/>
      <c r="CE24" s="123"/>
    </row>
    <row r="25" spans="1:83" ht="47.25" x14ac:dyDescent="0.25">
      <c r="A25" s="31" t="s">
        <v>842</v>
      </c>
      <c r="B25" s="99" t="s">
        <v>102</v>
      </c>
      <c r="C25" s="99" t="s">
        <v>103</v>
      </c>
      <c r="D25" s="99" t="s">
        <v>104</v>
      </c>
      <c r="E25" s="99" t="s">
        <v>105</v>
      </c>
      <c r="F25" s="99" t="s">
        <v>106</v>
      </c>
      <c r="G25" s="99" t="s">
        <v>107</v>
      </c>
      <c r="H25" s="99" t="s">
        <v>108</v>
      </c>
      <c r="I25" s="99" t="s">
        <v>109</v>
      </c>
      <c r="J25" s="99" t="s">
        <v>110</v>
      </c>
      <c r="K25" s="99" t="s">
        <v>111</v>
      </c>
      <c r="L25" s="99" t="s">
        <v>112</v>
      </c>
      <c r="M25" s="99" t="s">
        <v>113</v>
      </c>
      <c r="N25" s="99" t="s">
        <v>114</v>
      </c>
      <c r="O25" s="99" t="s">
        <v>115</v>
      </c>
      <c r="P25" s="99" t="s">
        <v>116</v>
      </c>
      <c r="Q25" s="99" t="s">
        <v>117</v>
      </c>
      <c r="R25" s="99" t="s">
        <v>118</v>
      </c>
      <c r="S25" s="99" t="s">
        <v>119</v>
      </c>
      <c r="T25" s="99" t="s">
        <v>120</v>
      </c>
      <c r="U25" s="99" t="s">
        <v>121</v>
      </c>
      <c r="V25" s="99" t="s">
        <v>122</v>
      </c>
      <c r="W25" s="99" t="s">
        <v>123</v>
      </c>
      <c r="X25" s="99" t="s">
        <v>124</v>
      </c>
      <c r="Y25" s="99" t="s">
        <v>125</v>
      </c>
      <c r="Z25" s="99" t="s">
        <v>126</v>
      </c>
      <c r="AA25" s="99" t="s">
        <v>127</v>
      </c>
      <c r="AB25" s="99" t="s">
        <v>128</v>
      </c>
      <c r="AC25" s="99" t="s">
        <v>129</v>
      </c>
      <c r="AD25" s="99" t="s">
        <v>130</v>
      </c>
      <c r="AE25" s="99" t="s">
        <v>131</v>
      </c>
      <c r="AF25" s="99" t="s">
        <v>132</v>
      </c>
      <c r="AG25" s="99" t="s">
        <v>133</v>
      </c>
      <c r="AI25" s="31" t="s">
        <v>842</v>
      </c>
      <c r="AJ25" s="99" t="s">
        <v>178</v>
      </c>
      <c r="AK25" s="99" t="s">
        <v>179</v>
      </c>
      <c r="AL25" s="99" t="s">
        <v>180</v>
      </c>
      <c r="AM25" s="99" t="s">
        <v>181</v>
      </c>
      <c r="AN25" s="99" t="s">
        <v>182</v>
      </c>
      <c r="AO25" s="99" t="s">
        <v>183</v>
      </c>
      <c r="AP25" s="99" t="s">
        <v>184</v>
      </c>
      <c r="AQ25" s="99" t="s">
        <v>185</v>
      </c>
      <c r="AR25" s="99" t="s">
        <v>186</v>
      </c>
      <c r="AS25" s="99" t="s">
        <v>187</v>
      </c>
      <c r="AT25" s="99" t="s">
        <v>188</v>
      </c>
      <c r="AU25" s="99" t="s">
        <v>189</v>
      </c>
      <c r="AV25" s="99" t="s">
        <v>190</v>
      </c>
      <c r="AW25" s="99" t="s">
        <v>191</v>
      </c>
      <c r="AX25" s="99" t="s">
        <v>192</v>
      </c>
      <c r="AY25" s="99" t="s">
        <v>193</v>
      </c>
      <c r="AZ25" s="99" t="s">
        <v>194</v>
      </c>
      <c r="BA25" s="99" t="s">
        <v>195</v>
      </c>
      <c r="BB25" s="99" t="s">
        <v>196</v>
      </c>
      <c r="BC25" s="99" t="s">
        <v>197</v>
      </c>
      <c r="BD25" s="99" t="s">
        <v>198</v>
      </c>
      <c r="BE25" s="99" t="s">
        <v>199</v>
      </c>
      <c r="BF25" s="99" t="s">
        <v>200</v>
      </c>
      <c r="BG25" s="99" t="s">
        <v>201</v>
      </c>
      <c r="BH25" s="99" t="s">
        <v>202</v>
      </c>
      <c r="BI25" s="99" t="s">
        <v>203</v>
      </c>
      <c r="BJ25" s="99" t="s">
        <v>843</v>
      </c>
      <c r="BK25" s="99" t="s">
        <v>205</v>
      </c>
      <c r="BL25" s="99" t="s">
        <v>206</v>
      </c>
      <c r="BM25" s="99" t="s">
        <v>207</v>
      </c>
      <c r="BN25" s="99" t="s">
        <v>208</v>
      </c>
      <c r="BO25" s="99" t="s">
        <v>209</v>
      </c>
      <c r="BP25" s="99" t="s">
        <v>210</v>
      </c>
      <c r="BQ25" s="99" t="s">
        <v>211</v>
      </c>
      <c r="BR25" s="99" t="s">
        <v>212</v>
      </c>
      <c r="BS25" s="99" t="s">
        <v>213</v>
      </c>
      <c r="BT25" s="99" t="s">
        <v>214</v>
      </c>
      <c r="BU25" s="99" t="s">
        <v>215</v>
      </c>
      <c r="BV25" s="99" t="s">
        <v>216</v>
      </c>
      <c r="BW25" s="99" t="s">
        <v>217</v>
      </c>
      <c r="BX25" s="99" t="s">
        <v>218</v>
      </c>
      <c r="BY25" s="99" t="s">
        <v>219</v>
      </c>
      <c r="BZ25" s="99" t="s">
        <v>220</v>
      </c>
      <c r="CA25" s="99" t="s">
        <v>221</v>
      </c>
      <c r="CB25" s="99" t="s">
        <v>222</v>
      </c>
      <c r="CC25" s="99" t="s">
        <v>223</v>
      </c>
      <c r="CD25" s="99" t="s">
        <v>224</v>
      </c>
      <c r="CE25" s="99" t="s">
        <v>225</v>
      </c>
    </row>
    <row r="26" spans="1:83" ht="15.75" x14ac:dyDescent="0.25">
      <c r="A26" s="4" t="s">
        <v>850</v>
      </c>
      <c r="B26" s="13">
        <v>2.9</v>
      </c>
      <c r="C26" s="13">
        <v>2.9</v>
      </c>
      <c r="D26" s="13">
        <v>2.9</v>
      </c>
      <c r="E26" s="13">
        <v>3.3</v>
      </c>
      <c r="F26" s="13">
        <v>4.3</v>
      </c>
      <c r="G26" s="13">
        <v>4.7</v>
      </c>
      <c r="H26" s="13">
        <v>4.4000000000000004</v>
      </c>
      <c r="I26" s="13">
        <v>4</v>
      </c>
      <c r="J26" s="13">
        <v>3.3</v>
      </c>
      <c r="K26" s="13">
        <v>3.3</v>
      </c>
      <c r="L26" s="13">
        <v>3.4</v>
      </c>
      <c r="M26" s="13">
        <v>2.9</v>
      </c>
      <c r="N26" s="13">
        <v>2.8</v>
      </c>
      <c r="O26" s="13">
        <v>3.1</v>
      </c>
      <c r="P26" s="13">
        <v>2.7</v>
      </c>
      <c r="Q26" s="13">
        <v>2.7</v>
      </c>
      <c r="R26" s="13">
        <v>2.4</v>
      </c>
      <c r="S26" s="13">
        <v>2.7</v>
      </c>
      <c r="T26" s="13">
        <v>2.5</v>
      </c>
      <c r="U26" s="13">
        <v>2.2000000000000002</v>
      </c>
      <c r="V26" s="13">
        <v>1.8</v>
      </c>
      <c r="W26" s="13">
        <v>1.8</v>
      </c>
      <c r="X26" s="13">
        <v>1.8</v>
      </c>
      <c r="Y26" s="13">
        <v>1.7</v>
      </c>
      <c r="Z26" s="13">
        <v>1.7</v>
      </c>
      <c r="AA26" s="13">
        <v>1.7</v>
      </c>
      <c r="AB26" s="13">
        <v>1.6</v>
      </c>
      <c r="AC26" s="13">
        <v>1.3</v>
      </c>
      <c r="AD26" s="13">
        <v>1.4</v>
      </c>
      <c r="AE26" s="13">
        <v>1.4</v>
      </c>
      <c r="AF26" s="13">
        <v>1.4</v>
      </c>
      <c r="AG26" s="14">
        <v>1.4</v>
      </c>
      <c r="AI26" s="4" t="s">
        <v>134</v>
      </c>
      <c r="AJ26" s="117">
        <v>-3.3140987113964382</v>
      </c>
      <c r="AK26" s="111" t="s">
        <v>226</v>
      </c>
      <c r="AL26" s="117">
        <v>-2.9866293113964382</v>
      </c>
      <c r="AM26" s="111" t="s">
        <v>226</v>
      </c>
      <c r="AN26" s="117">
        <v>-2.5837871113964379</v>
      </c>
      <c r="AO26" s="111" t="s">
        <v>226</v>
      </c>
      <c r="AP26" s="117">
        <v>-1.920948511396438</v>
      </c>
      <c r="AQ26" s="111" t="s">
        <v>226</v>
      </c>
      <c r="AR26" s="117">
        <v>-1.8727974113964381</v>
      </c>
      <c r="AS26" s="111" t="s">
        <v>226</v>
      </c>
      <c r="AT26" s="117">
        <v>-1.963156611396438</v>
      </c>
      <c r="AU26" s="111" t="s">
        <v>226</v>
      </c>
      <c r="AV26" s="117">
        <v>-1.5229288113964381</v>
      </c>
      <c r="AW26" s="111" t="s">
        <v>226</v>
      </c>
      <c r="AX26" s="117">
        <v>-1.3720756113964381</v>
      </c>
      <c r="AY26" s="111" t="s">
        <v>226</v>
      </c>
      <c r="AZ26" s="117">
        <v>-1.6521510113964379</v>
      </c>
      <c r="BA26" s="111" t="s">
        <v>226</v>
      </c>
      <c r="BB26" s="117">
        <v>-1.3310055113964381</v>
      </c>
      <c r="BC26" s="111" t="s">
        <v>226</v>
      </c>
      <c r="BD26" s="117">
        <v>-1.302904711396438</v>
      </c>
      <c r="BE26" s="111" t="s">
        <v>226</v>
      </c>
      <c r="BF26" s="117">
        <v>-1.042725611396438</v>
      </c>
      <c r="BG26" s="111" t="s">
        <v>226</v>
      </c>
      <c r="BH26" s="117">
        <v>-1.3088912113964379</v>
      </c>
      <c r="BI26" s="111" t="s">
        <v>226</v>
      </c>
      <c r="BJ26" s="117">
        <v>-1.1053420113964381</v>
      </c>
      <c r="BK26" s="111" t="s">
        <v>226</v>
      </c>
      <c r="BL26" s="117">
        <v>-0.80534441139643786</v>
      </c>
      <c r="BM26" s="111" t="s">
        <v>226</v>
      </c>
      <c r="BN26" s="117">
        <v>-0.44795641139643799</v>
      </c>
      <c r="BO26" s="111" t="s">
        <v>226</v>
      </c>
      <c r="BP26" s="117">
        <v>-0.393616811396438</v>
      </c>
      <c r="BQ26" s="111" t="s">
        <v>226</v>
      </c>
      <c r="BR26" s="117">
        <v>-0.40314211139643802</v>
      </c>
      <c r="BS26" s="111" t="s">
        <v>226</v>
      </c>
      <c r="BT26" s="117">
        <v>-0.27970831139643798</v>
      </c>
      <c r="BU26" s="111" t="s">
        <v>226</v>
      </c>
      <c r="BV26" s="117">
        <v>-0.35144921139643798</v>
      </c>
      <c r="BW26" s="111" t="s">
        <v>226</v>
      </c>
      <c r="BX26" s="117">
        <v>-0.33248991139643808</v>
      </c>
      <c r="BY26" s="111" t="s">
        <v>226</v>
      </c>
      <c r="BZ26" s="117">
        <v>-0.227886311396438</v>
      </c>
      <c r="CA26" s="111"/>
      <c r="CB26" s="117">
        <v>0.1113822246035621</v>
      </c>
      <c r="CC26" s="111"/>
      <c r="CD26" s="118">
        <v>-3.3165307568206133E-2</v>
      </c>
      <c r="CE26" s="111"/>
    </row>
    <row r="27" spans="1:83" ht="15.75" x14ac:dyDescent="0.25">
      <c r="A27" s="7" t="s">
        <v>844</v>
      </c>
      <c r="B27" s="15">
        <v>0.3</v>
      </c>
      <c r="C27" s="15">
        <v>0.3</v>
      </c>
      <c r="D27" s="15">
        <v>0.4</v>
      </c>
      <c r="E27" s="15">
        <v>0.6</v>
      </c>
      <c r="F27" s="15">
        <v>1.1000000000000001</v>
      </c>
      <c r="G27" s="15">
        <v>1</v>
      </c>
      <c r="H27" s="15">
        <v>0.9</v>
      </c>
      <c r="I27" s="15">
        <v>0.8</v>
      </c>
      <c r="J27" s="15">
        <v>0.6</v>
      </c>
      <c r="K27" s="15">
        <v>0.6</v>
      </c>
      <c r="L27" s="15">
        <v>0.6</v>
      </c>
      <c r="M27" s="15">
        <v>0.4</v>
      </c>
      <c r="N27" s="15">
        <v>0.4</v>
      </c>
      <c r="O27" s="15">
        <v>0.5</v>
      </c>
      <c r="P27" s="15">
        <v>0.4</v>
      </c>
      <c r="Q27" s="15">
        <v>0.4</v>
      </c>
      <c r="R27" s="15">
        <v>0.3</v>
      </c>
      <c r="S27" s="15">
        <v>0.4</v>
      </c>
      <c r="T27" s="15">
        <v>0.4</v>
      </c>
      <c r="U27" s="15">
        <v>0.4</v>
      </c>
      <c r="V27" s="15">
        <v>0.3</v>
      </c>
      <c r="W27" s="15">
        <v>0.3</v>
      </c>
      <c r="X27" s="15">
        <v>0.3</v>
      </c>
      <c r="Y27" s="15">
        <v>0.3</v>
      </c>
      <c r="Z27" s="15">
        <v>0.3</v>
      </c>
      <c r="AA27" s="15">
        <v>0.3</v>
      </c>
      <c r="AB27" s="15">
        <v>0.2</v>
      </c>
      <c r="AC27" s="15">
        <v>0.2</v>
      </c>
      <c r="AD27" s="15">
        <v>0.2</v>
      </c>
      <c r="AE27" s="15">
        <v>0.2</v>
      </c>
      <c r="AF27" s="15">
        <v>0.2</v>
      </c>
      <c r="AG27" s="16">
        <v>0.2</v>
      </c>
      <c r="AI27" s="7" t="s">
        <v>845</v>
      </c>
      <c r="AJ27" s="119">
        <v>-0.76882740582241993</v>
      </c>
      <c r="AK27" s="113" t="s">
        <v>226</v>
      </c>
      <c r="AL27" s="119">
        <v>-0.63294980582241989</v>
      </c>
      <c r="AM27" s="113" t="s">
        <v>226</v>
      </c>
      <c r="AN27" s="119">
        <v>-0.59550260582241987</v>
      </c>
      <c r="AO27" s="113" t="s">
        <v>226</v>
      </c>
      <c r="AP27" s="119">
        <v>-0.37857510582241988</v>
      </c>
      <c r="AQ27" s="113" t="s">
        <v>226</v>
      </c>
      <c r="AR27" s="119">
        <v>-0.31684080582241991</v>
      </c>
      <c r="AS27" s="113" t="s">
        <v>226</v>
      </c>
      <c r="AT27" s="119">
        <v>-0.32561640582241991</v>
      </c>
      <c r="AU27" s="113" t="s">
        <v>226</v>
      </c>
      <c r="AV27" s="119">
        <v>-0.2023594058224199</v>
      </c>
      <c r="AW27" s="113" t="s">
        <v>226</v>
      </c>
      <c r="AX27" s="119">
        <v>-0.16508280582241991</v>
      </c>
      <c r="AY27" s="113" t="s">
        <v>226</v>
      </c>
      <c r="AZ27" s="119">
        <v>-0.23590120582241991</v>
      </c>
      <c r="BA27" s="113" t="s">
        <v>226</v>
      </c>
      <c r="BB27" s="119">
        <v>-0.14262320582241991</v>
      </c>
      <c r="BC27" s="113" t="s">
        <v>226</v>
      </c>
      <c r="BD27" s="119">
        <v>-0.1166287058224199</v>
      </c>
      <c r="BE27" s="113" t="s">
        <v>226</v>
      </c>
      <c r="BF27" s="119">
        <v>-5.3567805822419878E-2</v>
      </c>
      <c r="BG27" s="113"/>
      <c r="BH27" s="119">
        <v>-0.1772925058224199</v>
      </c>
      <c r="BI27" s="113" t="s">
        <v>226</v>
      </c>
      <c r="BJ27" s="119">
        <v>-0.1329668058224199</v>
      </c>
      <c r="BK27" s="113" t="s">
        <v>226</v>
      </c>
      <c r="BL27" s="119">
        <v>-0.15604750582241991</v>
      </c>
      <c r="BM27" s="113" t="s">
        <v>226</v>
      </c>
      <c r="BN27" s="119">
        <v>-6.2276005822419878E-2</v>
      </c>
      <c r="BO27" s="113"/>
      <c r="BP27" s="119">
        <v>-8.252290582241989E-2</v>
      </c>
      <c r="BQ27" s="113"/>
      <c r="BR27" s="119">
        <v>-8.4707605822419929E-2</v>
      </c>
      <c r="BS27" s="113"/>
      <c r="BT27" s="119">
        <v>-4.5306205822419898E-2</v>
      </c>
      <c r="BU27" s="113"/>
      <c r="BV27" s="119">
        <v>-1.6114305822419909E-2</v>
      </c>
      <c r="BW27" s="113"/>
      <c r="BX27" s="119">
        <v>-3.15345058224199E-2</v>
      </c>
      <c r="BY27" s="113"/>
      <c r="BZ27" s="119">
        <v>7.4531941775800858E-3</v>
      </c>
      <c r="CA27" s="113"/>
      <c r="CB27" s="119">
        <v>9.5170156177580095E-2</v>
      </c>
      <c r="CC27" s="113" t="s">
        <v>226</v>
      </c>
      <c r="CD27" s="120">
        <v>7.4280677007603074E-2</v>
      </c>
      <c r="CE27" s="113"/>
    </row>
    <row r="28" spans="1:83" ht="15.75" x14ac:dyDescent="0.25">
      <c r="A28" s="7" t="s">
        <v>846</v>
      </c>
      <c r="B28" s="15">
        <v>1.2</v>
      </c>
      <c r="C28" s="15">
        <v>1.1000000000000001</v>
      </c>
      <c r="D28" s="15">
        <v>1.1000000000000001</v>
      </c>
      <c r="E28" s="15">
        <v>1.4</v>
      </c>
      <c r="F28" s="15">
        <v>2.1</v>
      </c>
      <c r="G28" s="15">
        <v>2.2999999999999998</v>
      </c>
      <c r="H28" s="15">
        <v>2.2000000000000002</v>
      </c>
      <c r="I28" s="15">
        <v>1.8</v>
      </c>
      <c r="J28" s="15">
        <v>1.3</v>
      </c>
      <c r="K28" s="15">
        <v>1.4</v>
      </c>
      <c r="L28" s="15">
        <v>1.3</v>
      </c>
      <c r="M28" s="15">
        <v>1.1000000000000001</v>
      </c>
      <c r="N28" s="15">
        <v>1.1000000000000001</v>
      </c>
      <c r="O28" s="15">
        <v>1.2</v>
      </c>
      <c r="P28" s="15">
        <v>1.1000000000000001</v>
      </c>
      <c r="Q28" s="15">
        <v>1</v>
      </c>
      <c r="R28" s="15">
        <v>0.9</v>
      </c>
      <c r="S28" s="15">
        <v>1</v>
      </c>
      <c r="T28" s="15">
        <v>1</v>
      </c>
      <c r="U28" s="15">
        <v>0.8</v>
      </c>
      <c r="V28" s="15">
        <v>0.7</v>
      </c>
      <c r="W28" s="15">
        <v>0.6</v>
      </c>
      <c r="X28" s="15">
        <v>0.7</v>
      </c>
      <c r="Y28" s="15">
        <v>0.6</v>
      </c>
      <c r="Z28" s="15">
        <v>0.7</v>
      </c>
      <c r="AA28" s="15">
        <v>0.5</v>
      </c>
      <c r="AB28" s="15">
        <v>0.6</v>
      </c>
      <c r="AC28" s="15">
        <v>0.5</v>
      </c>
      <c r="AD28" s="15">
        <v>0.5</v>
      </c>
      <c r="AE28" s="15">
        <v>0.4</v>
      </c>
      <c r="AF28" s="15">
        <v>0.5</v>
      </c>
      <c r="AG28" s="16">
        <v>0.4</v>
      </c>
      <c r="AI28" s="7" t="s">
        <v>846</v>
      </c>
      <c r="AJ28" s="119">
        <v>-1.8923462708651211</v>
      </c>
      <c r="AK28" s="113" t="s">
        <v>226</v>
      </c>
      <c r="AL28" s="119">
        <v>-1.8677158708651209</v>
      </c>
      <c r="AM28" s="113" t="s">
        <v>226</v>
      </c>
      <c r="AN28" s="119">
        <v>-1.398499370865121</v>
      </c>
      <c r="AO28" s="113" t="s">
        <v>226</v>
      </c>
      <c r="AP28" s="119">
        <v>-0.93963687086512149</v>
      </c>
      <c r="AQ28" s="113" t="s">
        <v>226</v>
      </c>
      <c r="AR28" s="119">
        <v>-0.97342917086512148</v>
      </c>
      <c r="AS28" s="113" t="s">
        <v>226</v>
      </c>
      <c r="AT28" s="119">
        <v>-0.93684757086512138</v>
      </c>
      <c r="AU28" s="113" t="s">
        <v>226</v>
      </c>
      <c r="AV28" s="119">
        <v>-0.76189157086512149</v>
      </c>
      <c r="AW28" s="113" t="s">
        <v>226</v>
      </c>
      <c r="AX28" s="119">
        <v>-0.69421247086512139</v>
      </c>
      <c r="AY28" s="113" t="s">
        <v>226</v>
      </c>
      <c r="AZ28" s="119">
        <v>-0.8588815708651214</v>
      </c>
      <c r="BA28" s="113" t="s">
        <v>226</v>
      </c>
      <c r="BB28" s="119">
        <v>-0.71714957086512143</v>
      </c>
      <c r="BC28" s="113" t="s">
        <v>226</v>
      </c>
      <c r="BD28" s="119">
        <v>-0.64361497086512154</v>
      </c>
      <c r="BE28" s="113" t="s">
        <v>226</v>
      </c>
      <c r="BF28" s="119">
        <v>-0.51007467086512137</v>
      </c>
      <c r="BG28" s="113" t="s">
        <v>226</v>
      </c>
      <c r="BH28" s="119">
        <v>-0.61246387086512133</v>
      </c>
      <c r="BI28" s="113" t="s">
        <v>226</v>
      </c>
      <c r="BJ28" s="119">
        <v>-0.60493207086512135</v>
      </c>
      <c r="BK28" s="113" t="s">
        <v>226</v>
      </c>
      <c r="BL28" s="119">
        <v>-0.46774627086512138</v>
      </c>
      <c r="BM28" s="113" t="s">
        <v>226</v>
      </c>
      <c r="BN28" s="119">
        <v>-0.32438997086512139</v>
      </c>
      <c r="BO28" s="113" t="s">
        <v>226</v>
      </c>
      <c r="BP28" s="119">
        <v>-0.2597456708651214</v>
      </c>
      <c r="BQ28" s="113" t="s">
        <v>226</v>
      </c>
      <c r="BR28" s="119">
        <v>-0.35639657086512139</v>
      </c>
      <c r="BS28" s="113" t="s">
        <v>226</v>
      </c>
      <c r="BT28" s="119">
        <v>-0.21910547086512139</v>
      </c>
      <c r="BU28" s="113" t="s">
        <v>226</v>
      </c>
      <c r="BV28" s="119">
        <v>-0.30864047086512142</v>
      </c>
      <c r="BW28" s="113" t="s">
        <v>226</v>
      </c>
      <c r="BX28" s="119">
        <v>-0.15843007086512151</v>
      </c>
      <c r="BY28" s="113" t="s">
        <v>226</v>
      </c>
      <c r="BZ28" s="119">
        <v>-0.23355647086512141</v>
      </c>
      <c r="CA28" s="113" t="s">
        <v>226</v>
      </c>
      <c r="CB28" s="119">
        <v>-0.1006745588651214</v>
      </c>
      <c r="CC28" s="113"/>
      <c r="CD28" s="120">
        <v>-0.12730813726735271</v>
      </c>
      <c r="CE28" s="113"/>
    </row>
    <row r="29" spans="1:83" ht="15.75" x14ac:dyDescent="0.25">
      <c r="A29" s="7" t="s">
        <v>847</v>
      </c>
      <c r="B29" s="15">
        <v>1.5</v>
      </c>
      <c r="C29" s="15">
        <v>1.5</v>
      </c>
      <c r="D29" s="15">
        <v>1.5</v>
      </c>
      <c r="E29" s="15">
        <v>1.3</v>
      </c>
      <c r="F29" s="15">
        <v>1.5</v>
      </c>
      <c r="G29" s="15">
        <v>1.7</v>
      </c>
      <c r="H29" s="15">
        <v>1.5</v>
      </c>
      <c r="I29" s="15">
        <v>1.6</v>
      </c>
      <c r="J29" s="15">
        <v>1.6</v>
      </c>
      <c r="K29" s="15">
        <v>1.5</v>
      </c>
      <c r="L29" s="15">
        <v>1.6</v>
      </c>
      <c r="M29" s="15">
        <v>1.4</v>
      </c>
      <c r="N29" s="15">
        <v>1.4</v>
      </c>
      <c r="O29" s="15">
        <v>1.5</v>
      </c>
      <c r="P29" s="15">
        <v>1.3</v>
      </c>
      <c r="Q29" s="15">
        <v>1.4</v>
      </c>
      <c r="R29" s="15">
        <v>1.3</v>
      </c>
      <c r="S29" s="15">
        <v>1.4</v>
      </c>
      <c r="T29" s="15">
        <v>1.2</v>
      </c>
      <c r="U29" s="15">
        <v>1</v>
      </c>
      <c r="V29" s="15">
        <v>0.9</v>
      </c>
      <c r="W29" s="15">
        <v>0.8</v>
      </c>
      <c r="X29" s="15">
        <v>0.8</v>
      </c>
      <c r="Y29" s="15">
        <v>0.8</v>
      </c>
      <c r="Z29" s="15">
        <v>0.9</v>
      </c>
      <c r="AA29" s="15">
        <v>0.9</v>
      </c>
      <c r="AB29" s="15">
        <v>0.8</v>
      </c>
      <c r="AC29" s="15">
        <v>0.7</v>
      </c>
      <c r="AD29" s="15">
        <v>0.7</v>
      </c>
      <c r="AE29" s="15">
        <v>0.8</v>
      </c>
      <c r="AF29" s="15">
        <v>0.8</v>
      </c>
      <c r="AG29" s="16">
        <v>0.8</v>
      </c>
      <c r="AI29" s="7" t="s">
        <v>847</v>
      </c>
      <c r="AJ29" s="119">
        <v>-0.86141645726148364</v>
      </c>
      <c r="AK29" s="113" t="s">
        <v>226</v>
      </c>
      <c r="AL29" s="119">
        <v>-0.68799375726148349</v>
      </c>
      <c r="AM29" s="113" t="s">
        <v>226</v>
      </c>
      <c r="AN29" s="119">
        <v>-0.82028265726148353</v>
      </c>
      <c r="AO29" s="113" t="s">
        <v>226</v>
      </c>
      <c r="AP29" s="119">
        <v>-0.78362295726148357</v>
      </c>
      <c r="AQ29" s="113" t="s">
        <v>226</v>
      </c>
      <c r="AR29" s="119">
        <v>-0.71815805726148352</v>
      </c>
      <c r="AS29" s="113" t="s">
        <v>226</v>
      </c>
      <c r="AT29" s="119">
        <v>-0.8287828572614836</v>
      </c>
      <c r="AU29" s="113" t="s">
        <v>226</v>
      </c>
      <c r="AV29" s="119">
        <v>-0.64666205726148351</v>
      </c>
      <c r="AW29" s="113" t="s">
        <v>226</v>
      </c>
      <c r="AX29" s="119">
        <v>-0.5934835572614835</v>
      </c>
      <c r="AY29" s="113" t="s">
        <v>226</v>
      </c>
      <c r="AZ29" s="119">
        <v>-0.69694045726148357</v>
      </c>
      <c r="BA29" s="113" t="s">
        <v>226</v>
      </c>
      <c r="BB29" s="119">
        <v>-0.54104995726148342</v>
      </c>
      <c r="BC29" s="113" t="s">
        <v>226</v>
      </c>
      <c r="BD29" s="119">
        <v>-0.6213359572614835</v>
      </c>
      <c r="BE29" s="113" t="s">
        <v>226</v>
      </c>
      <c r="BF29" s="119">
        <v>-0.53078565726148363</v>
      </c>
      <c r="BG29" s="113" t="s">
        <v>226</v>
      </c>
      <c r="BH29" s="119">
        <v>-0.61907305726148343</v>
      </c>
      <c r="BI29" s="113" t="s">
        <v>226</v>
      </c>
      <c r="BJ29" s="119">
        <v>-0.40870185726148339</v>
      </c>
      <c r="BK29" s="113" t="s">
        <v>226</v>
      </c>
      <c r="BL29" s="119">
        <v>-0.21371905726148341</v>
      </c>
      <c r="BM29" s="113" t="s">
        <v>226</v>
      </c>
      <c r="BN29" s="119">
        <v>-9.1889757261483518E-2</v>
      </c>
      <c r="BO29" s="113"/>
      <c r="BP29" s="119">
        <v>-5.0111957261483542E-2</v>
      </c>
      <c r="BQ29" s="113"/>
      <c r="BR29" s="119">
        <v>-2.840585726148348E-2</v>
      </c>
      <c r="BS29" s="113"/>
      <c r="BT29" s="119">
        <v>-2.1804557261483559E-2</v>
      </c>
      <c r="BU29" s="113"/>
      <c r="BV29" s="119">
        <v>-5.8877057261483512E-2</v>
      </c>
      <c r="BW29" s="113"/>
      <c r="BX29" s="119">
        <v>-0.1528747572614835</v>
      </c>
      <c r="BY29" s="113"/>
      <c r="BZ29" s="119">
        <v>-1.307055726148354E-2</v>
      </c>
      <c r="CA29" s="113"/>
      <c r="CB29" s="119">
        <v>0.1059142017385165</v>
      </c>
      <c r="CC29" s="113"/>
      <c r="CD29" s="120">
        <v>3.7087118771249587E-2</v>
      </c>
      <c r="CE29" s="113"/>
    </row>
    <row r="30" spans="1:83" ht="15.75" x14ac:dyDescent="0.25">
      <c r="A30" s="10" t="s">
        <v>146</v>
      </c>
      <c r="B30" s="11">
        <v>9898</v>
      </c>
      <c r="C30" s="11">
        <v>11017</v>
      </c>
      <c r="D30" s="11">
        <v>10391</v>
      </c>
      <c r="E30" s="11">
        <v>10059</v>
      </c>
      <c r="F30" s="11">
        <v>14510</v>
      </c>
      <c r="G30" s="11">
        <v>16337</v>
      </c>
      <c r="H30" s="11">
        <v>14937</v>
      </c>
      <c r="I30" s="11">
        <v>19398</v>
      </c>
      <c r="J30" s="11">
        <v>32787</v>
      </c>
      <c r="K30" s="11">
        <v>36450</v>
      </c>
      <c r="L30" s="11">
        <v>37891</v>
      </c>
      <c r="M30" s="11">
        <v>45118</v>
      </c>
      <c r="N30" s="11">
        <v>47796</v>
      </c>
      <c r="O30" s="11">
        <v>47138</v>
      </c>
      <c r="P30" s="11">
        <v>46911</v>
      </c>
      <c r="Q30" s="11">
        <v>46220</v>
      </c>
      <c r="R30" s="11">
        <v>44559</v>
      </c>
      <c r="S30" s="11">
        <v>46754</v>
      </c>
      <c r="T30" s="11">
        <v>46031</v>
      </c>
      <c r="U30" s="11">
        <v>34880</v>
      </c>
      <c r="V30" s="11">
        <v>35371</v>
      </c>
      <c r="W30" s="11">
        <v>33350</v>
      </c>
      <c r="X30" s="11">
        <v>35324</v>
      </c>
      <c r="Y30" s="11">
        <v>35420</v>
      </c>
      <c r="Z30" s="11">
        <v>34715</v>
      </c>
      <c r="AA30" s="11">
        <v>34163</v>
      </c>
      <c r="AB30" s="11">
        <v>33734</v>
      </c>
      <c r="AC30" s="11">
        <v>31183</v>
      </c>
      <c r="AD30" s="11">
        <v>30847</v>
      </c>
      <c r="AE30" s="11">
        <v>31532</v>
      </c>
      <c r="AF30" s="11">
        <v>31799</v>
      </c>
      <c r="AG30" s="12">
        <v>31791</v>
      </c>
      <c r="AI30" s="10"/>
      <c r="AJ30" s="121"/>
      <c r="AK30" s="115"/>
      <c r="AL30" s="121"/>
      <c r="AM30" s="115"/>
      <c r="AN30" s="121"/>
      <c r="AO30" s="115"/>
      <c r="AP30" s="121"/>
      <c r="AQ30" s="115"/>
      <c r="AR30" s="121"/>
      <c r="AS30" s="115"/>
      <c r="AT30" s="121"/>
      <c r="AU30" s="115"/>
      <c r="AV30" s="121"/>
      <c r="AW30" s="115"/>
      <c r="AX30" s="121"/>
      <c r="AY30" s="115"/>
      <c r="AZ30" s="121"/>
      <c r="BA30" s="115"/>
      <c r="BB30" s="121"/>
      <c r="BC30" s="115"/>
      <c r="BD30" s="121"/>
      <c r="BE30" s="115"/>
      <c r="BF30" s="121"/>
      <c r="BG30" s="115"/>
      <c r="BH30" s="121"/>
      <c r="BI30" s="115"/>
      <c r="BJ30" s="121"/>
      <c r="BK30" s="115"/>
      <c r="BL30" s="121"/>
      <c r="BM30" s="115"/>
      <c r="BN30" s="121"/>
      <c r="BO30" s="115"/>
      <c r="BP30" s="121"/>
      <c r="BQ30" s="115"/>
      <c r="BR30" s="121"/>
      <c r="BS30" s="115"/>
      <c r="BT30" s="121"/>
      <c r="BU30" s="115"/>
      <c r="BV30" s="121"/>
      <c r="BW30" s="115"/>
      <c r="BX30" s="121"/>
      <c r="BY30" s="115"/>
      <c r="BZ30" s="121"/>
      <c r="CA30" s="115"/>
      <c r="CB30" s="121"/>
      <c r="CC30" s="115"/>
      <c r="CD30" s="122"/>
      <c r="CE30" s="115"/>
    </row>
    <row r="31" spans="1:83" ht="25.5" customHeight="1" x14ac:dyDescent="0.25">
      <c r="B31" s="124"/>
      <c r="C31" s="124"/>
      <c r="D31" s="124"/>
      <c r="E31" s="124"/>
      <c r="F31" s="124"/>
      <c r="G31" s="124"/>
      <c r="H31" s="124"/>
      <c r="I31" s="124"/>
      <c r="J31" s="124"/>
      <c r="K31" s="124"/>
      <c r="L31" s="124"/>
      <c r="M31" s="124"/>
      <c r="N31" s="124"/>
      <c r="O31" s="124"/>
      <c r="P31" s="124"/>
      <c r="Q31" s="124"/>
      <c r="R31" s="124"/>
      <c r="S31" s="124"/>
      <c r="T31" s="124"/>
      <c r="U31" s="124"/>
      <c r="V31" s="124"/>
      <c r="W31" s="124"/>
      <c r="X31" s="124"/>
      <c r="Y31" s="124"/>
      <c r="Z31" s="124"/>
      <c r="AA31" s="124"/>
      <c r="AB31" s="124"/>
      <c r="AC31" s="124"/>
      <c r="AD31" s="124"/>
      <c r="AE31" s="124"/>
      <c r="AF31" s="124"/>
      <c r="AG31" s="124"/>
      <c r="AJ31" s="123"/>
      <c r="AK31" s="123"/>
      <c r="AL31" s="123"/>
      <c r="AM31" s="123"/>
      <c r="AN31" s="123"/>
      <c r="AO31" s="123"/>
      <c r="AP31" s="123"/>
      <c r="AQ31" s="123"/>
      <c r="AR31" s="123"/>
      <c r="AS31" s="123"/>
      <c r="AT31" s="123"/>
      <c r="AU31" s="123"/>
      <c r="AV31" s="123"/>
      <c r="AW31" s="123"/>
      <c r="AX31" s="123"/>
      <c r="AY31" s="123"/>
      <c r="AZ31" s="123"/>
      <c r="BA31" s="123"/>
      <c r="BB31" s="123"/>
      <c r="BC31" s="123"/>
      <c r="BD31" s="123"/>
      <c r="BE31" s="123"/>
      <c r="BF31" s="123"/>
      <c r="BG31" s="123"/>
      <c r="BH31" s="123"/>
      <c r="BI31" s="123"/>
      <c r="BJ31" s="123"/>
      <c r="BK31" s="123"/>
      <c r="BL31" s="123"/>
      <c r="BM31" s="123"/>
      <c r="BN31" s="123"/>
      <c r="BO31" s="123"/>
      <c r="BP31" s="123"/>
      <c r="BQ31" s="123"/>
      <c r="BR31" s="123"/>
      <c r="BS31" s="123"/>
      <c r="BT31" s="123"/>
      <c r="BU31" s="123"/>
      <c r="BV31" s="123"/>
      <c r="BW31" s="123"/>
      <c r="BX31" s="123"/>
      <c r="BY31" s="123"/>
      <c r="BZ31" s="123"/>
      <c r="CA31" s="123"/>
      <c r="CB31" s="123"/>
      <c r="CC31" s="123"/>
      <c r="CD31" s="123"/>
      <c r="CE31" s="123"/>
    </row>
    <row r="32" spans="1:83" ht="16.5" x14ac:dyDescent="0.25">
      <c r="A32" s="32" t="s">
        <v>853</v>
      </c>
      <c r="B32" s="124"/>
      <c r="C32" s="124"/>
      <c r="D32" s="124"/>
      <c r="E32" s="124"/>
      <c r="F32" s="124"/>
      <c r="G32" s="124"/>
      <c r="H32" s="124"/>
      <c r="I32" s="124"/>
      <c r="J32" s="124"/>
      <c r="K32" s="124"/>
      <c r="L32" s="124"/>
      <c r="M32" s="124"/>
      <c r="N32" s="124"/>
      <c r="O32" s="124"/>
      <c r="P32" s="124"/>
      <c r="Q32" s="124"/>
      <c r="R32" s="124"/>
      <c r="S32" s="124"/>
      <c r="T32" s="124"/>
      <c r="U32" s="124"/>
      <c r="V32" s="124"/>
      <c r="W32" s="124"/>
      <c r="X32" s="124"/>
      <c r="Y32" s="124"/>
      <c r="Z32" s="124"/>
      <c r="AA32" s="124"/>
      <c r="AB32" s="124"/>
      <c r="AC32" s="124"/>
      <c r="AD32" s="124"/>
      <c r="AE32" s="124"/>
      <c r="AF32" s="124"/>
      <c r="AG32" s="124"/>
      <c r="AI32" s="33" t="s">
        <v>854</v>
      </c>
      <c r="AJ32" s="123"/>
      <c r="AK32" s="123"/>
      <c r="AL32" s="123"/>
      <c r="AM32" s="123"/>
      <c r="AN32" s="123"/>
      <c r="AO32" s="123"/>
      <c r="AP32" s="123"/>
      <c r="AQ32" s="123"/>
      <c r="AR32" s="123"/>
      <c r="AS32" s="123"/>
      <c r="AT32" s="123"/>
      <c r="AU32" s="123"/>
      <c r="AV32" s="123"/>
      <c r="AW32" s="123"/>
      <c r="AX32" s="123"/>
      <c r="AY32" s="123"/>
      <c r="AZ32" s="123"/>
      <c r="BA32" s="123"/>
      <c r="BB32" s="123"/>
      <c r="BC32" s="123"/>
      <c r="BD32" s="123"/>
      <c r="BE32" s="123"/>
      <c r="BF32" s="123"/>
      <c r="BG32" s="123"/>
      <c r="BH32" s="123"/>
      <c r="BI32" s="123"/>
      <c r="BJ32" s="123"/>
      <c r="BK32" s="123"/>
      <c r="BL32" s="123"/>
      <c r="BM32" s="123"/>
      <c r="BN32" s="123"/>
      <c r="BO32" s="123"/>
      <c r="BP32" s="123"/>
      <c r="BQ32" s="123"/>
      <c r="BR32" s="123"/>
      <c r="BS32" s="123"/>
      <c r="BT32" s="123"/>
      <c r="BU32" s="123"/>
      <c r="BV32" s="123"/>
      <c r="BW32" s="123"/>
      <c r="BX32" s="123"/>
      <c r="BY32" s="123"/>
      <c r="BZ32" s="123"/>
      <c r="CA32" s="123"/>
      <c r="CB32" s="123"/>
      <c r="CC32" s="123"/>
      <c r="CD32" s="123"/>
      <c r="CE32" s="123"/>
    </row>
    <row r="33" spans="1:83" ht="47.25" x14ac:dyDescent="0.25">
      <c r="A33" s="31" t="s">
        <v>842</v>
      </c>
      <c r="B33" s="99" t="s">
        <v>102</v>
      </c>
      <c r="C33" s="99" t="s">
        <v>103</v>
      </c>
      <c r="D33" s="99" t="s">
        <v>104</v>
      </c>
      <c r="E33" s="99" t="s">
        <v>105</v>
      </c>
      <c r="F33" s="99" t="s">
        <v>106</v>
      </c>
      <c r="G33" s="99" t="s">
        <v>107</v>
      </c>
      <c r="H33" s="99" t="s">
        <v>108</v>
      </c>
      <c r="I33" s="99" t="s">
        <v>109</v>
      </c>
      <c r="J33" s="99" t="s">
        <v>110</v>
      </c>
      <c r="K33" s="99" t="s">
        <v>111</v>
      </c>
      <c r="L33" s="99" t="s">
        <v>112</v>
      </c>
      <c r="M33" s="99" t="s">
        <v>113</v>
      </c>
      <c r="N33" s="99" t="s">
        <v>114</v>
      </c>
      <c r="O33" s="99" t="s">
        <v>115</v>
      </c>
      <c r="P33" s="99" t="s">
        <v>116</v>
      </c>
      <c r="Q33" s="99" t="s">
        <v>117</v>
      </c>
      <c r="R33" s="99" t="s">
        <v>118</v>
      </c>
      <c r="S33" s="99" t="s">
        <v>119</v>
      </c>
      <c r="T33" s="99" t="s">
        <v>120</v>
      </c>
      <c r="U33" s="99" t="s">
        <v>121</v>
      </c>
      <c r="V33" s="99" t="s">
        <v>122</v>
      </c>
      <c r="W33" s="99" t="s">
        <v>123</v>
      </c>
      <c r="X33" s="99" t="s">
        <v>124</v>
      </c>
      <c r="Y33" s="99" t="s">
        <v>125</v>
      </c>
      <c r="Z33" s="99" t="s">
        <v>126</v>
      </c>
      <c r="AA33" s="99" t="s">
        <v>127</v>
      </c>
      <c r="AB33" s="99" t="s">
        <v>128</v>
      </c>
      <c r="AC33" s="99" t="s">
        <v>129</v>
      </c>
      <c r="AD33" s="99" t="s">
        <v>130</v>
      </c>
      <c r="AE33" s="99" t="s">
        <v>131</v>
      </c>
      <c r="AF33" s="99" t="s">
        <v>132</v>
      </c>
      <c r="AG33" s="99" t="s">
        <v>133</v>
      </c>
      <c r="AI33" s="31" t="s">
        <v>842</v>
      </c>
      <c r="AJ33" s="99" t="s">
        <v>178</v>
      </c>
      <c r="AK33" s="99" t="s">
        <v>179</v>
      </c>
      <c r="AL33" s="99" t="s">
        <v>180</v>
      </c>
      <c r="AM33" s="99" t="s">
        <v>181</v>
      </c>
      <c r="AN33" s="99" t="s">
        <v>182</v>
      </c>
      <c r="AO33" s="99" t="s">
        <v>183</v>
      </c>
      <c r="AP33" s="99" t="s">
        <v>184</v>
      </c>
      <c r="AQ33" s="99" t="s">
        <v>185</v>
      </c>
      <c r="AR33" s="99" t="s">
        <v>186</v>
      </c>
      <c r="AS33" s="99" t="s">
        <v>187</v>
      </c>
      <c r="AT33" s="99" t="s">
        <v>188</v>
      </c>
      <c r="AU33" s="99" t="s">
        <v>189</v>
      </c>
      <c r="AV33" s="99" t="s">
        <v>190</v>
      </c>
      <c r="AW33" s="99" t="s">
        <v>191</v>
      </c>
      <c r="AX33" s="99" t="s">
        <v>192</v>
      </c>
      <c r="AY33" s="99" t="s">
        <v>193</v>
      </c>
      <c r="AZ33" s="99" t="s">
        <v>194</v>
      </c>
      <c r="BA33" s="99" t="s">
        <v>195</v>
      </c>
      <c r="BB33" s="99" t="s">
        <v>196</v>
      </c>
      <c r="BC33" s="99" t="s">
        <v>197</v>
      </c>
      <c r="BD33" s="99" t="s">
        <v>198</v>
      </c>
      <c r="BE33" s="99" t="s">
        <v>199</v>
      </c>
      <c r="BF33" s="99" t="s">
        <v>200</v>
      </c>
      <c r="BG33" s="99" t="s">
        <v>201</v>
      </c>
      <c r="BH33" s="99" t="s">
        <v>202</v>
      </c>
      <c r="BI33" s="99" t="s">
        <v>203</v>
      </c>
      <c r="BJ33" s="99" t="s">
        <v>843</v>
      </c>
      <c r="BK33" s="99" t="s">
        <v>205</v>
      </c>
      <c r="BL33" s="99" t="s">
        <v>206</v>
      </c>
      <c r="BM33" s="99" t="s">
        <v>207</v>
      </c>
      <c r="BN33" s="99" t="s">
        <v>208</v>
      </c>
      <c r="BO33" s="99" t="s">
        <v>209</v>
      </c>
      <c r="BP33" s="99" t="s">
        <v>210</v>
      </c>
      <c r="BQ33" s="99" t="s">
        <v>211</v>
      </c>
      <c r="BR33" s="99" t="s">
        <v>212</v>
      </c>
      <c r="BS33" s="99" t="s">
        <v>213</v>
      </c>
      <c r="BT33" s="99" t="s">
        <v>214</v>
      </c>
      <c r="BU33" s="99" t="s">
        <v>215</v>
      </c>
      <c r="BV33" s="99" t="s">
        <v>216</v>
      </c>
      <c r="BW33" s="99" t="s">
        <v>217</v>
      </c>
      <c r="BX33" s="99" t="s">
        <v>218</v>
      </c>
      <c r="BY33" s="99" t="s">
        <v>219</v>
      </c>
      <c r="BZ33" s="99" t="s">
        <v>220</v>
      </c>
      <c r="CA33" s="99" t="s">
        <v>221</v>
      </c>
      <c r="CB33" s="99" t="s">
        <v>222</v>
      </c>
      <c r="CC33" s="99" t="s">
        <v>223</v>
      </c>
      <c r="CD33" s="99" t="s">
        <v>224</v>
      </c>
      <c r="CE33" s="99" t="s">
        <v>225</v>
      </c>
    </row>
    <row r="34" spans="1:83" ht="15.75" x14ac:dyDescent="0.25">
      <c r="A34" s="4" t="s">
        <v>855</v>
      </c>
      <c r="B34" s="5">
        <v>1108</v>
      </c>
      <c r="C34" s="5">
        <v>1141</v>
      </c>
      <c r="D34" s="5">
        <v>1170</v>
      </c>
      <c r="E34" s="5">
        <v>1344</v>
      </c>
      <c r="F34" s="5">
        <v>1761</v>
      </c>
      <c r="G34" s="5">
        <v>1917</v>
      </c>
      <c r="H34" s="5">
        <v>1796</v>
      </c>
      <c r="I34" s="5">
        <v>1646</v>
      </c>
      <c r="J34" s="5">
        <v>1358</v>
      </c>
      <c r="K34" s="5">
        <v>1347</v>
      </c>
      <c r="L34" s="5">
        <v>1394</v>
      </c>
      <c r="M34" s="5">
        <v>1220</v>
      </c>
      <c r="N34" s="5">
        <v>1168</v>
      </c>
      <c r="O34" s="5">
        <v>1298</v>
      </c>
      <c r="P34" s="5">
        <v>1173</v>
      </c>
      <c r="Q34" s="5">
        <v>1172</v>
      </c>
      <c r="R34" s="5">
        <v>1068</v>
      </c>
      <c r="S34" s="5">
        <v>1195</v>
      </c>
      <c r="T34" s="5">
        <v>1115</v>
      </c>
      <c r="U34" s="5">
        <v>990</v>
      </c>
      <c r="V34" s="5">
        <v>836</v>
      </c>
      <c r="W34" s="5">
        <v>815</v>
      </c>
      <c r="X34" s="5">
        <v>826</v>
      </c>
      <c r="Y34" s="5">
        <v>776</v>
      </c>
      <c r="Z34" s="5">
        <v>814</v>
      </c>
      <c r="AA34" s="5">
        <v>811</v>
      </c>
      <c r="AB34" s="5">
        <v>766</v>
      </c>
      <c r="AC34" s="5">
        <v>616</v>
      </c>
      <c r="AD34" s="5">
        <v>683</v>
      </c>
      <c r="AE34" s="5">
        <v>663</v>
      </c>
      <c r="AF34" s="5">
        <v>690</v>
      </c>
      <c r="AG34" s="6">
        <v>679</v>
      </c>
      <c r="AI34" s="4" t="s">
        <v>134</v>
      </c>
      <c r="AJ34" s="111">
        <v>-64.608087486547078</v>
      </c>
      <c r="AK34" s="111" t="s">
        <v>226</v>
      </c>
      <c r="AL34" s="111">
        <v>-62.224725134669043</v>
      </c>
      <c r="AM34" s="111" t="s">
        <v>226</v>
      </c>
      <c r="AN34" s="111">
        <v>-58.765023274158217</v>
      </c>
      <c r="AO34" s="111" t="s">
        <v>226</v>
      </c>
      <c r="AP34" s="111">
        <v>-50.016221843944592</v>
      </c>
      <c r="AQ34" s="111" t="s">
        <v>226</v>
      </c>
      <c r="AR34" s="111">
        <v>-49.629879290903467</v>
      </c>
      <c r="AS34" s="111" t="s">
        <v>226</v>
      </c>
      <c r="AT34" s="111">
        <v>-51.315730842671691</v>
      </c>
      <c r="AU34" s="111" t="s">
        <v>226</v>
      </c>
      <c r="AV34" s="111">
        <v>-44.390668076214723</v>
      </c>
      <c r="AW34" s="111" t="s">
        <v>226</v>
      </c>
      <c r="AX34" s="111">
        <v>-41.918413037672167</v>
      </c>
      <c r="AY34" s="111" t="s">
        <v>226</v>
      </c>
      <c r="AZ34" s="111">
        <v>-47.734233203094007</v>
      </c>
      <c r="BA34" s="111" t="s">
        <v>226</v>
      </c>
      <c r="BB34" s="111">
        <v>-42.143815716617908</v>
      </c>
      <c r="BC34" s="111" t="s">
        <v>226</v>
      </c>
      <c r="BD34" s="111">
        <v>-42.107961233418969</v>
      </c>
      <c r="BE34" s="111" t="s">
        <v>226</v>
      </c>
      <c r="BF34" s="111">
        <v>-36.467250613335032</v>
      </c>
      <c r="BG34" s="111" t="s">
        <v>226</v>
      </c>
      <c r="BH34" s="111">
        <v>-43.204069501173272</v>
      </c>
      <c r="BI34" s="111" t="s">
        <v>226</v>
      </c>
      <c r="BJ34" s="111">
        <v>-39.134170600128932</v>
      </c>
      <c r="BK34" s="111" t="s">
        <v>226</v>
      </c>
      <c r="BL34" s="111">
        <v>-31.422810147498549</v>
      </c>
      <c r="BM34" s="111" t="s">
        <v>226</v>
      </c>
      <c r="BN34" s="111">
        <v>-18.839733203378369</v>
      </c>
      <c r="BO34" s="111" t="s">
        <v>226</v>
      </c>
      <c r="BP34" s="111">
        <v>-16.75464859956249</v>
      </c>
      <c r="BQ34" s="111" t="s">
        <v>226</v>
      </c>
      <c r="BR34" s="111">
        <v>-17.8771939801378</v>
      </c>
      <c r="BS34" s="111" t="s">
        <v>226</v>
      </c>
      <c r="BT34" s="111">
        <v>-12.50554677190819</v>
      </c>
      <c r="BU34" s="111"/>
      <c r="BV34" s="111">
        <v>-16.66205277823223</v>
      </c>
      <c r="BW34" s="111" t="s">
        <v>226</v>
      </c>
      <c r="BX34" s="111">
        <v>-16.276185920243609</v>
      </c>
      <c r="BY34" s="111" t="s">
        <v>226</v>
      </c>
      <c r="BZ34" s="111">
        <v>-11.43056240968675</v>
      </c>
      <c r="CA34" s="111"/>
      <c r="CB34" s="111">
        <v>10.164378890992801</v>
      </c>
      <c r="CC34" s="111"/>
      <c r="CD34" s="112">
        <v>-1.706348668186275</v>
      </c>
      <c r="CE34" s="111"/>
    </row>
    <row r="35" spans="1:83" ht="15.75" x14ac:dyDescent="0.25">
      <c r="A35" s="7" t="s">
        <v>844</v>
      </c>
      <c r="B35" s="8">
        <v>118</v>
      </c>
      <c r="C35" s="8">
        <v>132</v>
      </c>
      <c r="D35" s="8">
        <v>176</v>
      </c>
      <c r="E35" s="8">
        <v>245</v>
      </c>
      <c r="F35" s="8">
        <v>456</v>
      </c>
      <c r="G35" s="8">
        <v>413</v>
      </c>
      <c r="H35" s="8">
        <v>360</v>
      </c>
      <c r="I35" s="8">
        <v>347</v>
      </c>
      <c r="J35" s="8">
        <v>255</v>
      </c>
      <c r="K35" s="8">
        <v>232</v>
      </c>
      <c r="L35" s="8">
        <v>237</v>
      </c>
      <c r="M35" s="8">
        <v>187</v>
      </c>
      <c r="N35" s="8">
        <v>173</v>
      </c>
      <c r="O35" s="8">
        <v>205</v>
      </c>
      <c r="P35" s="8">
        <v>167</v>
      </c>
      <c r="Q35" s="8">
        <v>157</v>
      </c>
      <c r="R35" s="8">
        <v>131</v>
      </c>
      <c r="S35" s="8">
        <v>187</v>
      </c>
      <c r="T35" s="8">
        <v>168</v>
      </c>
      <c r="U35" s="8">
        <v>180</v>
      </c>
      <c r="V35" s="8">
        <v>139</v>
      </c>
      <c r="W35" s="8">
        <v>149</v>
      </c>
      <c r="X35" s="8">
        <v>151</v>
      </c>
      <c r="Y35" s="8">
        <v>134</v>
      </c>
      <c r="Z35" s="8">
        <v>122</v>
      </c>
      <c r="AA35" s="8">
        <v>130</v>
      </c>
      <c r="AB35" s="8">
        <v>112</v>
      </c>
      <c r="AC35" s="8">
        <v>72</v>
      </c>
      <c r="AD35" s="8">
        <v>82</v>
      </c>
      <c r="AE35" s="8">
        <v>94</v>
      </c>
      <c r="AF35" s="8">
        <v>82</v>
      </c>
      <c r="AG35" s="9">
        <v>119</v>
      </c>
      <c r="AI35" s="7" t="s">
        <v>845</v>
      </c>
      <c r="AJ35" s="113">
        <v>-71.148410658026549</v>
      </c>
      <c r="AK35" s="113" t="s">
        <v>226</v>
      </c>
      <c r="AL35" s="113">
        <v>-66.91229817033458</v>
      </c>
      <c r="AM35" s="113" t="s">
        <v>226</v>
      </c>
      <c r="AN35" s="113">
        <v>-65.739166479798669</v>
      </c>
      <c r="AO35" s="113" t="s">
        <v>226</v>
      </c>
      <c r="AP35" s="113">
        <v>-53.346678051613843</v>
      </c>
      <c r="AQ35" s="113" t="s">
        <v>226</v>
      </c>
      <c r="AR35" s="113">
        <v>-48.580298551823361</v>
      </c>
      <c r="AS35" s="113" t="s">
        <v>226</v>
      </c>
      <c r="AT35" s="113">
        <v>-49.713462895950833</v>
      </c>
      <c r="AU35" s="113" t="s">
        <v>226</v>
      </c>
      <c r="AV35" s="113">
        <v>-36.339846408506617</v>
      </c>
      <c r="AW35" s="113" t="s">
        <v>226</v>
      </c>
      <c r="AX35" s="113">
        <v>-31.215973721370599</v>
      </c>
      <c r="AY35" s="113" t="s">
        <v>226</v>
      </c>
      <c r="AZ35" s="113">
        <v>-41.875569030118037</v>
      </c>
      <c r="BA35" s="113" t="s">
        <v>226</v>
      </c>
      <c r="BB35" s="113">
        <v>-28.590918727807178</v>
      </c>
      <c r="BC35" s="113" t="s">
        <v>226</v>
      </c>
      <c r="BD35" s="113">
        <v>-24.20385432387344</v>
      </c>
      <c r="BE35" s="113"/>
      <c r="BF35" s="113">
        <v>-8.9717358523066508</v>
      </c>
      <c r="BG35" s="113"/>
      <c r="BH35" s="113">
        <v>-36.171276031821243</v>
      </c>
      <c r="BI35" s="113" t="s">
        <v>226</v>
      </c>
      <c r="BJ35" s="113">
        <v>-29.328160961851768</v>
      </c>
      <c r="BK35" s="113" t="s">
        <v>226</v>
      </c>
      <c r="BL35" s="113">
        <v>-33.944767879032653</v>
      </c>
      <c r="BM35" s="113" t="s">
        <v>226</v>
      </c>
      <c r="BN35" s="113">
        <v>-14.53625562130156</v>
      </c>
      <c r="BO35" s="113"/>
      <c r="BP35" s="113">
        <v>-20.174262251645931</v>
      </c>
      <c r="BQ35" s="113"/>
      <c r="BR35" s="113">
        <v>-21.35616246228393</v>
      </c>
      <c r="BS35" s="113"/>
      <c r="BT35" s="113">
        <v>-11.37231037528651</v>
      </c>
      <c r="BU35" s="113"/>
      <c r="BV35" s="113">
        <v>-2.1458932070757442</v>
      </c>
      <c r="BW35" s="113"/>
      <c r="BX35" s="113">
        <v>-8.173548231307814</v>
      </c>
      <c r="BY35" s="113"/>
      <c r="BZ35" s="113">
        <v>6.2289100934572961</v>
      </c>
      <c r="CA35" s="113"/>
      <c r="CB35" s="113">
        <v>65.643742531009551</v>
      </c>
      <c r="CC35" s="113" t="s">
        <v>226</v>
      </c>
      <c r="CD35" s="114">
        <v>44.318127087248612</v>
      </c>
      <c r="CE35" s="113"/>
    </row>
    <row r="36" spans="1:83" ht="15.75" x14ac:dyDescent="0.25">
      <c r="A36" s="7" t="s">
        <v>846</v>
      </c>
      <c r="B36" s="8">
        <v>463</v>
      </c>
      <c r="C36" s="8">
        <v>449</v>
      </c>
      <c r="D36" s="8">
        <v>434</v>
      </c>
      <c r="E36" s="8">
        <v>579</v>
      </c>
      <c r="F36" s="8">
        <v>850</v>
      </c>
      <c r="G36" s="8">
        <v>924</v>
      </c>
      <c r="H36" s="8">
        <v>920</v>
      </c>
      <c r="I36" s="8">
        <v>735</v>
      </c>
      <c r="J36" s="8">
        <v>539</v>
      </c>
      <c r="K36" s="8">
        <v>557</v>
      </c>
      <c r="L36" s="8">
        <v>546</v>
      </c>
      <c r="M36" s="8">
        <v>477</v>
      </c>
      <c r="N36" s="8">
        <v>453</v>
      </c>
      <c r="O36" s="8">
        <v>527</v>
      </c>
      <c r="P36" s="8">
        <v>471</v>
      </c>
      <c r="Q36" s="8">
        <v>444</v>
      </c>
      <c r="R36" s="8">
        <v>389</v>
      </c>
      <c r="S36" s="8">
        <v>438</v>
      </c>
      <c r="T36" s="8">
        <v>438</v>
      </c>
      <c r="U36" s="8">
        <v>380</v>
      </c>
      <c r="V36" s="8">
        <v>319</v>
      </c>
      <c r="W36" s="8">
        <v>291</v>
      </c>
      <c r="X36" s="8">
        <v>337</v>
      </c>
      <c r="Y36" s="8">
        <v>277</v>
      </c>
      <c r="Z36" s="8">
        <v>320</v>
      </c>
      <c r="AA36" s="8">
        <v>252</v>
      </c>
      <c r="AB36" s="8">
        <v>289</v>
      </c>
      <c r="AC36" s="8">
        <v>230</v>
      </c>
      <c r="AD36" s="8">
        <v>256</v>
      </c>
      <c r="AE36" s="8">
        <v>176</v>
      </c>
      <c r="AF36" s="8">
        <v>244</v>
      </c>
      <c r="AG36" s="9">
        <v>184</v>
      </c>
      <c r="AI36" s="7" t="s">
        <v>846</v>
      </c>
      <c r="AJ36" s="113">
        <v>-80.088971477552533</v>
      </c>
      <c r="AK36" s="113" t="s">
        <v>226</v>
      </c>
      <c r="AL36" s="113">
        <v>-80.008106958771833</v>
      </c>
      <c r="AM36" s="113" t="s">
        <v>226</v>
      </c>
      <c r="AN36" s="113">
        <v>-74.951121900050111</v>
      </c>
      <c r="AO36" s="113" t="s">
        <v>226</v>
      </c>
      <c r="AP36" s="113">
        <v>-65.88477769888992</v>
      </c>
      <c r="AQ36" s="113" t="s">
        <v>226</v>
      </c>
      <c r="AR36" s="113">
        <v>-66.966168333916826</v>
      </c>
      <c r="AS36" s="113" t="s">
        <v>226</v>
      </c>
      <c r="AT36" s="113">
        <v>-66.277895688824373</v>
      </c>
      <c r="AU36" s="113" t="s">
        <v>226</v>
      </c>
      <c r="AV36" s="113">
        <v>-61.393150662629402</v>
      </c>
      <c r="AW36" s="113" t="s">
        <v>226</v>
      </c>
      <c r="AX36" s="113">
        <v>-59.347936093911521</v>
      </c>
      <c r="AY36" s="113" t="s">
        <v>226</v>
      </c>
      <c r="AZ36" s="113">
        <v>-65.077616571719048</v>
      </c>
      <c r="BA36" s="113" t="s">
        <v>226</v>
      </c>
      <c r="BB36" s="113">
        <v>-60.940573561181672</v>
      </c>
      <c r="BC36" s="113" t="s">
        <v>226</v>
      </c>
      <c r="BD36" s="113">
        <v>-58.537905275740478</v>
      </c>
      <c r="BE36" s="113" t="s">
        <v>226</v>
      </c>
      <c r="BF36" s="113">
        <v>-52.705955969129491</v>
      </c>
      <c r="BG36" s="113" t="s">
        <v>226</v>
      </c>
      <c r="BH36" s="113">
        <v>-57.952233625656888</v>
      </c>
      <c r="BI36" s="113" t="s">
        <v>226</v>
      </c>
      <c r="BJ36" s="113">
        <v>-58.008046585384591</v>
      </c>
      <c r="BK36" s="113" t="s">
        <v>226</v>
      </c>
      <c r="BL36" s="113">
        <v>-51.61169643961712</v>
      </c>
      <c r="BM36" s="113" t="s">
        <v>226</v>
      </c>
      <c r="BN36" s="113">
        <v>-42.24445949588921</v>
      </c>
      <c r="BO36" s="113" t="s">
        <v>226</v>
      </c>
      <c r="BP36" s="113">
        <v>-36.687398070160228</v>
      </c>
      <c r="BQ36" s="113" t="s">
        <v>226</v>
      </c>
      <c r="BR36" s="113">
        <v>-45.458808306926123</v>
      </c>
      <c r="BS36" s="113" t="s">
        <v>226</v>
      </c>
      <c r="BT36" s="113">
        <v>-33.452913346093197</v>
      </c>
      <c r="BU36" s="113" t="s">
        <v>226</v>
      </c>
      <c r="BV36" s="113">
        <v>-42.507576857076053</v>
      </c>
      <c r="BW36" s="113" t="s">
        <v>226</v>
      </c>
      <c r="BX36" s="113">
        <v>-26.905996206493128</v>
      </c>
      <c r="BY36" s="113" t="s">
        <v>226</v>
      </c>
      <c r="BZ36" s="113">
        <v>-36.254997705621669</v>
      </c>
      <c r="CA36" s="113" t="s">
        <v>226</v>
      </c>
      <c r="CB36" s="113">
        <v>-19.878518171410601</v>
      </c>
      <c r="CC36" s="113"/>
      <c r="CD36" s="114">
        <v>-24.66444532106215</v>
      </c>
      <c r="CE36" s="113"/>
    </row>
    <row r="37" spans="1:83" ht="15.75" x14ac:dyDescent="0.25">
      <c r="A37" s="7" t="s">
        <v>847</v>
      </c>
      <c r="B37" s="8">
        <v>587</v>
      </c>
      <c r="C37" s="8">
        <v>597</v>
      </c>
      <c r="D37" s="8">
        <v>607</v>
      </c>
      <c r="E37" s="8">
        <v>541</v>
      </c>
      <c r="F37" s="8">
        <v>618</v>
      </c>
      <c r="G37" s="8">
        <v>674</v>
      </c>
      <c r="H37" s="8">
        <v>608</v>
      </c>
      <c r="I37" s="8">
        <v>668</v>
      </c>
      <c r="J37" s="8">
        <v>646</v>
      </c>
      <c r="K37" s="8">
        <v>623</v>
      </c>
      <c r="L37" s="8">
        <v>674</v>
      </c>
      <c r="M37" s="8">
        <v>602</v>
      </c>
      <c r="N37" s="8">
        <v>586</v>
      </c>
      <c r="O37" s="8">
        <v>635</v>
      </c>
      <c r="P37" s="8">
        <v>574</v>
      </c>
      <c r="Q37" s="8">
        <v>615</v>
      </c>
      <c r="R37" s="8">
        <v>580</v>
      </c>
      <c r="S37" s="8">
        <v>624</v>
      </c>
      <c r="T37" s="8">
        <v>536</v>
      </c>
      <c r="U37" s="8">
        <v>453</v>
      </c>
      <c r="V37" s="8">
        <v>402</v>
      </c>
      <c r="W37" s="8">
        <v>385</v>
      </c>
      <c r="X37" s="8">
        <v>378</v>
      </c>
      <c r="Y37" s="8">
        <v>378</v>
      </c>
      <c r="Z37" s="8">
        <v>398</v>
      </c>
      <c r="AA37" s="8">
        <v>444</v>
      </c>
      <c r="AB37" s="8">
        <v>381</v>
      </c>
      <c r="AC37" s="8">
        <v>330</v>
      </c>
      <c r="AD37" s="8">
        <v>351</v>
      </c>
      <c r="AE37" s="8">
        <v>403</v>
      </c>
      <c r="AF37" s="8">
        <v>366</v>
      </c>
      <c r="AG37" s="9">
        <v>386</v>
      </c>
      <c r="AI37" s="7" t="s">
        <v>847</v>
      </c>
      <c r="AJ37" s="113">
        <v>-42.736336221772</v>
      </c>
      <c r="AK37" s="113" t="s">
        <v>226</v>
      </c>
      <c r="AL37" s="113">
        <v>-36.479268361110456</v>
      </c>
      <c r="AM37" s="113" t="s">
        <v>226</v>
      </c>
      <c r="AN37" s="113">
        <v>-42.186433143305123</v>
      </c>
      <c r="AO37" s="113" t="s">
        <v>226</v>
      </c>
      <c r="AP37" s="113">
        <v>-40.228708195330697</v>
      </c>
      <c r="AQ37" s="113" t="s">
        <v>226</v>
      </c>
      <c r="AR37" s="113">
        <v>-38.073399157661832</v>
      </c>
      <c r="AS37" s="113" t="s">
        <v>226</v>
      </c>
      <c r="AT37" s="113">
        <v>-42.681485658990027</v>
      </c>
      <c r="AU37" s="113" t="s">
        <v>226</v>
      </c>
      <c r="AV37" s="113">
        <v>-35.917561676826693</v>
      </c>
      <c r="AW37" s="113" t="s">
        <v>226</v>
      </c>
      <c r="AX37" s="113">
        <v>-34.094759759602731</v>
      </c>
      <c r="AY37" s="113" t="s">
        <v>226</v>
      </c>
      <c r="AZ37" s="113">
        <v>-39.225093532995729</v>
      </c>
      <c r="BA37" s="113" t="s">
        <v>226</v>
      </c>
      <c r="BB37" s="113">
        <v>-32.786653678369881</v>
      </c>
      <c r="BC37" s="113" t="s">
        <v>226</v>
      </c>
      <c r="BD37" s="113">
        <v>-37.208867952206781</v>
      </c>
      <c r="BE37" s="113" t="s">
        <v>226</v>
      </c>
      <c r="BF37" s="113">
        <v>-33.476493989574941</v>
      </c>
      <c r="BG37" s="113" t="s">
        <v>226</v>
      </c>
      <c r="BH37" s="113">
        <v>-38.162461930371492</v>
      </c>
      <c r="BI37" s="113" t="s">
        <v>226</v>
      </c>
      <c r="BJ37" s="113">
        <v>-28.008140836634919</v>
      </c>
      <c r="BK37" s="113" t="s">
        <v>226</v>
      </c>
      <c r="BL37" s="113">
        <v>-14.814012896821501</v>
      </c>
      <c r="BM37" s="113"/>
      <c r="BN37" s="113">
        <v>-3.9376295580727638</v>
      </c>
      <c r="BO37" s="113"/>
      <c r="BP37" s="113">
        <v>0.3545720435804478</v>
      </c>
      <c r="BQ37" s="113"/>
      <c r="BR37" s="113">
        <v>2.1491874236265081</v>
      </c>
      <c r="BS37" s="113"/>
      <c r="BT37" s="113">
        <v>2.1932139992172361</v>
      </c>
      <c r="BU37" s="113"/>
      <c r="BV37" s="113">
        <v>-2.904002662721727</v>
      </c>
      <c r="BW37" s="113"/>
      <c r="BX37" s="113">
        <v>-13.07335622531641</v>
      </c>
      <c r="BY37" s="113"/>
      <c r="BZ37" s="113">
        <v>1.3371127699710379</v>
      </c>
      <c r="CA37" s="113"/>
      <c r="CB37" s="113">
        <v>16.960110540030019</v>
      </c>
      <c r="CC37" s="113"/>
      <c r="CD37" s="114">
        <v>5.5444581237580781</v>
      </c>
      <c r="CE37" s="113"/>
    </row>
    <row r="38" spans="1:83" ht="15.75" x14ac:dyDescent="0.25">
      <c r="A38" s="10" t="s">
        <v>146</v>
      </c>
      <c r="B38" s="11">
        <v>9898</v>
      </c>
      <c r="C38" s="11">
        <v>11017</v>
      </c>
      <c r="D38" s="11">
        <v>10391</v>
      </c>
      <c r="E38" s="11">
        <v>10059</v>
      </c>
      <c r="F38" s="11">
        <v>14510</v>
      </c>
      <c r="G38" s="11">
        <v>16337</v>
      </c>
      <c r="H38" s="11">
        <v>14937</v>
      </c>
      <c r="I38" s="11">
        <v>19398</v>
      </c>
      <c r="J38" s="11">
        <v>32787</v>
      </c>
      <c r="K38" s="11">
        <v>36450</v>
      </c>
      <c r="L38" s="11">
        <v>37891</v>
      </c>
      <c r="M38" s="11">
        <v>45118</v>
      </c>
      <c r="N38" s="11">
        <v>47796</v>
      </c>
      <c r="O38" s="11">
        <v>47138</v>
      </c>
      <c r="P38" s="11">
        <v>46911</v>
      </c>
      <c r="Q38" s="11">
        <v>46220</v>
      </c>
      <c r="R38" s="11">
        <v>44559</v>
      </c>
      <c r="S38" s="11">
        <v>46754</v>
      </c>
      <c r="T38" s="11">
        <v>46031</v>
      </c>
      <c r="U38" s="11">
        <v>34880</v>
      </c>
      <c r="V38" s="11">
        <v>35371</v>
      </c>
      <c r="W38" s="11">
        <v>33350</v>
      </c>
      <c r="X38" s="11">
        <v>35324</v>
      </c>
      <c r="Y38" s="11">
        <v>35420</v>
      </c>
      <c r="Z38" s="11">
        <v>34715</v>
      </c>
      <c r="AA38" s="11">
        <v>34163</v>
      </c>
      <c r="AB38" s="11">
        <v>33734</v>
      </c>
      <c r="AC38" s="11">
        <v>31183</v>
      </c>
      <c r="AD38" s="11">
        <v>30847</v>
      </c>
      <c r="AE38" s="11">
        <v>31532</v>
      </c>
      <c r="AF38" s="11">
        <v>31799</v>
      </c>
      <c r="AG38" s="12">
        <v>31791</v>
      </c>
      <c r="AI38" s="10"/>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115"/>
      <c r="BH38" s="115"/>
      <c r="BI38" s="115"/>
      <c r="BJ38" s="115"/>
      <c r="BK38" s="115"/>
      <c r="BL38" s="115"/>
      <c r="BM38" s="115"/>
      <c r="BN38" s="115"/>
      <c r="BO38" s="115"/>
      <c r="BP38" s="115"/>
      <c r="BQ38" s="115"/>
      <c r="BR38" s="115"/>
      <c r="BS38" s="115"/>
      <c r="BT38" s="115"/>
      <c r="BU38" s="115"/>
      <c r="BV38" s="115"/>
      <c r="BW38" s="115"/>
      <c r="BX38" s="115"/>
      <c r="BY38" s="115"/>
      <c r="BZ38" s="115"/>
      <c r="CA38" s="115"/>
      <c r="CB38" s="115"/>
      <c r="CC38" s="115"/>
      <c r="CD38" s="116"/>
      <c r="CE38" s="115"/>
    </row>
  </sheetData>
  <hyperlinks>
    <hyperlink ref="A6" location="'Notes_B1 to B10'!A1" display="Link to Notes page." xr:uid="{00000000-0004-0000-0900-000000000000}"/>
    <hyperlink ref="A4" location=" 'Table of contents'!A1" display="Link to Table of contents." xr:uid="{00000000-0004-0000-0900-000001000000}"/>
  </hyperlinks>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C4A9F-3E39-4200-9E56-5FFDFD50F2C0}">
  <dimension ref="A1:H42"/>
  <sheetViews>
    <sheetView showGridLines="0" workbookViewId="0"/>
  </sheetViews>
  <sheetFormatPr defaultColWidth="8.7109375" defaultRowHeight="15" customHeight="1" x14ac:dyDescent="0.25"/>
  <cols>
    <col min="1" max="1" width="107.7109375" customWidth="1"/>
    <col min="2" max="6" width="15.7109375" customWidth="1"/>
    <col min="7" max="7" width="13.42578125" customWidth="1"/>
    <col min="8" max="8" width="14.42578125" customWidth="1"/>
  </cols>
  <sheetData>
    <row r="1" spans="1:8" ht="24.75" customHeight="1" x14ac:dyDescent="0.25">
      <c r="A1" s="851" t="s">
        <v>1386</v>
      </c>
      <c r="B1" s="790"/>
      <c r="C1" s="790"/>
      <c r="D1" s="790"/>
      <c r="E1" s="790"/>
      <c r="F1" s="790"/>
    </row>
    <row r="2" spans="1:8" ht="18" customHeight="1" x14ac:dyDescent="0.25">
      <c r="A2" s="797" t="s">
        <v>1429</v>
      </c>
      <c r="B2" s="796"/>
      <c r="C2" s="796"/>
      <c r="D2" s="796"/>
      <c r="E2" s="796"/>
      <c r="F2" s="796"/>
    </row>
    <row r="3" spans="1:8" ht="15.75" x14ac:dyDescent="0.25">
      <c r="A3" s="809" t="s">
        <v>701</v>
      </c>
      <c r="B3" s="796"/>
      <c r="C3" s="796"/>
      <c r="D3" s="796"/>
      <c r="E3" s="796"/>
      <c r="F3" s="796"/>
    </row>
    <row r="4" spans="1:8" ht="24" customHeight="1" x14ac:dyDescent="0.25">
      <c r="A4" s="801" t="s">
        <v>368</v>
      </c>
      <c r="B4" s="796"/>
      <c r="C4" s="796"/>
      <c r="D4" s="796"/>
      <c r="E4" s="796"/>
      <c r="F4" s="796"/>
    </row>
    <row r="5" spans="1:8" ht="20.25" customHeight="1" x14ac:dyDescent="0.25">
      <c r="A5" s="798" t="s">
        <v>369</v>
      </c>
      <c r="B5" s="796"/>
      <c r="C5" s="796"/>
      <c r="D5" s="796"/>
      <c r="E5" s="796"/>
      <c r="F5" s="796"/>
    </row>
    <row r="6" spans="1:8" ht="20.25" customHeight="1" x14ac:dyDescent="0.25">
      <c r="A6" s="801" t="s">
        <v>370</v>
      </c>
      <c r="B6" s="796"/>
      <c r="C6" s="796"/>
      <c r="D6" s="796"/>
      <c r="E6" s="796"/>
      <c r="F6" s="796"/>
    </row>
    <row r="7" spans="1:8" ht="21" customHeight="1" x14ac:dyDescent="0.25">
      <c r="A7" s="7" t="s">
        <v>371</v>
      </c>
      <c r="B7" s="796"/>
      <c r="C7" s="796"/>
      <c r="D7" s="796"/>
      <c r="E7" s="796"/>
      <c r="F7" s="796"/>
    </row>
    <row r="8" spans="1:8" ht="21.75" customHeight="1" x14ac:dyDescent="0.25">
      <c r="A8" s="860" t="s">
        <v>372</v>
      </c>
      <c r="B8" s="796"/>
      <c r="C8" s="796"/>
      <c r="D8" s="796"/>
      <c r="E8" s="796"/>
      <c r="F8" s="791"/>
    </row>
    <row r="9" spans="1:8" ht="31.5" x14ac:dyDescent="0.25">
      <c r="A9" s="799" t="s">
        <v>979</v>
      </c>
      <c r="B9" s="792" t="s">
        <v>931</v>
      </c>
      <c r="C9" s="792" t="s">
        <v>932</v>
      </c>
      <c r="D9" s="792" t="s">
        <v>129</v>
      </c>
      <c r="E9" s="792" t="s">
        <v>130</v>
      </c>
      <c r="F9" s="792" t="s">
        <v>131</v>
      </c>
      <c r="G9" s="793" t="s">
        <v>132</v>
      </c>
      <c r="H9" s="793" t="s">
        <v>133</v>
      </c>
    </row>
    <row r="10" spans="1:8" ht="15.75" x14ac:dyDescent="0.25">
      <c r="A10" s="769" t="s">
        <v>1387</v>
      </c>
      <c r="B10" s="772">
        <v>31731</v>
      </c>
      <c r="C10" s="772">
        <v>41535</v>
      </c>
      <c r="D10" s="772">
        <v>44453</v>
      </c>
      <c r="E10" s="772">
        <v>45370</v>
      </c>
      <c r="F10" s="772">
        <v>50675</v>
      </c>
      <c r="G10" s="772">
        <v>45898</v>
      </c>
      <c r="H10" s="772">
        <v>52350</v>
      </c>
    </row>
    <row r="11" spans="1:8" ht="15.75" x14ac:dyDescent="0.25">
      <c r="A11" s="57" t="s">
        <v>1388</v>
      </c>
      <c r="B11" s="773">
        <v>31731</v>
      </c>
      <c r="C11" s="773">
        <v>41535</v>
      </c>
      <c r="D11" s="773">
        <v>44453</v>
      </c>
      <c r="E11" s="773">
        <v>45370</v>
      </c>
      <c r="F11" s="773">
        <v>50675</v>
      </c>
      <c r="G11" s="773">
        <v>45898</v>
      </c>
      <c r="H11" s="773">
        <v>52350</v>
      </c>
    </row>
    <row r="12" spans="1:8" ht="15.75" x14ac:dyDescent="0.25">
      <c r="A12" s="57" t="s">
        <v>1389</v>
      </c>
      <c r="B12" s="773">
        <v>0</v>
      </c>
      <c r="C12" s="773">
        <v>0</v>
      </c>
      <c r="D12" s="773">
        <v>0</v>
      </c>
      <c r="E12" s="773">
        <v>0</v>
      </c>
      <c r="F12" s="773">
        <v>0</v>
      </c>
      <c r="G12" s="773">
        <v>0</v>
      </c>
      <c r="H12" s="773">
        <v>0</v>
      </c>
    </row>
    <row r="13" spans="1:8" ht="37.5" customHeight="1" x14ac:dyDescent="0.25">
      <c r="A13" s="769" t="s">
        <v>1390</v>
      </c>
      <c r="B13" s="772">
        <v>10159</v>
      </c>
      <c r="C13" s="772">
        <v>12455</v>
      </c>
      <c r="D13" s="772">
        <v>12885</v>
      </c>
      <c r="E13" s="772">
        <v>13112</v>
      </c>
      <c r="F13" s="772">
        <v>16856</v>
      </c>
      <c r="G13" s="772">
        <v>13932</v>
      </c>
      <c r="H13" s="772">
        <v>17351</v>
      </c>
    </row>
    <row r="14" spans="1:8" ht="15.75" x14ac:dyDescent="0.25">
      <c r="A14" s="57" t="s">
        <v>1391</v>
      </c>
      <c r="B14" s="773">
        <v>8263</v>
      </c>
      <c r="C14" s="773">
        <v>9656</v>
      </c>
      <c r="D14" s="773">
        <v>9647</v>
      </c>
      <c r="E14" s="773">
        <v>9783</v>
      </c>
      <c r="F14" s="773">
        <v>10480</v>
      </c>
      <c r="G14" s="773">
        <v>9853</v>
      </c>
      <c r="H14" s="773">
        <v>10709</v>
      </c>
    </row>
    <row r="15" spans="1:8" ht="15.75" x14ac:dyDescent="0.25">
      <c r="A15" s="57" t="s">
        <v>1392</v>
      </c>
      <c r="B15" s="773">
        <v>1699</v>
      </c>
      <c r="C15" s="773">
        <v>2354</v>
      </c>
      <c r="D15" s="773">
        <v>2577</v>
      </c>
      <c r="E15" s="773">
        <v>2467</v>
      </c>
      <c r="F15" s="773">
        <v>2824</v>
      </c>
      <c r="G15" s="773">
        <v>2448</v>
      </c>
      <c r="H15" s="773">
        <v>3102</v>
      </c>
    </row>
    <row r="16" spans="1:8" ht="15.75" x14ac:dyDescent="0.25">
      <c r="A16" s="57" t="s">
        <v>1393</v>
      </c>
      <c r="B16" s="773">
        <v>166</v>
      </c>
      <c r="C16" s="773">
        <v>348</v>
      </c>
      <c r="D16" s="773">
        <v>422</v>
      </c>
      <c r="E16" s="773">
        <v>402</v>
      </c>
      <c r="F16" s="773">
        <v>397</v>
      </c>
      <c r="G16" s="773">
        <v>395</v>
      </c>
      <c r="H16" s="773">
        <v>473</v>
      </c>
    </row>
    <row r="17" spans="1:8" ht="15.75" x14ac:dyDescent="0.25">
      <c r="A17" s="57" t="s">
        <v>1519</v>
      </c>
      <c r="B17" s="807" t="s">
        <v>169</v>
      </c>
      <c r="C17" s="807" t="s">
        <v>169</v>
      </c>
      <c r="D17" s="808">
        <v>3</v>
      </c>
      <c r="E17" s="773">
        <v>4</v>
      </c>
      <c r="F17" s="773">
        <v>9</v>
      </c>
      <c r="G17" s="773">
        <v>6</v>
      </c>
      <c r="H17" s="773">
        <v>5</v>
      </c>
    </row>
    <row r="18" spans="1:8" ht="15.75" x14ac:dyDescent="0.25">
      <c r="A18" s="57" t="s">
        <v>1394</v>
      </c>
      <c r="B18" s="807" t="s">
        <v>169</v>
      </c>
      <c r="C18" s="807" t="s">
        <v>169</v>
      </c>
      <c r="D18" s="807" t="s">
        <v>169</v>
      </c>
      <c r="E18" s="773">
        <v>229</v>
      </c>
      <c r="F18" s="773">
        <v>2995</v>
      </c>
      <c r="G18" s="773">
        <v>980</v>
      </c>
      <c r="H18" s="773">
        <v>2981</v>
      </c>
    </row>
    <row r="19" spans="1:8" ht="15.75" x14ac:dyDescent="0.25">
      <c r="A19" s="57" t="s">
        <v>1389</v>
      </c>
      <c r="B19" s="773">
        <v>31</v>
      </c>
      <c r="C19" s="773">
        <v>97</v>
      </c>
      <c r="D19" s="773">
        <v>236</v>
      </c>
      <c r="E19" s="773">
        <v>227</v>
      </c>
      <c r="F19" s="773">
        <v>151</v>
      </c>
      <c r="G19" s="773">
        <v>250</v>
      </c>
      <c r="H19" s="773">
        <v>81</v>
      </c>
    </row>
    <row r="20" spans="1:8" ht="34.5" customHeight="1" x14ac:dyDescent="0.25">
      <c r="A20" s="769" t="s">
        <v>1395</v>
      </c>
      <c r="B20" s="772">
        <v>219628</v>
      </c>
      <c r="C20" s="772">
        <v>261745</v>
      </c>
      <c r="D20" s="772">
        <v>262122</v>
      </c>
      <c r="E20" s="772">
        <v>284883</v>
      </c>
      <c r="F20" s="772">
        <v>304258</v>
      </c>
      <c r="G20" s="772">
        <v>292538</v>
      </c>
      <c r="H20" s="772">
        <v>310173</v>
      </c>
    </row>
    <row r="21" spans="1:8" ht="30.75" x14ac:dyDescent="0.25">
      <c r="A21" s="57" t="s">
        <v>1396</v>
      </c>
      <c r="B21" s="773">
        <v>2323</v>
      </c>
      <c r="C21" s="773">
        <v>2088</v>
      </c>
      <c r="D21" s="773">
        <v>1980</v>
      </c>
      <c r="E21" s="773">
        <v>1831</v>
      </c>
      <c r="F21" s="773">
        <v>9830</v>
      </c>
      <c r="G21" s="773">
        <v>1796</v>
      </c>
      <c r="H21" s="773">
        <v>12825</v>
      </c>
    </row>
    <row r="22" spans="1:8" ht="15.75" x14ac:dyDescent="0.25">
      <c r="A22" s="57" t="s">
        <v>1397</v>
      </c>
      <c r="B22" s="773">
        <v>18019</v>
      </c>
      <c r="C22" s="773">
        <v>26947</v>
      </c>
      <c r="D22" s="773">
        <v>29809</v>
      </c>
      <c r="E22" s="773">
        <v>42235</v>
      </c>
      <c r="F22" s="773">
        <v>53070</v>
      </c>
      <c r="G22" s="773">
        <v>46551</v>
      </c>
      <c r="H22" s="773">
        <v>54905</v>
      </c>
    </row>
    <row r="23" spans="1:8" ht="15.75" x14ac:dyDescent="0.25">
      <c r="A23" s="57" t="s">
        <v>1398</v>
      </c>
      <c r="B23" s="773">
        <v>15142</v>
      </c>
      <c r="C23" s="773">
        <v>13971</v>
      </c>
      <c r="D23" s="773">
        <v>12384</v>
      </c>
      <c r="E23" s="773">
        <v>11634</v>
      </c>
      <c r="F23" s="773">
        <v>12050</v>
      </c>
      <c r="G23" s="773">
        <v>11520</v>
      </c>
      <c r="H23" s="773">
        <v>12396</v>
      </c>
    </row>
    <row r="24" spans="1:8" ht="15.75" x14ac:dyDescent="0.25">
      <c r="A24" s="57" t="s">
        <v>1399</v>
      </c>
      <c r="B24" s="773">
        <v>2941</v>
      </c>
      <c r="C24" s="773">
        <v>3218</v>
      </c>
      <c r="D24" s="773">
        <v>3510</v>
      </c>
      <c r="E24" s="773">
        <v>3355</v>
      </c>
      <c r="F24" s="773">
        <v>3551</v>
      </c>
      <c r="G24" s="773">
        <v>3449</v>
      </c>
      <c r="H24" s="773">
        <v>3515</v>
      </c>
    </row>
    <row r="25" spans="1:8" ht="15.75" x14ac:dyDescent="0.25">
      <c r="A25" s="57" t="s">
        <v>1400</v>
      </c>
      <c r="B25" s="773">
        <v>180712</v>
      </c>
      <c r="C25" s="773">
        <v>213735</v>
      </c>
      <c r="D25" s="773">
        <v>200835</v>
      </c>
      <c r="E25" s="773">
        <v>207210</v>
      </c>
      <c r="F25" s="773">
        <v>212639</v>
      </c>
      <c r="G25" s="773">
        <v>209751</v>
      </c>
      <c r="H25" s="773">
        <v>215808</v>
      </c>
    </row>
    <row r="26" spans="1:8" ht="15.75" x14ac:dyDescent="0.25">
      <c r="A26" s="57" t="s">
        <v>1389</v>
      </c>
      <c r="B26" s="773">
        <v>491</v>
      </c>
      <c r="C26" s="773">
        <v>1786</v>
      </c>
      <c r="D26" s="773">
        <v>13604</v>
      </c>
      <c r="E26" s="773">
        <v>18618</v>
      </c>
      <c r="F26" s="773">
        <v>13118</v>
      </c>
      <c r="G26" s="773">
        <v>19471</v>
      </c>
      <c r="H26" s="773">
        <v>10724</v>
      </c>
    </row>
    <row r="27" spans="1:8" ht="39" customHeight="1" x14ac:dyDescent="0.25">
      <c r="A27" s="769" t="s">
        <v>1401</v>
      </c>
      <c r="B27" s="772">
        <v>274319</v>
      </c>
      <c r="C27" s="772">
        <v>289208</v>
      </c>
      <c r="D27" s="772">
        <v>274779</v>
      </c>
      <c r="E27" s="772">
        <v>170092</v>
      </c>
      <c r="F27" s="772">
        <v>98734</v>
      </c>
      <c r="G27" s="772">
        <v>140898</v>
      </c>
      <c r="H27" s="772">
        <v>95337</v>
      </c>
    </row>
    <row r="28" spans="1:8" ht="15.75" x14ac:dyDescent="0.25">
      <c r="A28" s="57" t="s">
        <v>1402</v>
      </c>
      <c r="B28" s="807" t="s">
        <v>169</v>
      </c>
      <c r="C28" s="807" t="s">
        <v>169</v>
      </c>
      <c r="D28" s="807" t="s">
        <v>169</v>
      </c>
      <c r="E28" s="773">
        <v>1831</v>
      </c>
      <c r="F28" s="773">
        <v>30807</v>
      </c>
      <c r="G28" s="773">
        <v>8840</v>
      </c>
      <c r="H28" s="773">
        <v>32224</v>
      </c>
    </row>
    <row r="29" spans="1:8" ht="15.75" x14ac:dyDescent="0.25">
      <c r="A29" s="57" t="s">
        <v>1415</v>
      </c>
      <c r="B29" s="773">
        <v>6251</v>
      </c>
      <c r="C29" s="773">
        <v>8793</v>
      </c>
      <c r="D29" s="773">
        <v>9826</v>
      </c>
      <c r="E29" s="773">
        <v>7827</v>
      </c>
      <c r="F29" s="807" t="s">
        <v>169</v>
      </c>
      <c r="G29" s="773">
        <v>5380</v>
      </c>
      <c r="H29" s="807" t="s">
        <v>169</v>
      </c>
    </row>
    <row r="30" spans="1:8" ht="15.75" x14ac:dyDescent="0.25">
      <c r="A30" s="57" t="s">
        <v>1403</v>
      </c>
      <c r="B30" s="773">
        <v>268068</v>
      </c>
      <c r="C30" s="773">
        <v>280022</v>
      </c>
      <c r="D30" s="773">
        <v>260475</v>
      </c>
      <c r="E30" s="773">
        <v>157570</v>
      </c>
      <c r="F30" s="773">
        <v>62440</v>
      </c>
      <c r="G30" s="773">
        <v>123157</v>
      </c>
      <c r="H30" s="773">
        <v>58099</v>
      </c>
    </row>
    <row r="31" spans="1:8" ht="15.75" x14ac:dyDescent="0.25">
      <c r="A31" s="57" t="s">
        <v>1404</v>
      </c>
      <c r="B31" s="807" t="s">
        <v>169</v>
      </c>
      <c r="C31" s="807" t="s">
        <v>169</v>
      </c>
      <c r="D31" s="807" t="s">
        <v>169</v>
      </c>
      <c r="E31" s="773">
        <v>335</v>
      </c>
      <c r="F31" s="773">
        <v>4910</v>
      </c>
      <c r="G31" s="773">
        <v>1683</v>
      </c>
      <c r="H31" s="773">
        <v>4858</v>
      </c>
    </row>
    <row r="32" spans="1:8" ht="15.75" x14ac:dyDescent="0.25">
      <c r="A32" s="57" t="s">
        <v>1389</v>
      </c>
      <c r="B32" s="773">
        <v>0</v>
      </c>
      <c r="C32" s="773">
        <v>393</v>
      </c>
      <c r="D32" s="773">
        <v>4478</v>
      </c>
      <c r="E32" s="773">
        <v>2529</v>
      </c>
      <c r="F32" s="773">
        <v>577</v>
      </c>
      <c r="G32" s="773">
        <v>1838</v>
      </c>
      <c r="H32" s="773">
        <v>156</v>
      </c>
    </row>
    <row r="33" spans="1:8" ht="27" customHeight="1" x14ac:dyDescent="0.25">
      <c r="A33" s="769" t="s">
        <v>1405</v>
      </c>
      <c r="B33" s="772">
        <v>5411</v>
      </c>
      <c r="C33" s="772">
        <v>7485</v>
      </c>
      <c r="D33" s="772">
        <v>6921</v>
      </c>
      <c r="E33" s="772">
        <v>8505</v>
      </c>
      <c r="F33" s="772">
        <v>9838</v>
      </c>
      <c r="G33" s="772">
        <v>9051</v>
      </c>
      <c r="H33" s="772">
        <v>10009</v>
      </c>
    </row>
    <row r="34" spans="1:8" ht="15.75" x14ac:dyDescent="0.25">
      <c r="A34" s="57" t="s">
        <v>1406</v>
      </c>
      <c r="B34" s="773">
        <v>4209</v>
      </c>
      <c r="C34" s="773">
        <v>5849</v>
      </c>
      <c r="D34" s="773">
        <v>5112</v>
      </c>
      <c r="E34" s="773">
        <v>5810</v>
      </c>
      <c r="F34" s="773">
        <v>7119</v>
      </c>
      <c r="G34" s="773">
        <v>6249</v>
      </c>
      <c r="H34" s="773">
        <v>7220</v>
      </c>
    </row>
    <row r="35" spans="1:8" ht="15.75" x14ac:dyDescent="0.25">
      <c r="A35" s="57" t="s">
        <v>1407</v>
      </c>
      <c r="B35" s="773">
        <v>1119</v>
      </c>
      <c r="C35" s="773">
        <v>1503</v>
      </c>
      <c r="D35" s="773">
        <v>1559</v>
      </c>
      <c r="E35" s="773">
        <v>2237</v>
      </c>
      <c r="F35" s="773">
        <v>2459</v>
      </c>
      <c r="G35" s="773">
        <v>2341</v>
      </c>
      <c r="H35" s="773">
        <v>2594</v>
      </c>
    </row>
    <row r="36" spans="1:8" ht="15.75" x14ac:dyDescent="0.25">
      <c r="A36" s="57" t="s">
        <v>1389</v>
      </c>
      <c r="B36" s="773">
        <v>83</v>
      </c>
      <c r="C36" s="773">
        <v>133</v>
      </c>
      <c r="D36" s="773">
        <v>250</v>
      </c>
      <c r="E36" s="773">
        <v>458</v>
      </c>
      <c r="F36" s="773">
        <v>260</v>
      </c>
      <c r="G36" s="773">
        <v>461</v>
      </c>
      <c r="H36" s="773">
        <v>195</v>
      </c>
    </row>
    <row r="37" spans="1:8" ht="30" customHeight="1" x14ac:dyDescent="0.25">
      <c r="A37" s="769" t="s">
        <v>1408</v>
      </c>
      <c r="B37" s="772">
        <v>98405</v>
      </c>
      <c r="C37" s="772">
        <v>117684</v>
      </c>
      <c r="D37" s="772">
        <v>117176</v>
      </c>
      <c r="E37" s="772">
        <v>128355</v>
      </c>
      <c r="F37" s="772">
        <v>135684</v>
      </c>
      <c r="G37" s="772">
        <v>131170</v>
      </c>
      <c r="H37" s="772">
        <v>137859</v>
      </c>
    </row>
    <row r="38" spans="1:8" ht="15.75" x14ac:dyDescent="0.25">
      <c r="A38" s="57" t="s">
        <v>1409</v>
      </c>
      <c r="B38" s="773">
        <v>10742</v>
      </c>
      <c r="C38" s="773">
        <v>14276</v>
      </c>
      <c r="D38" s="773">
        <v>15662</v>
      </c>
      <c r="E38" s="773">
        <v>22824</v>
      </c>
      <c r="F38" s="773">
        <v>27639</v>
      </c>
      <c r="G38" s="773">
        <v>24432</v>
      </c>
      <c r="H38" s="773">
        <v>28509</v>
      </c>
    </row>
    <row r="39" spans="1:8" ht="15.75" x14ac:dyDescent="0.25">
      <c r="A39" s="57" t="s">
        <v>1410</v>
      </c>
      <c r="B39" s="773">
        <v>20175</v>
      </c>
      <c r="C39" s="773">
        <v>23458</v>
      </c>
      <c r="D39" s="773">
        <v>24407</v>
      </c>
      <c r="E39" s="773">
        <v>29959</v>
      </c>
      <c r="F39" s="773">
        <v>33400</v>
      </c>
      <c r="G39" s="773">
        <v>31120</v>
      </c>
      <c r="H39" s="773">
        <v>34298</v>
      </c>
    </row>
    <row r="40" spans="1:8" ht="15.75" x14ac:dyDescent="0.25">
      <c r="A40" s="57" t="s">
        <v>1411</v>
      </c>
      <c r="B40" s="773">
        <v>98</v>
      </c>
      <c r="C40" s="773">
        <v>182</v>
      </c>
      <c r="D40" s="773">
        <v>285</v>
      </c>
      <c r="E40" s="773">
        <v>368</v>
      </c>
      <c r="F40" s="773">
        <v>476</v>
      </c>
      <c r="G40" s="773">
        <v>372</v>
      </c>
      <c r="H40" s="773">
        <v>534</v>
      </c>
    </row>
    <row r="41" spans="1:8" ht="15.75" x14ac:dyDescent="0.25">
      <c r="A41" s="57" t="s">
        <v>1412</v>
      </c>
      <c r="B41" s="773">
        <v>67360</v>
      </c>
      <c r="C41" s="773">
        <v>79650</v>
      </c>
      <c r="D41" s="773">
        <v>74296</v>
      </c>
      <c r="E41" s="773">
        <v>71781</v>
      </c>
      <c r="F41" s="773">
        <v>73240</v>
      </c>
      <c r="G41" s="773">
        <v>71891</v>
      </c>
      <c r="H41" s="773">
        <v>74358</v>
      </c>
    </row>
    <row r="42" spans="1:8" ht="15.75" x14ac:dyDescent="0.25">
      <c r="A42" s="57" t="s">
        <v>1389</v>
      </c>
      <c r="B42" s="773">
        <v>30</v>
      </c>
      <c r="C42" s="773">
        <v>118</v>
      </c>
      <c r="D42" s="773">
        <v>2526</v>
      </c>
      <c r="E42" s="773">
        <v>3423</v>
      </c>
      <c r="F42" s="773">
        <v>929</v>
      </c>
      <c r="G42" s="773">
        <v>3355</v>
      </c>
      <c r="H42" s="773">
        <v>160</v>
      </c>
    </row>
  </sheetData>
  <phoneticPr fontId="47" type="noConversion"/>
  <hyperlinks>
    <hyperlink ref="A4" location="'Table of contents'!A1" display="Link to Table of Contents" xr:uid="{D91DC2B7-1A0D-4C59-9DA6-AC886C2EF54D}"/>
    <hyperlink ref="A6" location="'Notes_B1 to B10'!A1" display="Link to notes page" xr:uid="{6E1371EE-6324-4DFF-BAB9-02B7A85FA6CD}"/>
  </hyperlinks>
  <pageMargins left="0.7" right="0.7" top="0.75" bottom="0.75" header="0.3" footer="0.3"/>
  <pageSetup paperSize="9"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7AABD-CE69-46C9-97A0-CAB41054F357}">
  <dimension ref="A1:E12"/>
  <sheetViews>
    <sheetView showGridLines="0" workbookViewId="0"/>
  </sheetViews>
  <sheetFormatPr defaultRowHeight="12" customHeight="1" x14ac:dyDescent="0.25"/>
  <cols>
    <col min="1" max="1" width="60.140625" customWidth="1"/>
    <col min="2" max="2" width="16.140625" customWidth="1"/>
    <col min="3" max="3" width="16.42578125" customWidth="1"/>
    <col min="4" max="4" width="16.85546875" customWidth="1"/>
    <col min="5" max="5" width="14.28515625" customWidth="1"/>
    <col min="6" max="10" width="9.140625" customWidth="1"/>
    <col min="250" max="253" width="9.140625" customWidth="1"/>
    <col min="257" max="261" width="9.140625" customWidth="1"/>
    <col min="513" max="517" width="9.140625" customWidth="1"/>
    <col min="769" max="773" width="9.140625" customWidth="1"/>
    <col min="1025" max="1029" width="9.140625" customWidth="1"/>
    <col min="1281" max="1285" width="9.140625" customWidth="1"/>
    <col min="1537" max="1541" width="9.140625" customWidth="1"/>
    <col min="1793" max="1797" width="9.140625" customWidth="1"/>
    <col min="2049" max="2053" width="9.140625" customWidth="1"/>
    <col min="2305" max="2309" width="9.140625" customWidth="1"/>
    <col min="2561" max="2565" width="9.140625" customWidth="1"/>
    <col min="2817" max="2821" width="9.140625" customWidth="1"/>
    <col min="3073" max="3077" width="9.140625" customWidth="1"/>
    <col min="3329" max="3333" width="9.140625" customWidth="1"/>
    <col min="3585" max="3589" width="9.140625" customWidth="1"/>
    <col min="3841" max="3845" width="9.140625" customWidth="1"/>
    <col min="4097" max="4101" width="9.140625" customWidth="1"/>
    <col min="4353" max="4357" width="9.140625" customWidth="1"/>
    <col min="4609" max="4613" width="9.140625" customWidth="1"/>
    <col min="4865" max="4869" width="9.140625" customWidth="1"/>
    <col min="5121" max="5125" width="9.140625" customWidth="1"/>
    <col min="5377" max="5381" width="9.140625" customWidth="1"/>
    <col min="5633" max="5637" width="9.140625" customWidth="1"/>
    <col min="5889" max="5893" width="9.140625" customWidth="1"/>
    <col min="6145" max="6149" width="9.140625" customWidth="1"/>
    <col min="6401" max="6405" width="9.140625" customWidth="1"/>
    <col min="6657" max="6661" width="9.140625" customWidth="1"/>
    <col min="6913" max="6917" width="9.140625" customWidth="1"/>
    <col min="7169" max="7173" width="9.140625" customWidth="1"/>
    <col min="7425" max="7429" width="9.140625" customWidth="1"/>
    <col min="7681" max="7685" width="9.140625" customWidth="1"/>
    <col min="7937" max="7941" width="9.140625" customWidth="1"/>
    <col min="8193" max="8197" width="9.140625" customWidth="1"/>
    <col min="8449" max="8453" width="9.140625" customWidth="1"/>
    <col min="8705" max="8709" width="9.140625" customWidth="1"/>
    <col min="8961" max="8965" width="9.140625" customWidth="1"/>
    <col min="9217" max="9221" width="9.140625" customWidth="1"/>
    <col min="9473" max="9477" width="9.140625" customWidth="1"/>
    <col min="9729" max="9733" width="9.140625" customWidth="1"/>
    <col min="9985" max="9989" width="9.140625" customWidth="1"/>
    <col min="10241" max="10245" width="9.140625" customWidth="1"/>
    <col min="10497" max="10501" width="9.140625" customWidth="1"/>
    <col min="10753" max="10757" width="9.140625" customWidth="1"/>
    <col min="11009" max="11013" width="9.140625" customWidth="1"/>
    <col min="11265" max="11269" width="9.140625" customWidth="1"/>
    <col min="11521" max="11525" width="9.140625" customWidth="1"/>
    <col min="11777" max="11781" width="9.140625" customWidth="1"/>
    <col min="12033" max="12037" width="9.140625" customWidth="1"/>
    <col min="12289" max="12293" width="9.140625" customWidth="1"/>
    <col min="12545" max="12549" width="9.140625" customWidth="1"/>
    <col min="12801" max="12805" width="9.140625" customWidth="1"/>
    <col min="13057" max="13061" width="9.140625" customWidth="1"/>
    <col min="13313" max="13317" width="9.140625" customWidth="1"/>
    <col min="13569" max="13573" width="9.140625" customWidth="1"/>
    <col min="13825" max="13829" width="9.140625" customWidth="1"/>
    <col min="14081" max="14085" width="9.140625" customWidth="1"/>
    <col min="14337" max="14341" width="9.140625" customWidth="1"/>
    <col min="14593" max="14597" width="9.140625" customWidth="1"/>
    <col min="14849" max="14853" width="9.140625" customWidth="1"/>
    <col min="15105" max="15109" width="9.140625" customWidth="1"/>
    <col min="15361" max="15365" width="9.140625" customWidth="1"/>
    <col min="15617" max="15621" width="9.140625" customWidth="1"/>
    <col min="15873" max="15877" width="9.140625" customWidth="1"/>
    <col min="16129" max="16133" width="9.140625" customWidth="1"/>
  </cols>
  <sheetData>
    <row r="1" spans="1:5" ht="26.25" customHeight="1" x14ac:dyDescent="0.3">
      <c r="A1" s="850" t="s">
        <v>1495</v>
      </c>
      <c r="B1" s="130"/>
      <c r="C1" s="130"/>
      <c r="D1" s="130"/>
      <c r="E1" s="130"/>
    </row>
    <row r="2" spans="1:5" ht="24.75" customHeight="1" x14ac:dyDescent="0.25">
      <c r="A2" s="859" t="s">
        <v>856</v>
      </c>
      <c r="B2" s="131"/>
      <c r="C2" s="131"/>
      <c r="D2" s="131"/>
      <c r="E2" s="131"/>
    </row>
    <row r="3" spans="1:5" ht="24" customHeight="1" x14ac:dyDescent="0.25">
      <c r="A3" s="128" t="s">
        <v>857</v>
      </c>
      <c r="B3" s="133"/>
      <c r="C3" s="133"/>
      <c r="D3" s="133"/>
      <c r="E3" s="133"/>
    </row>
    <row r="4" spans="1:5" ht="24" customHeight="1" x14ac:dyDescent="0.25">
      <c r="A4" s="129" t="s">
        <v>368</v>
      </c>
      <c r="B4" s="133"/>
      <c r="C4" s="133"/>
      <c r="D4" s="133"/>
      <c r="E4" s="133"/>
    </row>
    <row r="5" spans="1:5" ht="23.25" customHeight="1" x14ac:dyDescent="0.25">
      <c r="A5" s="134" t="s">
        <v>369</v>
      </c>
      <c r="B5" s="133"/>
      <c r="C5" s="133"/>
      <c r="D5" s="133"/>
      <c r="E5" s="133"/>
    </row>
    <row r="6" spans="1:5" ht="24" customHeight="1" x14ac:dyDescent="0.25">
      <c r="A6" s="151" t="s">
        <v>370</v>
      </c>
      <c r="B6" s="133"/>
      <c r="C6" s="133"/>
      <c r="D6" s="133"/>
      <c r="E6" s="133"/>
    </row>
    <row r="7" spans="1:5" ht="23.25" customHeight="1" x14ac:dyDescent="0.25">
      <c r="A7" s="132" t="s">
        <v>371</v>
      </c>
      <c r="B7" s="133"/>
      <c r="C7" s="133"/>
      <c r="D7" s="133"/>
      <c r="E7" s="133"/>
    </row>
    <row r="8" spans="1:5" ht="24" customHeight="1" x14ac:dyDescent="0.25">
      <c r="A8" s="134" t="s">
        <v>372</v>
      </c>
      <c r="B8" s="135"/>
      <c r="C8" s="136"/>
      <c r="D8" s="136"/>
      <c r="E8" s="136"/>
    </row>
    <row r="9" spans="1:5" ht="31.5" x14ac:dyDescent="0.25">
      <c r="A9" s="137" t="s">
        <v>858</v>
      </c>
      <c r="B9" s="138" t="s">
        <v>859</v>
      </c>
      <c r="C9" s="138" t="s">
        <v>860</v>
      </c>
      <c r="D9" s="139" t="s">
        <v>861</v>
      </c>
      <c r="E9" s="139" t="s">
        <v>862</v>
      </c>
    </row>
    <row r="10" spans="1:5" ht="38.25" customHeight="1" x14ac:dyDescent="0.25">
      <c r="A10" s="140" t="s">
        <v>863</v>
      </c>
      <c r="B10" s="141">
        <v>4911</v>
      </c>
      <c r="C10" s="141">
        <v>6665</v>
      </c>
      <c r="D10" s="142">
        <v>5991</v>
      </c>
      <c r="E10" s="143">
        <v>5053</v>
      </c>
    </row>
    <row r="11" spans="1:5" ht="38.25" customHeight="1" x14ac:dyDescent="0.25">
      <c r="A11" s="144" t="s">
        <v>864</v>
      </c>
      <c r="B11" s="145">
        <v>85.544594025841477</v>
      </c>
      <c r="C11" s="145">
        <v>112.13018070035181</v>
      </c>
      <c r="D11" s="146">
        <v>98.44757006304539</v>
      </c>
      <c r="E11" s="147">
        <v>83.033812640388646</v>
      </c>
    </row>
    <row r="12" spans="1:5" ht="38.25" customHeight="1" x14ac:dyDescent="0.25">
      <c r="A12" s="148" t="s">
        <v>865</v>
      </c>
      <c r="B12" s="149">
        <v>2.8914681327631753</v>
      </c>
      <c r="C12" s="149">
        <v>-24.186046511627911</v>
      </c>
      <c r="D12" s="150">
        <v>-15.656818561175101</v>
      </c>
      <c r="E12" s="722" t="s">
        <v>866</v>
      </c>
    </row>
  </sheetData>
  <hyperlinks>
    <hyperlink ref="A6" location="'Notes_B1 to B10'!A1" display="Link to Notes page" xr:uid="{A05B9D2C-65D9-4956-9A08-59ACA494F137}"/>
    <hyperlink ref="A4" location="'Table of contents'!A1" display="Link to table of contents" xr:uid="{38619849-D5D4-4CA7-B44D-8FB622A1A5CF}"/>
  </hyperlinks>
  <pageMargins left="0.7" right="0.7" top="0.75" bottom="0.75" header="0.3" footer="0.3"/>
  <pageSetup paperSize="9"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B01EF-0155-465A-BC78-46F16D64A84B}">
  <dimension ref="A1:Y15"/>
  <sheetViews>
    <sheetView showGridLines="0" workbookViewId="0"/>
  </sheetViews>
  <sheetFormatPr defaultColWidth="11.28515625" defaultRowHeight="15" customHeight="1" x14ac:dyDescent="0.25"/>
  <cols>
    <col min="1" max="1" width="36.85546875" customWidth="1"/>
    <col min="2" max="24" width="14.28515625" customWidth="1"/>
    <col min="25" max="25" width="19.28515625" customWidth="1"/>
  </cols>
  <sheetData>
    <row r="1" spans="1:25" ht="21" customHeight="1" x14ac:dyDescent="0.25">
      <c r="A1" s="849" t="s">
        <v>1496</v>
      </c>
      <c r="B1" s="152"/>
      <c r="C1" s="152"/>
      <c r="D1" s="152"/>
      <c r="E1" s="152"/>
      <c r="F1" s="152"/>
      <c r="G1" s="152"/>
      <c r="H1" s="152"/>
      <c r="I1" s="152"/>
      <c r="J1" s="152"/>
      <c r="K1" s="152"/>
      <c r="L1" s="152"/>
      <c r="M1" s="152"/>
      <c r="N1" s="152"/>
      <c r="O1" s="152"/>
      <c r="P1" s="152"/>
      <c r="Q1" s="152"/>
      <c r="R1" s="152"/>
      <c r="S1" s="152"/>
      <c r="T1" s="152"/>
      <c r="U1" s="152"/>
      <c r="V1" s="152"/>
      <c r="W1" s="152"/>
      <c r="X1" s="152"/>
      <c r="Y1" s="160"/>
    </row>
    <row r="2" spans="1:25" ht="21" customHeight="1" x14ac:dyDescent="0.25">
      <c r="A2" s="858" t="s">
        <v>867</v>
      </c>
      <c r="B2" s="153"/>
      <c r="C2" s="153"/>
      <c r="D2" s="153"/>
      <c r="E2" s="153"/>
      <c r="F2" s="153"/>
      <c r="G2" s="153"/>
      <c r="H2" s="153"/>
      <c r="I2" s="153"/>
      <c r="J2" s="153"/>
      <c r="K2" s="153"/>
      <c r="L2" s="153"/>
      <c r="M2" s="153"/>
      <c r="N2" s="153"/>
      <c r="O2" s="153"/>
      <c r="P2" s="153"/>
      <c r="Q2" s="153"/>
      <c r="R2" s="153"/>
      <c r="S2" s="153"/>
      <c r="T2" s="153"/>
      <c r="U2" s="153"/>
      <c r="V2" s="153"/>
      <c r="W2" s="153"/>
      <c r="X2" s="153"/>
      <c r="Y2" s="160"/>
    </row>
    <row r="3" spans="1:25" ht="21" customHeight="1" x14ac:dyDescent="0.25">
      <c r="A3" s="129" t="s">
        <v>368</v>
      </c>
      <c r="B3" s="161"/>
      <c r="C3" s="161"/>
      <c r="D3" s="161"/>
      <c r="E3" s="161"/>
      <c r="F3" s="161"/>
      <c r="G3" s="161"/>
      <c r="H3" s="161"/>
      <c r="I3" s="161"/>
      <c r="J3" s="161"/>
      <c r="K3" s="161"/>
      <c r="L3" s="161"/>
      <c r="M3" s="162"/>
      <c r="N3" s="162"/>
      <c r="O3" s="162"/>
      <c r="P3" s="162"/>
      <c r="Q3" s="162"/>
      <c r="R3" s="162"/>
      <c r="S3" s="162"/>
      <c r="T3" s="162"/>
      <c r="U3" s="162"/>
      <c r="V3" s="162"/>
      <c r="W3" s="162"/>
      <c r="X3" s="163"/>
      <c r="Y3" s="160"/>
    </row>
    <row r="4" spans="1:25" ht="21" customHeight="1" x14ac:dyDescent="0.25">
      <c r="A4" s="155" t="s">
        <v>369</v>
      </c>
      <c r="B4" s="161"/>
      <c r="C4" s="161"/>
      <c r="D4" s="161"/>
      <c r="E4" s="161"/>
      <c r="F4" s="161"/>
      <c r="G4" s="161"/>
      <c r="H4" s="161"/>
      <c r="I4" s="161"/>
      <c r="J4" s="161"/>
      <c r="K4" s="161"/>
      <c r="L4" s="161"/>
      <c r="M4" s="162"/>
      <c r="N4" s="162"/>
      <c r="O4" s="162"/>
      <c r="P4" s="162"/>
      <c r="Q4" s="162"/>
      <c r="R4" s="162"/>
      <c r="S4" s="162"/>
      <c r="T4" s="162"/>
      <c r="U4" s="162"/>
      <c r="V4" s="162"/>
      <c r="W4" s="162"/>
      <c r="X4" s="163"/>
      <c r="Y4" s="160"/>
    </row>
    <row r="5" spans="1:25" ht="21" customHeight="1" x14ac:dyDescent="0.25">
      <c r="A5" s="129" t="s">
        <v>370</v>
      </c>
      <c r="B5" s="154"/>
      <c r="C5" s="154"/>
      <c r="D5" s="154"/>
      <c r="E5" s="154"/>
      <c r="F5" s="154"/>
      <c r="G5" s="154"/>
      <c r="H5" s="154"/>
      <c r="I5" s="154"/>
      <c r="J5" s="154"/>
      <c r="K5" s="154"/>
      <c r="L5" s="154"/>
      <c r="M5" s="154"/>
      <c r="N5" s="154"/>
      <c r="O5" s="154"/>
      <c r="P5" s="154"/>
      <c r="Q5" s="154"/>
      <c r="R5" s="154"/>
      <c r="S5" s="154"/>
      <c r="T5" s="154"/>
      <c r="U5" s="154"/>
      <c r="V5" s="154"/>
      <c r="W5" s="154"/>
      <c r="X5" s="154"/>
      <c r="Y5" s="160"/>
    </row>
    <row r="6" spans="1:25" ht="21" customHeight="1" x14ac:dyDescent="0.25">
      <c r="A6" s="132" t="s">
        <v>371</v>
      </c>
      <c r="B6" s="154"/>
      <c r="C6" s="154"/>
      <c r="D6" s="154"/>
      <c r="E6" s="154"/>
      <c r="F6" s="154"/>
      <c r="G6" s="154"/>
      <c r="H6" s="154"/>
      <c r="I6" s="154"/>
      <c r="J6" s="154"/>
      <c r="K6" s="154"/>
      <c r="L6" s="154"/>
      <c r="M6" s="154"/>
      <c r="N6" s="154"/>
      <c r="O6" s="154"/>
      <c r="P6" s="154"/>
      <c r="Q6" s="154"/>
      <c r="R6" s="154"/>
      <c r="S6" s="154"/>
      <c r="T6" s="154"/>
      <c r="U6" s="154"/>
      <c r="V6" s="154"/>
      <c r="W6" s="154"/>
      <c r="X6" s="154"/>
      <c r="Y6" s="160"/>
    </row>
    <row r="7" spans="1:25" ht="21" customHeight="1" x14ac:dyDescent="0.25">
      <c r="A7" s="164" t="s">
        <v>372</v>
      </c>
      <c r="B7" s="165"/>
      <c r="C7" s="166"/>
      <c r="D7" s="166"/>
      <c r="E7" s="166"/>
      <c r="F7" s="166"/>
      <c r="G7" s="166"/>
      <c r="H7" s="166"/>
      <c r="I7" s="166"/>
      <c r="J7" s="166"/>
      <c r="K7" s="166"/>
      <c r="L7" s="165"/>
      <c r="M7" s="167"/>
      <c r="N7" s="167"/>
      <c r="O7" s="167"/>
      <c r="P7" s="167"/>
      <c r="Q7" s="167"/>
      <c r="R7" s="167"/>
      <c r="S7" s="160"/>
      <c r="T7" s="160"/>
      <c r="U7" s="168"/>
      <c r="V7" s="168"/>
      <c r="W7" s="168"/>
      <c r="X7" s="168"/>
      <c r="Y7" s="169"/>
    </row>
    <row r="8" spans="1:25" ht="63" x14ac:dyDescent="0.25">
      <c r="A8" s="170" t="s">
        <v>868</v>
      </c>
      <c r="B8" s="171" t="s">
        <v>869</v>
      </c>
      <c r="C8" s="172" t="s">
        <v>870</v>
      </c>
      <c r="D8" s="172" t="s">
        <v>871</v>
      </c>
      <c r="E8" s="172" t="s">
        <v>872</v>
      </c>
      <c r="F8" s="172" t="s">
        <v>873</v>
      </c>
      <c r="G8" s="172" t="s">
        <v>874</v>
      </c>
      <c r="H8" s="172" t="s">
        <v>875</v>
      </c>
      <c r="I8" s="172" t="s">
        <v>876</v>
      </c>
      <c r="J8" s="172" t="s">
        <v>877</v>
      </c>
      <c r="K8" s="172" t="s">
        <v>878</v>
      </c>
      <c r="L8" s="172" t="s">
        <v>879</v>
      </c>
      <c r="M8" s="172" t="s">
        <v>880</v>
      </c>
      <c r="N8" s="138" t="s">
        <v>881</v>
      </c>
      <c r="O8" s="138" t="s">
        <v>882</v>
      </c>
      <c r="P8" s="138" t="s">
        <v>883</v>
      </c>
      <c r="Q8" s="138" t="s">
        <v>884</v>
      </c>
      <c r="R8" s="173" t="s">
        <v>885</v>
      </c>
      <c r="S8" s="173" t="s">
        <v>886</v>
      </c>
      <c r="T8" s="173" t="s">
        <v>887</v>
      </c>
      <c r="U8" s="173" t="s">
        <v>888</v>
      </c>
      <c r="V8" s="173" t="s">
        <v>889</v>
      </c>
      <c r="W8" s="174" t="s">
        <v>861</v>
      </c>
      <c r="X8" s="174" t="s">
        <v>862</v>
      </c>
      <c r="Y8" s="174" t="s">
        <v>890</v>
      </c>
    </row>
    <row r="9" spans="1:25" ht="15.75" x14ac:dyDescent="0.25">
      <c r="A9" s="175" t="s">
        <v>891</v>
      </c>
      <c r="B9" s="156">
        <v>672</v>
      </c>
      <c r="C9" s="156">
        <v>718</v>
      </c>
      <c r="D9" s="156">
        <v>597</v>
      </c>
      <c r="E9" s="156">
        <v>642</v>
      </c>
      <c r="F9" s="156">
        <v>612</v>
      </c>
      <c r="G9" s="156">
        <v>602</v>
      </c>
      <c r="H9" s="156">
        <v>618</v>
      </c>
      <c r="I9" s="156">
        <v>581</v>
      </c>
      <c r="J9" s="156">
        <v>611</v>
      </c>
      <c r="K9" s="156">
        <v>494</v>
      </c>
      <c r="L9" s="156">
        <v>453</v>
      </c>
      <c r="M9" s="156">
        <v>387</v>
      </c>
      <c r="N9" s="156">
        <v>431</v>
      </c>
      <c r="O9" s="156">
        <v>411</v>
      </c>
      <c r="P9" s="156">
        <v>592</v>
      </c>
      <c r="Q9" s="157">
        <v>654</v>
      </c>
      <c r="R9" s="158">
        <v>687</v>
      </c>
      <c r="S9" s="158">
        <v>633</v>
      </c>
      <c r="T9" s="158">
        <v>537</v>
      </c>
      <c r="U9" s="158">
        <v>441</v>
      </c>
      <c r="V9" s="157">
        <v>442</v>
      </c>
      <c r="W9" s="159">
        <v>323</v>
      </c>
      <c r="X9" s="159">
        <v>331</v>
      </c>
      <c r="Y9" s="176">
        <v>2.4767801857585203</v>
      </c>
    </row>
    <row r="10" spans="1:25" ht="15.75" x14ac:dyDescent="0.25">
      <c r="A10" s="175" t="s">
        <v>892</v>
      </c>
      <c r="B10" s="156">
        <v>5549</v>
      </c>
      <c r="C10" s="156">
        <v>5144</v>
      </c>
      <c r="D10" s="156">
        <v>4360</v>
      </c>
      <c r="E10" s="156">
        <v>4672</v>
      </c>
      <c r="F10" s="156">
        <v>4173</v>
      </c>
      <c r="G10" s="156">
        <v>4172</v>
      </c>
      <c r="H10" s="156">
        <v>4273</v>
      </c>
      <c r="I10" s="156">
        <v>3757</v>
      </c>
      <c r="J10" s="156">
        <v>3107</v>
      </c>
      <c r="K10" s="156">
        <v>2655</v>
      </c>
      <c r="L10" s="156">
        <v>2256</v>
      </c>
      <c r="M10" s="156">
        <v>2134</v>
      </c>
      <c r="N10" s="156">
        <v>2061</v>
      </c>
      <c r="O10" s="156">
        <v>2157</v>
      </c>
      <c r="P10" s="156">
        <v>2685</v>
      </c>
      <c r="Q10" s="157">
        <v>2867</v>
      </c>
      <c r="R10" s="157">
        <v>2763</v>
      </c>
      <c r="S10" s="157">
        <v>2629</v>
      </c>
      <c r="T10" s="157">
        <v>2133</v>
      </c>
      <c r="U10" s="157">
        <v>1799</v>
      </c>
      <c r="V10" s="157">
        <v>1919</v>
      </c>
      <c r="W10" s="159">
        <v>1835</v>
      </c>
      <c r="X10" s="159">
        <v>1683</v>
      </c>
      <c r="Y10" s="176">
        <v>-8.2833787465940052</v>
      </c>
    </row>
    <row r="11" spans="1:25" ht="15.75" x14ac:dyDescent="0.25">
      <c r="A11" s="175" t="s">
        <v>893</v>
      </c>
      <c r="B11" s="156">
        <v>52</v>
      </c>
      <c r="C11" s="156">
        <v>48</v>
      </c>
      <c r="D11" s="156">
        <v>54</v>
      </c>
      <c r="E11" s="156">
        <v>71</v>
      </c>
      <c r="F11" s="156">
        <v>69</v>
      </c>
      <c r="G11" s="156">
        <v>71</v>
      </c>
      <c r="H11" s="156">
        <v>89</v>
      </c>
      <c r="I11" s="156">
        <v>67</v>
      </c>
      <c r="J11" s="156">
        <v>74</v>
      </c>
      <c r="K11" s="156">
        <v>56</v>
      </c>
      <c r="L11" s="156">
        <v>43</v>
      </c>
      <c r="M11" s="156">
        <v>55</v>
      </c>
      <c r="N11" s="156">
        <v>52</v>
      </c>
      <c r="O11" s="156">
        <v>48</v>
      </c>
      <c r="P11" s="156">
        <v>61</v>
      </c>
      <c r="Q11" s="157">
        <v>92</v>
      </c>
      <c r="R11" s="157">
        <v>67</v>
      </c>
      <c r="S11" s="157">
        <v>74</v>
      </c>
      <c r="T11" s="157">
        <v>57</v>
      </c>
      <c r="U11" s="157">
        <v>58</v>
      </c>
      <c r="V11" s="157">
        <v>52</v>
      </c>
      <c r="W11" s="159">
        <v>64</v>
      </c>
      <c r="X11" s="159">
        <v>82</v>
      </c>
      <c r="Y11" s="176">
        <v>28.125</v>
      </c>
    </row>
    <row r="12" spans="1:25" ht="15.75" x14ac:dyDescent="0.25">
      <c r="A12" s="175" t="s">
        <v>1497</v>
      </c>
      <c r="B12" s="156">
        <v>1814</v>
      </c>
      <c r="C12" s="156">
        <v>2146</v>
      </c>
      <c r="D12" s="156">
        <v>3373</v>
      </c>
      <c r="E12" s="156">
        <v>3277</v>
      </c>
      <c r="F12" s="156">
        <v>2516</v>
      </c>
      <c r="G12" s="156">
        <v>2561</v>
      </c>
      <c r="H12" s="156">
        <v>1507</v>
      </c>
      <c r="I12" s="156">
        <v>1526</v>
      </c>
      <c r="J12" s="156">
        <v>1618</v>
      </c>
      <c r="K12" s="156">
        <v>1387</v>
      </c>
      <c r="L12" s="156">
        <v>1226</v>
      </c>
      <c r="M12" s="156">
        <v>1142</v>
      </c>
      <c r="N12" s="156">
        <v>1123</v>
      </c>
      <c r="O12" s="156">
        <v>1431</v>
      </c>
      <c r="P12" s="156">
        <v>1642</v>
      </c>
      <c r="Q12" s="157">
        <v>1540</v>
      </c>
      <c r="R12" s="157">
        <v>1445</v>
      </c>
      <c r="S12" s="157">
        <v>1526</v>
      </c>
      <c r="T12" s="157">
        <v>1456</v>
      </c>
      <c r="U12" s="157">
        <v>1933</v>
      </c>
      <c r="V12" s="157">
        <v>2217</v>
      </c>
      <c r="W12" s="159">
        <v>2416</v>
      </c>
      <c r="X12" s="159">
        <v>1878</v>
      </c>
      <c r="Y12" s="176">
        <v>-22.268211920529801</v>
      </c>
    </row>
    <row r="13" spans="1:25" ht="15.75" x14ac:dyDescent="0.25">
      <c r="A13" s="175" t="s">
        <v>894</v>
      </c>
      <c r="B13" s="156">
        <v>1431</v>
      </c>
      <c r="C13" s="156">
        <v>1356</v>
      </c>
      <c r="D13" s="156">
        <v>1500</v>
      </c>
      <c r="E13" s="156">
        <v>1362</v>
      </c>
      <c r="F13" s="156">
        <v>1276</v>
      </c>
      <c r="G13" s="156">
        <v>1325</v>
      </c>
      <c r="H13" s="156">
        <v>953</v>
      </c>
      <c r="I13" s="156">
        <v>1368</v>
      </c>
      <c r="J13" s="156">
        <v>958</v>
      </c>
      <c r="K13" s="156">
        <v>834</v>
      </c>
      <c r="L13" s="156">
        <v>724</v>
      </c>
      <c r="M13" s="156">
        <v>698</v>
      </c>
      <c r="N13" s="156">
        <v>833</v>
      </c>
      <c r="O13" s="156">
        <v>666</v>
      </c>
      <c r="P13" s="156">
        <v>844</v>
      </c>
      <c r="Q13" s="157">
        <v>869</v>
      </c>
      <c r="R13" s="157">
        <v>1172</v>
      </c>
      <c r="S13" s="157">
        <v>989</v>
      </c>
      <c r="T13" s="157">
        <v>938</v>
      </c>
      <c r="U13" s="157">
        <v>1061</v>
      </c>
      <c r="V13" s="157">
        <v>978</v>
      </c>
      <c r="W13" s="159">
        <v>959</v>
      </c>
      <c r="X13" s="159">
        <v>737</v>
      </c>
      <c r="Y13" s="176">
        <v>-23.149113660062572</v>
      </c>
    </row>
    <row r="14" spans="1:25" ht="15.75" x14ac:dyDescent="0.25">
      <c r="A14" s="177" t="s">
        <v>895</v>
      </c>
      <c r="B14" s="156">
        <v>730</v>
      </c>
      <c r="C14" s="156">
        <v>926</v>
      </c>
      <c r="D14" s="156">
        <v>1185</v>
      </c>
      <c r="E14" s="156">
        <v>1064</v>
      </c>
      <c r="F14" s="156">
        <v>999</v>
      </c>
      <c r="G14" s="156">
        <v>1134</v>
      </c>
      <c r="H14" s="156">
        <v>759</v>
      </c>
      <c r="I14" s="156">
        <v>783</v>
      </c>
      <c r="J14" s="156">
        <v>672</v>
      </c>
      <c r="K14" s="156">
        <v>596</v>
      </c>
      <c r="L14" s="156">
        <v>456</v>
      </c>
      <c r="M14" s="156">
        <v>440</v>
      </c>
      <c r="N14" s="156">
        <v>411</v>
      </c>
      <c r="O14" s="156">
        <v>469</v>
      </c>
      <c r="P14" s="156">
        <v>551</v>
      </c>
      <c r="Q14" s="157">
        <v>508</v>
      </c>
      <c r="R14" s="157">
        <v>747</v>
      </c>
      <c r="S14" s="157">
        <v>814</v>
      </c>
      <c r="T14" s="157">
        <v>623</v>
      </c>
      <c r="U14" s="157">
        <v>479</v>
      </c>
      <c r="V14" s="157">
        <v>452</v>
      </c>
      <c r="W14" s="159">
        <v>394</v>
      </c>
      <c r="X14" s="159">
        <v>342</v>
      </c>
      <c r="Y14" s="176">
        <v>-13.197969543147202</v>
      </c>
    </row>
    <row r="15" spans="1:25" ht="15.75" x14ac:dyDescent="0.25">
      <c r="A15" s="178" t="s">
        <v>896</v>
      </c>
      <c r="B15" s="179">
        <v>10248</v>
      </c>
      <c r="C15" s="179">
        <v>10338</v>
      </c>
      <c r="D15" s="179">
        <v>11069</v>
      </c>
      <c r="E15" s="179">
        <v>11088</v>
      </c>
      <c r="F15" s="179">
        <v>9645</v>
      </c>
      <c r="G15" s="179">
        <v>9865</v>
      </c>
      <c r="H15" s="179">
        <v>8199</v>
      </c>
      <c r="I15" s="179">
        <v>8082</v>
      </c>
      <c r="J15" s="179">
        <v>7040</v>
      </c>
      <c r="K15" s="179">
        <v>6022</v>
      </c>
      <c r="L15" s="179">
        <v>5158</v>
      </c>
      <c r="M15" s="179">
        <v>4856</v>
      </c>
      <c r="N15" s="179">
        <v>4911</v>
      </c>
      <c r="O15" s="179">
        <v>5182</v>
      </c>
      <c r="P15" s="179">
        <v>6375</v>
      </c>
      <c r="Q15" s="179">
        <v>6530</v>
      </c>
      <c r="R15" s="179">
        <v>6881</v>
      </c>
      <c r="S15" s="179">
        <v>6665</v>
      </c>
      <c r="T15" s="179">
        <v>5744</v>
      </c>
      <c r="U15" s="179">
        <v>5771</v>
      </c>
      <c r="V15" s="179">
        <v>6060</v>
      </c>
      <c r="W15" s="179">
        <v>5991</v>
      </c>
      <c r="X15" s="179">
        <v>5053</v>
      </c>
      <c r="Y15" s="176">
        <v>-15.656818561175101</v>
      </c>
    </row>
  </sheetData>
  <hyperlinks>
    <hyperlink ref="A5" location="'Notes_B1 to B10'!A1" display="Link to Notes page" xr:uid="{C29F1280-A35D-4D04-9798-829F0ED59483}"/>
    <hyperlink ref="A3" location="'Table of contents'!A1" display="Link to table of contents" xr:uid="{A0C9AE56-DB9B-4E77-8E09-AA84D16D614C}"/>
  </hyperlinks>
  <pageMargins left="0.7" right="0.7" top="0.75" bottom="0.75" header="0.3" footer="0.3"/>
  <pageSetup paperSize="9"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328F6-4F5B-45D8-AFDC-2CE45A789E03}">
  <dimension ref="A1:P18"/>
  <sheetViews>
    <sheetView showGridLines="0" workbookViewId="0"/>
  </sheetViews>
  <sheetFormatPr defaultColWidth="8.85546875" defaultRowHeight="15" customHeight="1" x14ac:dyDescent="0.25"/>
  <cols>
    <col min="1" max="1" width="74.5703125" customWidth="1"/>
    <col min="2" max="7" width="16.85546875" customWidth="1"/>
    <col min="8" max="8" width="20.85546875" customWidth="1"/>
    <col min="9" max="9" width="11.7109375" customWidth="1"/>
    <col min="10" max="10" width="75.5703125" customWidth="1"/>
    <col min="11" max="15" width="17.28515625" customWidth="1"/>
    <col min="16" max="16" width="16.7109375" customWidth="1"/>
  </cols>
  <sheetData>
    <row r="1" spans="1:16" ht="18" customHeight="1" x14ac:dyDescent="0.25">
      <c r="A1" s="848" t="s">
        <v>1498</v>
      </c>
      <c r="B1" s="771"/>
      <c r="C1" s="771"/>
      <c r="D1" s="771"/>
      <c r="E1" s="771"/>
      <c r="F1" s="771"/>
      <c r="G1" s="771"/>
      <c r="H1" s="771"/>
      <c r="I1" s="380"/>
      <c r="J1" s="380"/>
      <c r="K1" s="380"/>
      <c r="L1" s="380"/>
      <c r="M1" s="380"/>
      <c r="N1" s="380"/>
      <c r="O1" s="381"/>
    </row>
    <row r="2" spans="1:16" ht="15.75" x14ac:dyDescent="0.25">
      <c r="A2" s="857" t="s">
        <v>897</v>
      </c>
      <c r="B2" s="383"/>
      <c r="C2" s="383"/>
      <c r="D2" s="383"/>
      <c r="E2" s="383"/>
      <c r="F2" s="383"/>
      <c r="G2" s="383"/>
      <c r="H2" s="383"/>
      <c r="I2" s="384"/>
      <c r="J2" s="384"/>
      <c r="K2" s="384"/>
      <c r="L2" s="384"/>
      <c r="M2" s="384"/>
      <c r="N2" s="384"/>
      <c r="O2" s="381"/>
    </row>
    <row r="3" spans="1:16" ht="21" customHeight="1" x14ac:dyDescent="0.25">
      <c r="A3" s="389" t="s">
        <v>368</v>
      </c>
      <c r="B3" s="386"/>
      <c r="C3" s="386"/>
      <c r="D3" s="386"/>
      <c r="E3" s="386"/>
      <c r="F3" s="386"/>
      <c r="G3" s="386"/>
      <c r="H3" s="386"/>
      <c r="I3" s="380"/>
      <c r="J3" s="386"/>
      <c r="K3" s="386"/>
      <c r="L3" s="386"/>
      <c r="M3" s="386"/>
      <c r="N3" s="387"/>
      <c r="O3" s="381"/>
    </row>
    <row r="4" spans="1:16" ht="15.75" x14ac:dyDescent="0.25">
      <c r="A4" s="388" t="s">
        <v>898</v>
      </c>
      <c r="B4" s="383"/>
      <c r="C4" s="383"/>
      <c r="D4" s="383"/>
      <c r="E4" s="383"/>
      <c r="F4" s="383"/>
      <c r="G4" s="383"/>
      <c r="H4" s="383"/>
      <c r="I4" s="384"/>
      <c r="J4" s="384"/>
      <c r="K4" s="384"/>
      <c r="L4" s="384"/>
      <c r="M4" s="384"/>
      <c r="N4" s="384"/>
      <c r="O4" s="381"/>
    </row>
    <row r="5" spans="1:16" ht="15.75" x14ac:dyDescent="0.25">
      <c r="A5" s="389" t="s">
        <v>1449</v>
      </c>
      <c r="B5" s="383"/>
      <c r="C5" s="383"/>
      <c r="D5" s="383"/>
      <c r="E5" s="383"/>
      <c r="F5" s="383"/>
      <c r="G5" s="383"/>
      <c r="H5" s="383"/>
      <c r="I5" s="384"/>
      <c r="J5" s="384"/>
      <c r="K5" s="384"/>
      <c r="L5" s="384"/>
      <c r="M5" s="384"/>
      <c r="N5" s="384"/>
      <c r="O5" s="381"/>
    </row>
    <row r="6" spans="1:16" ht="15.75" x14ac:dyDescent="0.25">
      <c r="A6" s="385" t="s">
        <v>371</v>
      </c>
      <c r="B6" s="386"/>
      <c r="C6" s="386"/>
      <c r="D6" s="386"/>
      <c r="E6" s="386"/>
      <c r="F6" s="386"/>
      <c r="G6" s="386"/>
      <c r="H6" s="386"/>
      <c r="I6" s="380"/>
      <c r="J6" s="386"/>
      <c r="K6" s="386"/>
      <c r="L6" s="386"/>
      <c r="M6" s="386"/>
      <c r="N6" s="387"/>
      <c r="O6" s="381"/>
    </row>
    <row r="7" spans="1:16" ht="18.75" customHeight="1" x14ac:dyDescent="0.25">
      <c r="A7" s="385" t="s">
        <v>372</v>
      </c>
      <c r="B7" s="386"/>
      <c r="C7" s="386"/>
      <c r="D7" s="386"/>
      <c r="E7" s="386"/>
      <c r="F7" s="386"/>
      <c r="G7" s="386"/>
      <c r="H7" s="386"/>
      <c r="I7" s="380"/>
      <c r="J7" s="386"/>
      <c r="K7" s="386"/>
      <c r="L7" s="386"/>
      <c r="M7" s="386"/>
      <c r="N7" s="387"/>
      <c r="O7" s="381"/>
    </row>
    <row r="8" spans="1:16" ht="26.25" customHeight="1" x14ac:dyDescent="0.25">
      <c r="A8" s="390" t="s">
        <v>900</v>
      </c>
      <c r="B8" s="391"/>
      <c r="C8" s="391"/>
      <c r="D8" s="391"/>
      <c r="E8" s="391"/>
      <c r="F8" s="391"/>
      <c r="G8" s="391"/>
      <c r="H8" s="391"/>
      <c r="I8" s="382"/>
      <c r="J8" s="392" t="s">
        <v>901</v>
      </c>
      <c r="K8" s="393"/>
      <c r="L8" s="393"/>
      <c r="M8" s="393"/>
      <c r="N8" s="394"/>
      <c r="O8" s="381"/>
    </row>
    <row r="9" spans="1:16" ht="63" x14ac:dyDescent="0.25">
      <c r="A9" s="395" t="s">
        <v>902</v>
      </c>
      <c r="B9" s="396" t="s">
        <v>903</v>
      </c>
      <c r="C9" s="396" t="s">
        <v>904</v>
      </c>
      <c r="D9" s="396" t="s">
        <v>905</v>
      </c>
      <c r="E9" s="397" t="s">
        <v>889</v>
      </c>
      <c r="F9" s="398" t="s">
        <v>906</v>
      </c>
      <c r="G9" s="398" t="s">
        <v>907</v>
      </c>
      <c r="H9" s="399" t="s">
        <v>908</v>
      </c>
      <c r="I9" s="400"/>
      <c r="J9" s="401" t="s">
        <v>902</v>
      </c>
      <c r="K9" s="402" t="s">
        <v>909</v>
      </c>
      <c r="L9" s="403" t="s">
        <v>910</v>
      </c>
      <c r="M9" s="403" t="s">
        <v>911</v>
      </c>
      <c r="N9" s="403" t="s">
        <v>912</v>
      </c>
      <c r="O9" s="403" t="s">
        <v>913</v>
      </c>
      <c r="P9" s="403" t="s">
        <v>914</v>
      </c>
    </row>
    <row r="10" spans="1:16" ht="15.75" x14ac:dyDescent="0.25">
      <c r="A10" s="385" t="s">
        <v>915</v>
      </c>
      <c r="B10" s="385">
        <v>494</v>
      </c>
      <c r="C10" s="385">
        <v>482</v>
      </c>
      <c r="D10" s="385">
        <v>444</v>
      </c>
      <c r="E10" s="385">
        <v>443</v>
      </c>
      <c r="F10" s="385">
        <v>440</v>
      </c>
      <c r="G10" s="385">
        <v>472</v>
      </c>
      <c r="H10" s="404">
        <v>7.2727272727272698</v>
      </c>
      <c r="I10" s="385"/>
      <c r="J10" s="405" t="s">
        <v>915</v>
      </c>
      <c r="K10" s="767">
        <v>49.301397205588799</v>
      </c>
      <c r="L10" s="767">
        <v>48.393574297188799</v>
      </c>
      <c r="M10" s="767">
        <v>44.355644355644401</v>
      </c>
      <c r="N10" s="767">
        <v>49.2222222222222</v>
      </c>
      <c r="O10" s="804">
        <v>50.056882821387902</v>
      </c>
      <c r="P10" s="767">
        <v>50</v>
      </c>
    </row>
    <row r="11" spans="1:16" ht="15.75" x14ac:dyDescent="0.25">
      <c r="A11" s="385" t="s">
        <v>916</v>
      </c>
      <c r="B11" s="385">
        <v>4935</v>
      </c>
      <c r="C11" s="385">
        <v>5046</v>
      </c>
      <c r="D11" s="385">
        <v>5929</v>
      </c>
      <c r="E11" s="385">
        <v>6127</v>
      </c>
      <c r="F11" s="385">
        <v>5719</v>
      </c>
      <c r="G11" s="385">
        <v>6126</v>
      </c>
      <c r="H11" s="404">
        <v>7.1166287812554598</v>
      </c>
      <c r="I11" s="385"/>
      <c r="J11" s="405" t="s">
        <v>916</v>
      </c>
      <c r="K11" s="767">
        <v>13.211436526208701</v>
      </c>
      <c r="L11" s="767">
        <v>12.044396706050801</v>
      </c>
      <c r="M11" s="767">
        <v>11.797126825579999</v>
      </c>
      <c r="N11" s="767">
        <v>11.6949799580073</v>
      </c>
      <c r="O11" s="804">
        <v>11.773303689064599</v>
      </c>
      <c r="P11" s="767">
        <v>11.6676824622886</v>
      </c>
    </row>
    <row r="12" spans="1:16" ht="15.75" x14ac:dyDescent="0.25">
      <c r="A12" s="386" t="s">
        <v>933</v>
      </c>
      <c r="B12" s="385">
        <v>24088</v>
      </c>
      <c r="C12" s="385">
        <v>21971</v>
      </c>
      <c r="D12" s="385">
        <v>24313</v>
      </c>
      <c r="E12" s="385">
        <v>23671</v>
      </c>
      <c r="F12" s="385">
        <v>23600</v>
      </c>
      <c r="G12" s="385">
        <v>22141</v>
      </c>
      <c r="H12" s="404">
        <v>-6.1822033898305104</v>
      </c>
      <c r="I12" s="386"/>
      <c r="J12" s="386" t="s">
        <v>933</v>
      </c>
      <c r="K12" s="767">
        <v>4.48424983571278</v>
      </c>
      <c r="L12" s="767">
        <v>4.7506302893493002</v>
      </c>
      <c r="M12" s="767">
        <v>4.32049074434416</v>
      </c>
      <c r="N12" s="767">
        <v>4.1454252515257899</v>
      </c>
      <c r="O12" s="804">
        <v>4.3482827047055403</v>
      </c>
      <c r="P12" s="767">
        <v>4.3379107261460002</v>
      </c>
    </row>
    <row r="13" spans="1:16" ht="15.75" x14ac:dyDescent="0.25">
      <c r="A13" s="385" t="s">
        <v>777</v>
      </c>
      <c r="B13" s="385">
        <v>24419</v>
      </c>
      <c r="C13" s="385">
        <v>16188</v>
      </c>
      <c r="D13" s="385">
        <v>17098</v>
      </c>
      <c r="E13" s="385">
        <v>20193</v>
      </c>
      <c r="F13" s="385">
        <v>22996</v>
      </c>
      <c r="G13" s="385">
        <v>21256</v>
      </c>
      <c r="H13" s="404">
        <v>-7.5665333101408896</v>
      </c>
      <c r="I13" s="385"/>
      <c r="J13" s="385" t="s">
        <v>777</v>
      </c>
      <c r="K13" s="767">
        <v>27.0735628360774</v>
      </c>
      <c r="L13" s="767">
        <v>27.138306789605998</v>
      </c>
      <c r="M13" s="767">
        <v>25.774843222383002</v>
      </c>
      <c r="N13" s="767">
        <v>26.920410611918399</v>
      </c>
      <c r="O13" s="804">
        <v>28.098729227761499</v>
      </c>
      <c r="P13" s="767">
        <v>26.4717237256685</v>
      </c>
    </row>
    <row r="14" spans="1:16" ht="15.75" x14ac:dyDescent="0.25">
      <c r="A14" s="385" t="s">
        <v>502</v>
      </c>
      <c r="B14" s="385">
        <v>684</v>
      </c>
      <c r="C14" s="385">
        <v>585</v>
      </c>
      <c r="D14" s="385">
        <v>725</v>
      </c>
      <c r="E14" s="385">
        <v>749</v>
      </c>
      <c r="F14" s="385">
        <v>870</v>
      </c>
      <c r="G14" s="385">
        <v>965</v>
      </c>
      <c r="H14" s="404">
        <v>10.919540229885101</v>
      </c>
      <c r="I14" s="385"/>
      <c r="J14" s="385" t="s">
        <v>502</v>
      </c>
      <c r="K14" s="767">
        <v>1.1843335526543599</v>
      </c>
      <c r="L14" s="767">
        <v>1.0749131800892999</v>
      </c>
      <c r="M14" s="767">
        <v>1.05997251381619</v>
      </c>
      <c r="N14" s="767">
        <v>1.1152637770067999</v>
      </c>
      <c r="O14" s="804">
        <v>1.2979069385806601</v>
      </c>
      <c r="P14" s="767">
        <v>1.3685225628953099</v>
      </c>
    </row>
    <row r="15" spans="1:16" ht="15.75" x14ac:dyDescent="0.25">
      <c r="A15" s="385" t="s">
        <v>917</v>
      </c>
      <c r="B15" s="385">
        <v>285</v>
      </c>
      <c r="C15" s="385">
        <v>220</v>
      </c>
      <c r="D15" s="385">
        <v>401</v>
      </c>
      <c r="E15" s="385">
        <v>315</v>
      </c>
      <c r="F15" s="385">
        <v>351</v>
      </c>
      <c r="G15" s="385">
        <v>371</v>
      </c>
      <c r="H15" s="404">
        <v>5.6980056980056997</v>
      </c>
      <c r="I15" s="385"/>
      <c r="J15" s="385" t="s">
        <v>917</v>
      </c>
      <c r="K15" s="767">
        <v>0.48515593081846697</v>
      </c>
      <c r="L15" s="767">
        <v>0.44238000442379999</v>
      </c>
      <c r="M15" s="767">
        <v>0.53592430236287802</v>
      </c>
      <c r="N15" s="767">
        <v>0.40312260046071202</v>
      </c>
      <c r="O15" s="804">
        <v>0.467407949930089</v>
      </c>
      <c r="P15" s="767">
        <v>0.47611103268611299</v>
      </c>
    </row>
    <row r="16" spans="1:16" ht="22.5" customHeight="1" x14ac:dyDescent="0.25">
      <c r="A16" s="380" t="s">
        <v>918</v>
      </c>
      <c r="B16" s="406">
        <v>54905</v>
      </c>
      <c r="C16" s="406">
        <v>44492</v>
      </c>
      <c r="D16" s="406">
        <v>48910</v>
      </c>
      <c r="E16" s="406">
        <v>51498</v>
      </c>
      <c r="F16" s="406">
        <v>53976</v>
      </c>
      <c r="G16" s="406">
        <v>51331</v>
      </c>
      <c r="H16" s="407">
        <v>-4.9003260708463001</v>
      </c>
      <c r="I16" s="380"/>
      <c r="J16" s="380" t="s">
        <v>918</v>
      </c>
      <c r="K16" s="768">
        <v>7.0191430010559701</v>
      </c>
      <c r="L16" s="768">
        <v>6.6487243361661497</v>
      </c>
      <c r="M16" s="768">
        <v>5.93889411016157</v>
      </c>
      <c r="N16" s="768">
        <v>6.0972231102018197</v>
      </c>
      <c r="O16" s="805">
        <v>6.6133767233056098</v>
      </c>
      <c r="P16" s="768">
        <v>6.4763704770063697</v>
      </c>
    </row>
    <row r="17" spans="1:16" ht="15.75" x14ac:dyDescent="0.25">
      <c r="A17" s="385" t="s">
        <v>919</v>
      </c>
      <c r="B17" s="385">
        <v>265</v>
      </c>
      <c r="C17" s="385">
        <v>235</v>
      </c>
      <c r="D17" s="385">
        <v>281</v>
      </c>
      <c r="E17" s="385">
        <v>244</v>
      </c>
      <c r="F17" s="385">
        <v>239</v>
      </c>
      <c r="G17" s="385">
        <v>196</v>
      </c>
      <c r="H17" s="404">
        <v>-17.991631799163201</v>
      </c>
      <c r="I17" s="385"/>
      <c r="J17" s="385" t="s">
        <v>919</v>
      </c>
      <c r="K17" s="767">
        <v>39.143279172821302</v>
      </c>
      <c r="L17" s="767">
        <v>42.039355992844399</v>
      </c>
      <c r="M17" s="767">
        <v>41.445427728613602</v>
      </c>
      <c r="N17" s="767">
        <v>41.780821917808197</v>
      </c>
      <c r="O17" s="804">
        <v>43.297101449275402</v>
      </c>
      <c r="P17" s="767">
        <v>37.5478927203065</v>
      </c>
    </row>
    <row r="18" spans="1:16" ht="22.5" customHeight="1" x14ac:dyDescent="0.25">
      <c r="A18" s="408" t="s">
        <v>920</v>
      </c>
      <c r="B18" s="409">
        <v>55170</v>
      </c>
      <c r="C18" s="409">
        <v>44727</v>
      </c>
      <c r="D18" s="409">
        <v>49191</v>
      </c>
      <c r="E18" s="409">
        <v>51742</v>
      </c>
      <c r="F18" s="409">
        <v>54215</v>
      </c>
      <c r="G18" s="409">
        <v>51527</v>
      </c>
      <c r="H18" s="410">
        <v>-4.9580374435119401</v>
      </c>
      <c r="I18" s="408"/>
      <c r="J18" s="411" t="s">
        <v>920</v>
      </c>
      <c r="K18" s="770">
        <v>7.0469220010346199</v>
      </c>
      <c r="L18" s="770">
        <v>6.6782632066174896</v>
      </c>
      <c r="M18" s="770">
        <v>5.9681012142212397</v>
      </c>
      <c r="N18" s="770">
        <v>6.1218791336467904</v>
      </c>
      <c r="O18" s="806">
        <v>6.6381704288883796</v>
      </c>
      <c r="P18" s="768">
        <v>6.4968207476633202</v>
      </c>
    </row>
  </sheetData>
  <hyperlinks>
    <hyperlink ref="A3" location="'Table of contents'!A1" display="Link to Table of Contents" xr:uid="{7B306468-5528-4583-960E-72A736DC7E5A}"/>
    <hyperlink ref="A5" location="'Notes_B1 to B10'!A1" display="Link to Notes" xr:uid="{B63DAA5D-0D07-4F66-9FDC-A71363C12F2F}"/>
  </hyperlinks>
  <pageMargins left="0.7" right="0.7" top="0.75" bottom="0.75" header="0.3" footer="0.3"/>
  <pageSetup paperSize="9" orientation="portrait" r:id="rId1"/>
  <tableParts count="2">
    <tablePart r:id="rId2"/>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F408-2A36-4906-8B0E-3EA9DC862D55}">
  <dimension ref="A1:Q32"/>
  <sheetViews>
    <sheetView showGridLines="0" workbookViewId="0"/>
  </sheetViews>
  <sheetFormatPr defaultColWidth="11.85546875" defaultRowHeight="15" customHeight="1" x14ac:dyDescent="0.25"/>
  <cols>
    <col min="1" max="1" width="83" customWidth="1"/>
    <col min="2" max="10" width="13.85546875" customWidth="1"/>
    <col min="11" max="15" width="15.5703125" customWidth="1"/>
    <col min="16" max="16" width="17.5703125" customWidth="1"/>
    <col min="17" max="17" width="20.28515625" customWidth="1"/>
  </cols>
  <sheetData>
    <row r="1" spans="1:17" ht="25.5" customHeight="1" x14ac:dyDescent="0.25">
      <c r="A1" s="847" t="s">
        <v>921</v>
      </c>
      <c r="B1" s="412"/>
      <c r="C1" s="412"/>
      <c r="D1" s="412"/>
      <c r="E1" s="412"/>
      <c r="F1" s="412"/>
      <c r="G1" s="412"/>
      <c r="H1" s="412"/>
      <c r="I1" s="412"/>
      <c r="J1" s="412"/>
      <c r="K1" s="412"/>
      <c r="L1" s="412"/>
      <c r="M1" s="412"/>
      <c r="N1" s="412"/>
      <c r="O1" s="412"/>
      <c r="P1" s="412"/>
    </row>
    <row r="2" spans="1:17" ht="21.75" customHeight="1" x14ac:dyDescent="0.25">
      <c r="A2" s="856" t="s">
        <v>922</v>
      </c>
      <c r="B2" s="413"/>
      <c r="C2" s="414"/>
      <c r="D2" s="414"/>
      <c r="E2" s="414"/>
      <c r="F2" s="414"/>
      <c r="G2" s="414"/>
      <c r="H2" s="414"/>
      <c r="I2" s="414"/>
      <c r="J2" s="414"/>
      <c r="K2" s="414"/>
      <c r="L2" s="414"/>
      <c r="M2" s="414"/>
      <c r="N2" s="414"/>
      <c r="O2" s="414"/>
      <c r="P2" s="414"/>
    </row>
    <row r="3" spans="1:17" ht="18.75" customHeight="1" x14ac:dyDescent="0.25">
      <c r="A3" s="418" t="s">
        <v>368</v>
      </c>
      <c r="B3" s="415"/>
      <c r="C3" s="416"/>
      <c r="D3" s="416"/>
      <c r="E3" s="416"/>
      <c r="F3" s="416"/>
      <c r="G3" s="416"/>
      <c r="H3" s="416"/>
      <c r="I3" s="416"/>
      <c r="J3" s="416"/>
      <c r="K3" s="415"/>
      <c r="L3" s="415"/>
      <c r="M3" s="415"/>
      <c r="N3" s="415"/>
      <c r="O3" s="415"/>
      <c r="P3" s="415"/>
    </row>
    <row r="4" spans="1:17" ht="21" customHeight="1" x14ac:dyDescent="0.25">
      <c r="A4" s="417" t="s">
        <v>923</v>
      </c>
      <c r="B4" s="415"/>
      <c r="C4" s="416"/>
      <c r="D4" s="416"/>
      <c r="E4" s="416"/>
      <c r="F4" s="416"/>
      <c r="G4" s="416"/>
      <c r="H4" s="416"/>
      <c r="I4" s="416"/>
      <c r="J4" s="416"/>
      <c r="K4" s="415"/>
      <c r="L4" s="415"/>
      <c r="M4" s="415"/>
      <c r="N4" s="415"/>
      <c r="O4" s="415"/>
      <c r="P4" s="415"/>
    </row>
    <row r="5" spans="1:17" ht="20.25" customHeight="1" x14ac:dyDescent="0.25">
      <c r="A5" s="418" t="s">
        <v>370</v>
      </c>
      <c r="B5" s="415"/>
      <c r="C5" s="416"/>
      <c r="D5" s="416"/>
      <c r="E5" s="416"/>
      <c r="F5" s="416"/>
      <c r="G5" s="416"/>
      <c r="H5" s="416"/>
      <c r="I5" s="416"/>
      <c r="J5" s="416"/>
      <c r="K5" s="415"/>
      <c r="L5" s="415"/>
      <c r="M5" s="415"/>
      <c r="N5" s="415"/>
      <c r="O5" s="415"/>
      <c r="P5" s="415"/>
    </row>
    <row r="6" spans="1:17" ht="21" customHeight="1" x14ac:dyDescent="0.25">
      <c r="A6" s="175" t="s">
        <v>371</v>
      </c>
      <c r="B6" s="415"/>
      <c r="C6" s="416"/>
      <c r="D6" s="416"/>
      <c r="E6" s="416"/>
      <c r="F6" s="416"/>
      <c r="G6" s="416"/>
      <c r="H6" s="416"/>
      <c r="I6" s="416"/>
      <c r="J6" s="416"/>
      <c r="K6" s="415"/>
      <c r="L6" s="415"/>
      <c r="M6" s="415"/>
      <c r="N6" s="415"/>
      <c r="O6" s="415"/>
      <c r="P6" s="415"/>
    </row>
    <row r="7" spans="1:17" ht="18" customHeight="1" x14ac:dyDescent="0.25">
      <c r="A7" s="134" t="s">
        <v>372</v>
      </c>
      <c r="B7" s="415"/>
      <c r="C7" s="416"/>
      <c r="D7" s="416"/>
      <c r="E7" s="416"/>
      <c r="F7" s="416"/>
      <c r="G7" s="416"/>
      <c r="H7" s="416"/>
      <c r="I7" s="416"/>
      <c r="J7" s="416"/>
      <c r="K7" s="415"/>
      <c r="L7" s="415"/>
      <c r="M7" s="415"/>
      <c r="N7" s="415"/>
      <c r="O7" s="415"/>
      <c r="P7" s="415"/>
    </row>
    <row r="8" spans="1:17" ht="31.5" customHeight="1" x14ac:dyDescent="0.25">
      <c r="A8" s="419" t="s">
        <v>924</v>
      </c>
      <c r="B8" s="420"/>
      <c r="C8" s="421"/>
      <c r="D8" s="421"/>
      <c r="E8" s="421"/>
      <c r="F8" s="421"/>
      <c r="G8" s="421"/>
      <c r="H8" s="421"/>
      <c r="I8" s="421"/>
      <c r="J8" s="421"/>
      <c r="K8" s="420"/>
      <c r="L8" s="420"/>
      <c r="M8" s="420"/>
      <c r="N8" s="420"/>
      <c r="O8" s="420"/>
      <c r="P8" s="420"/>
    </row>
    <row r="9" spans="1:17" ht="63" x14ac:dyDescent="0.25">
      <c r="A9" s="422" t="s">
        <v>902</v>
      </c>
      <c r="B9" s="423" t="s">
        <v>925</v>
      </c>
      <c r="C9" s="423" t="s">
        <v>926</v>
      </c>
      <c r="D9" s="423" t="s">
        <v>927</v>
      </c>
      <c r="E9" s="423" t="s">
        <v>928</v>
      </c>
      <c r="F9" s="423" t="s">
        <v>859</v>
      </c>
      <c r="G9" s="423" t="s">
        <v>882</v>
      </c>
      <c r="H9" s="423" t="s">
        <v>883</v>
      </c>
      <c r="I9" s="423" t="s">
        <v>884</v>
      </c>
      <c r="J9" s="423" t="s">
        <v>929</v>
      </c>
      <c r="K9" s="424" t="s">
        <v>930</v>
      </c>
      <c r="L9" s="425" t="s">
        <v>931</v>
      </c>
      <c r="M9" s="425" t="s">
        <v>932</v>
      </c>
      <c r="N9" s="425" t="s">
        <v>889</v>
      </c>
      <c r="O9" s="426" t="s">
        <v>906</v>
      </c>
      <c r="P9" s="426" t="s">
        <v>907</v>
      </c>
      <c r="Q9" s="427" t="s">
        <v>908</v>
      </c>
    </row>
    <row r="10" spans="1:17" ht="15.75" x14ac:dyDescent="0.25">
      <c r="A10" s="428" t="s">
        <v>915</v>
      </c>
      <c r="B10" s="429">
        <v>217</v>
      </c>
      <c r="C10" s="429">
        <v>234</v>
      </c>
      <c r="D10" s="429">
        <v>180</v>
      </c>
      <c r="E10" s="429">
        <v>226</v>
      </c>
      <c r="F10" s="429">
        <v>260</v>
      </c>
      <c r="G10" s="429">
        <v>336</v>
      </c>
      <c r="H10" s="429">
        <v>338</v>
      </c>
      <c r="I10" s="429">
        <v>369</v>
      </c>
      <c r="J10" s="430">
        <v>409</v>
      </c>
      <c r="K10" s="429">
        <v>460</v>
      </c>
      <c r="L10" s="429">
        <v>459</v>
      </c>
      <c r="M10" s="429">
        <v>416</v>
      </c>
      <c r="N10" s="429">
        <v>414</v>
      </c>
      <c r="O10" s="429">
        <v>414</v>
      </c>
      <c r="P10" s="429">
        <v>455</v>
      </c>
      <c r="Q10" s="431">
        <v>9.9033816425120804</v>
      </c>
    </row>
    <row r="11" spans="1:17" ht="15.75" x14ac:dyDescent="0.25">
      <c r="A11" s="428" t="s">
        <v>916</v>
      </c>
      <c r="B11" s="429">
        <v>1424</v>
      </c>
      <c r="C11" s="429">
        <v>1172</v>
      </c>
      <c r="D11" s="429">
        <v>1155</v>
      </c>
      <c r="E11" s="429">
        <v>1295</v>
      </c>
      <c r="F11" s="429">
        <v>1696</v>
      </c>
      <c r="G11" s="429">
        <v>2297</v>
      </c>
      <c r="H11" s="429">
        <v>2918</v>
      </c>
      <c r="I11" s="429">
        <v>3385</v>
      </c>
      <c r="J11" s="429">
        <v>3954</v>
      </c>
      <c r="K11" s="429">
        <v>4746</v>
      </c>
      <c r="L11" s="429">
        <v>4790</v>
      </c>
      <c r="M11" s="429">
        <v>5551</v>
      </c>
      <c r="N11" s="429">
        <v>5779</v>
      </c>
      <c r="O11" s="429">
        <v>5330</v>
      </c>
      <c r="P11" s="429">
        <v>5799</v>
      </c>
      <c r="Q11" s="431">
        <v>8.7992495309568497</v>
      </c>
    </row>
    <row r="12" spans="1:17" ht="15.75" x14ac:dyDescent="0.25">
      <c r="A12" s="386" t="s">
        <v>933</v>
      </c>
      <c r="B12" s="429">
        <v>14647</v>
      </c>
      <c r="C12" s="429">
        <v>13130</v>
      </c>
      <c r="D12" s="429">
        <v>11839</v>
      </c>
      <c r="E12" s="429">
        <v>12203</v>
      </c>
      <c r="F12" s="429">
        <v>13836</v>
      </c>
      <c r="G12" s="429">
        <v>16187</v>
      </c>
      <c r="H12" s="429">
        <v>19455</v>
      </c>
      <c r="I12" s="429">
        <v>21765</v>
      </c>
      <c r="J12" s="429">
        <v>22821</v>
      </c>
      <c r="K12" s="429">
        <v>22873</v>
      </c>
      <c r="L12" s="429">
        <v>20589</v>
      </c>
      <c r="M12" s="429">
        <v>22610</v>
      </c>
      <c r="N12" s="429">
        <v>22169</v>
      </c>
      <c r="O12" s="429">
        <v>22006</v>
      </c>
      <c r="P12" s="429">
        <v>20688</v>
      </c>
      <c r="Q12" s="431">
        <v>-5.9892756520948804</v>
      </c>
    </row>
    <row r="13" spans="1:17" ht="15.75" x14ac:dyDescent="0.25">
      <c r="A13" s="385" t="s">
        <v>777</v>
      </c>
      <c r="B13" s="429">
        <v>17187</v>
      </c>
      <c r="C13" s="429">
        <v>16978</v>
      </c>
      <c r="D13" s="429">
        <v>13692</v>
      </c>
      <c r="E13" s="429">
        <v>12451</v>
      </c>
      <c r="F13" s="429">
        <v>11025</v>
      </c>
      <c r="G13" s="429">
        <v>11496</v>
      </c>
      <c r="H13" s="429">
        <v>14329</v>
      </c>
      <c r="I13" s="429">
        <v>19138</v>
      </c>
      <c r="J13" s="429">
        <v>21226</v>
      </c>
      <c r="K13" s="429">
        <v>22727</v>
      </c>
      <c r="L13" s="429">
        <v>14842</v>
      </c>
      <c r="M13" s="429">
        <v>15657</v>
      </c>
      <c r="N13" s="429">
        <v>18807</v>
      </c>
      <c r="O13" s="429">
        <v>21708</v>
      </c>
      <c r="P13" s="429">
        <v>19959</v>
      </c>
      <c r="Q13" s="431">
        <v>-8.0569375345494691</v>
      </c>
    </row>
    <row r="14" spans="1:17" ht="15.75" x14ac:dyDescent="0.25">
      <c r="A14" s="385" t="s">
        <v>502</v>
      </c>
      <c r="B14" s="429">
        <v>240</v>
      </c>
      <c r="C14" s="429">
        <v>219</v>
      </c>
      <c r="D14" s="429">
        <v>174</v>
      </c>
      <c r="E14" s="429">
        <v>234</v>
      </c>
      <c r="F14" s="429">
        <v>285</v>
      </c>
      <c r="G14" s="429">
        <v>309</v>
      </c>
      <c r="H14" s="429">
        <v>401</v>
      </c>
      <c r="I14" s="429">
        <v>436</v>
      </c>
      <c r="J14" s="429">
        <v>525</v>
      </c>
      <c r="K14" s="429">
        <v>646</v>
      </c>
      <c r="L14" s="429">
        <v>559</v>
      </c>
      <c r="M14" s="429">
        <v>694</v>
      </c>
      <c r="N14" s="429">
        <v>709</v>
      </c>
      <c r="O14" s="429">
        <v>803</v>
      </c>
      <c r="P14" s="429">
        <v>908</v>
      </c>
      <c r="Q14" s="431">
        <v>13.0759651307597</v>
      </c>
    </row>
    <row r="15" spans="1:17" ht="15.75" x14ac:dyDescent="0.25">
      <c r="A15" s="385" t="s">
        <v>917</v>
      </c>
      <c r="B15" s="429">
        <v>85</v>
      </c>
      <c r="C15" s="429">
        <v>71</v>
      </c>
      <c r="D15" s="429">
        <v>81</v>
      </c>
      <c r="E15" s="429">
        <v>92</v>
      </c>
      <c r="F15" s="429">
        <v>121</v>
      </c>
      <c r="G15" s="429">
        <v>106</v>
      </c>
      <c r="H15" s="429">
        <v>169</v>
      </c>
      <c r="I15" s="429">
        <v>157</v>
      </c>
      <c r="J15" s="429">
        <v>157</v>
      </c>
      <c r="K15" s="429">
        <v>277</v>
      </c>
      <c r="L15" s="429">
        <v>210</v>
      </c>
      <c r="M15" s="429">
        <v>385</v>
      </c>
      <c r="N15" s="429">
        <v>297</v>
      </c>
      <c r="O15" s="429">
        <v>327</v>
      </c>
      <c r="P15" s="429">
        <v>353</v>
      </c>
      <c r="Q15" s="431">
        <v>7.9510703363914397</v>
      </c>
    </row>
    <row r="16" spans="1:17" ht="15.75" x14ac:dyDescent="0.25">
      <c r="A16" s="380" t="s">
        <v>918</v>
      </c>
      <c r="B16" s="432">
        <v>33800</v>
      </c>
      <c r="C16" s="432">
        <v>31804</v>
      </c>
      <c r="D16" s="432">
        <v>27121</v>
      </c>
      <c r="E16" s="432">
        <v>26501</v>
      </c>
      <c r="F16" s="432">
        <v>27223</v>
      </c>
      <c r="G16" s="432">
        <v>30731</v>
      </c>
      <c r="H16" s="432">
        <v>37610</v>
      </c>
      <c r="I16" s="432">
        <v>45250</v>
      </c>
      <c r="J16" s="432">
        <v>49092</v>
      </c>
      <c r="K16" s="432">
        <v>51729</v>
      </c>
      <c r="L16" s="432">
        <v>41449</v>
      </c>
      <c r="M16" s="432">
        <v>45313</v>
      </c>
      <c r="N16" s="432">
        <v>48175</v>
      </c>
      <c r="O16" s="432">
        <v>50588</v>
      </c>
      <c r="P16" s="432">
        <v>48162</v>
      </c>
      <c r="Q16" s="433">
        <v>-4.7956037004823298</v>
      </c>
    </row>
    <row r="17" spans="1:17" ht="15.75" x14ac:dyDescent="0.25">
      <c r="A17" s="385" t="s">
        <v>919</v>
      </c>
      <c r="B17" s="429">
        <v>220</v>
      </c>
      <c r="C17" s="429">
        <v>200</v>
      </c>
      <c r="D17" s="429">
        <v>182</v>
      </c>
      <c r="E17" s="429">
        <v>193</v>
      </c>
      <c r="F17" s="429">
        <v>178</v>
      </c>
      <c r="G17" s="429">
        <v>196</v>
      </c>
      <c r="H17" s="429">
        <v>201</v>
      </c>
      <c r="I17" s="429">
        <v>265</v>
      </c>
      <c r="J17" s="429">
        <v>250</v>
      </c>
      <c r="K17" s="429">
        <v>253</v>
      </c>
      <c r="L17" s="429">
        <v>222</v>
      </c>
      <c r="M17" s="429">
        <v>260</v>
      </c>
      <c r="N17" s="429">
        <v>229</v>
      </c>
      <c r="O17" s="429">
        <v>228</v>
      </c>
      <c r="P17" s="429">
        <v>185</v>
      </c>
      <c r="Q17" s="431">
        <v>-18.859649122806999</v>
      </c>
    </row>
    <row r="18" spans="1:17" ht="15.75" x14ac:dyDescent="0.25">
      <c r="A18" s="434" t="s">
        <v>920</v>
      </c>
      <c r="B18" s="432">
        <v>34020</v>
      </c>
      <c r="C18" s="432">
        <v>32004</v>
      </c>
      <c r="D18" s="432">
        <v>27303</v>
      </c>
      <c r="E18" s="432">
        <v>26694</v>
      </c>
      <c r="F18" s="432">
        <v>27401</v>
      </c>
      <c r="G18" s="432">
        <v>30927</v>
      </c>
      <c r="H18" s="432">
        <v>37811</v>
      </c>
      <c r="I18" s="432">
        <v>45515</v>
      </c>
      <c r="J18" s="432">
        <v>49342</v>
      </c>
      <c r="K18" s="432">
        <v>51982</v>
      </c>
      <c r="L18" s="432">
        <v>41671</v>
      </c>
      <c r="M18" s="432">
        <v>45573</v>
      </c>
      <c r="N18" s="432">
        <v>48404</v>
      </c>
      <c r="O18" s="432">
        <v>50816</v>
      </c>
      <c r="P18" s="432">
        <v>48347</v>
      </c>
      <c r="Q18" s="433">
        <v>-4.8587059193954696</v>
      </c>
    </row>
    <row r="19" spans="1:17" ht="25.5" customHeight="1" x14ac:dyDescent="0.25">
      <c r="A19" s="435" t="s">
        <v>934</v>
      </c>
      <c r="B19" s="436">
        <v>36068</v>
      </c>
      <c r="C19" s="436">
        <v>33740</v>
      </c>
      <c r="D19" s="436">
        <v>28902</v>
      </c>
      <c r="E19" s="436">
        <v>28337</v>
      </c>
      <c r="F19" s="436">
        <v>29162</v>
      </c>
      <c r="G19" s="436">
        <v>32724</v>
      </c>
      <c r="H19" s="436">
        <v>39468</v>
      </c>
      <c r="I19" s="436">
        <v>47467</v>
      </c>
      <c r="J19" s="436">
        <v>52511</v>
      </c>
      <c r="K19" s="436">
        <v>55170</v>
      </c>
      <c r="L19" s="436">
        <v>44727</v>
      </c>
      <c r="M19" s="436">
        <v>49191</v>
      </c>
      <c r="N19" s="436">
        <v>51742</v>
      </c>
      <c r="O19" s="436">
        <v>54215</v>
      </c>
      <c r="P19" s="436">
        <v>51527</v>
      </c>
      <c r="Q19" s="437">
        <v>-4.9580374435119401</v>
      </c>
    </row>
    <row r="20" spans="1:17" ht="43.5" customHeight="1" x14ac:dyDescent="0.25">
      <c r="A20" s="438" t="s">
        <v>935</v>
      </c>
      <c r="B20" s="439">
        <v>641.51662525597021</v>
      </c>
      <c r="C20" s="439">
        <v>598.36732323601257</v>
      </c>
      <c r="D20" s="439">
        <v>506.87281140403098</v>
      </c>
      <c r="E20" s="439">
        <v>492.20695371855101</v>
      </c>
      <c r="F20" s="439">
        <v>501.15407547763402</v>
      </c>
      <c r="G20" s="439">
        <v>560.99075244102301</v>
      </c>
      <c r="H20" s="440">
        <v>680.06525863847105</v>
      </c>
      <c r="I20" s="439">
        <v>813.55532058208598</v>
      </c>
      <c r="J20" s="441">
        <v>876.36164455189396</v>
      </c>
      <c r="K20" s="439">
        <v>918.34249479287303</v>
      </c>
      <c r="L20" s="439">
        <v>732.72281245992099</v>
      </c>
      <c r="M20" s="439">
        <v>802.71687596464596</v>
      </c>
      <c r="N20" s="439">
        <v>844.35948362543695</v>
      </c>
      <c r="O20" s="439">
        <v>886.43441698847698</v>
      </c>
      <c r="P20" s="439">
        <v>843.36517549869905</v>
      </c>
      <c r="Q20" s="442"/>
    </row>
    <row r="21" spans="1:17" ht="15.75" x14ac:dyDescent="0.25">
      <c r="A21" s="443"/>
      <c r="B21" s="444"/>
      <c r="C21" s="444"/>
      <c r="D21" s="444"/>
      <c r="E21" s="444"/>
      <c r="F21" s="444"/>
      <c r="G21" s="444"/>
      <c r="H21" s="444"/>
      <c r="I21" s="444"/>
      <c r="J21" s="444"/>
      <c r="K21" s="444"/>
      <c r="L21" s="444"/>
      <c r="M21" s="445"/>
      <c r="N21" s="445"/>
      <c r="O21" s="445"/>
      <c r="P21" s="445"/>
    </row>
    <row r="22" spans="1:17" ht="33" customHeight="1" x14ac:dyDescent="0.25">
      <c r="A22" s="446" t="s">
        <v>936</v>
      </c>
      <c r="B22" s="447"/>
      <c r="C22" s="447"/>
      <c r="D22" s="447"/>
      <c r="E22" s="447"/>
      <c r="F22" s="447"/>
      <c r="G22" s="447"/>
      <c r="H22" s="447"/>
      <c r="I22" s="447"/>
      <c r="J22" s="447"/>
      <c r="K22" s="447"/>
      <c r="L22" s="447"/>
      <c r="M22" s="447"/>
      <c r="N22" s="447"/>
      <c r="O22" s="448"/>
      <c r="P22" s="431"/>
    </row>
    <row r="23" spans="1:17" ht="55.5" customHeight="1" x14ac:dyDescent="0.25">
      <c r="A23" s="449" t="s">
        <v>902</v>
      </c>
      <c r="B23" s="450" t="s">
        <v>937</v>
      </c>
      <c r="C23" s="450" t="s">
        <v>938</v>
      </c>
      <c r="D23" s="450" t="s">
        <v>939</v>
      </c>
      <c r="E23" s="450" t="s">
        <v>940</v>
      </c>
      <c r="F23" s="450" t="s">
        <v>941</v>
      </c>
      <c r="G23" s="450" t="s">
        <v>942</v>
      </c>
      <c r="H23" s="450" t="s">
        <v>943</v>
      </c>
      <c r="I23" s="450" t="s">
        <v>944</v>
      </c>
      <c r="J23" s="450" t="s">
        <v>945</v>
      </c>
      <c r="K23" s="451" t="s">
        <v>946</v>
      </c>
      <c r="L23" s="451" t="s">
        <v>910</v>
      </c>
      <c r="M23" s="451" t="s">
        <v>911</v>
      </c>
      <c r="N23" s="403" t="s">
        <v>912</v>
      </c>
      <c r="O23" s="403" t="s">
        <v>913</v>
      </c>
      <c r="P23" s="452" t="s">
        <v>914</v>
      </c>
    </row>
    <row r="24" spans="1:17" ht="15.75" x14ac:dyDescent="0.25">
      <c r="A24" s="428" t="s">
        <v>915</v>
      </c>
      <c r="B24" s="453">
        <v>44.742268041237118</v>
      </c>
      <c r="C24" s="453">
        <v>52.941176470588239</v>
      </c>
      <c r="D24" s="453">
        <v>48.128342245989302</v>
      </c>
      <c r="E24" s="453">
        <v>49.344978165938862</v>
      </c>
      <c r="F24" s="453">
        <v>50.096339113680202</v>
      </c>
      <c r="G24" s="453">
        <v>53.503184713375802</v>
      </c>
      <c r="H24" s="453">
        <v>44.827586206896598</v>
      </c>
      <c r="I24" s="453">
        <v>43.259085580304799</v>
      </c>
      <c r="J24" s="454">
        <v>43.556975505857302</v>
      </c>
      <c r="K24" s="454">
        <v>48.780487804878</v>
      </c>
      <c r="L24" s="454">
        <v>49.4079655543595</v>
      </c>
      <c r="M24" s="453">
        <v>45.266594124047899</v>
      </c>
      <c r="N24" s="453">
        <v>48.705882352941202</v>
      </c>
      <c r="O24" s="453">
        <v>49.8194945848375</v>
      </c>
      <c r="P24" s="453">
        <v>49.9451152579583</v>
      </c>
    </row>
    <row r="25" spans="1:17" ht="15.75" x14ac:dyDescent="0.25">
      <c r="A25" s="428" t="s">
        <v>916</v>
      </c>
      <c r="B25" s="453">
        <v>16.343394927120393</v>
      </c>
      <c r="C25" s="453">
        <v>16.812508965715107</v>
      </c>
      <c r="D25" s="453">
        <v>17.040424904101506</v>
      </c>
      <c r="E25" s="453">
        <v>16.742081447963798</v>
      </c>
      <c r="F25" s="453">
        <v>14.731173456093099</v>
      </c>
      <c r="G25" s="453">
        <v>14.7631595860917</v>
      </c>
      <c r="H25" s="453">
        <v>14.834019622794999</v>
      </c>
      <c r="I25" s="453">
        <v>14.073673706968201</v>
      </c>
      <c r="J25" s="455">
        <v>12.7175066739571</v>
      </c>
      <c r="K25" s="455">
        <v>13.394293455253599</v>
      </c>
      <c r="L25" s="455">
        <v>12.133954807984599</v>
      </c>
      <c r="M25" s="453">
        <v>11.861618017864</v>
      </c>
      <c r="N25" s="453">
        <v>11.7837771705885</v>
      </c>
      <c r="O25" s="453">
        <v>11.8171337353672</v>
      </c>
      <c r="P25" s="453">
        <v>11.886119537591201</v>
      </c>
    </row>
    <row r="26" spans="1:17" ht="15.75" x14ac:dyDescent="0.25">
      <c r="A26" s="386" t="s">
        <v>933</v>
      </c>
      <c r="B26" s="453">
        <v>4.2076143254803844</v>
      </c>
      <c r="C26" s="453">
        <v>4.1106268940816992</v>
      </c>
      <c r="D26" s="453">
        <v>4.004139764398702</v>
      </c>
      <c r="E26" s="453">
        <v>3.9777042554231792</v>
      </c>
      <c r="F26" s="453">
        <v>3.9143571695316099</v>
      </c>
      <c r="G26" s="453">
        <v>3.9590568898889602</v>
      </c>
      <c r="H26" s="453">
        <v>4.3960836329208002</v>
      </c>
      <c r="I26" s="453">
        <v>4.5009554061096404</v>
      </c>
      <c r="J26" s="455">
        <v>4.4059301762101803</v>
      </c>
      <c r="K26" s="455">
        <v>4.4648974691821897</v>
      </c>
      <c r="L26" s="455">
        <v>4.6756414274229803</v>
      </c>
      <c r="M26" s="453">
        <v>4.2459615478510999</v>
      </c>
      <c r="N26" s="453">
        <v>4.0987364894596503</v>
      </c>
      <c r="O26" s="453">
        <v>4.2759322876995496</v>
      </c>
      <c r="P26" s="453">
        <v>4.2811822916990003</v>
      </c>
    </row>
    <row r="27" spans="1:17" ht="15.75" x14ac:dyDescent="0.25">
      <c r="A27" s="385" t="s">
        <v>777</v>
      </c>
      <c r="B27" s="453">
        <v>24.100795086449875</v>
      </c>
      <c r="C27" s="453">
        <v>24.086027607144377</v>
      </c>
      <c r="D27" s="453">
        <v>22.379131116995193</v>
      </c>
      <c r="E27" s="453">
        <v>23.087763540951993</v>
      </c>
      <c r="F27" s="453">
        <v>23.649155923550499</v>
      </c>
      <c r="G27" s="453">
        <v>24.096587574411</v>
      </c>
      <c r="H27" s="453">
        <v>26.186516566457701</v>
      </c>
      <c r="I27" s="453">
        <v>27.223328591749599</v>
      </c>
      <c r="J27" s="455">
        <v>27.098866305790999</v>
      </c>
      <c r="K27" s="455">
        <v>27.2571360038379</v>
      </c>
      <c r="L27" s="455">
        <v>26.84779856011</v>
      </c>
      <c r="M27" s="453">
        <v>25.679421364255099</v>
      </c>
      <c r="N27" s="453">
        <v>26.905579399141601</v>
      </c>
      <c r="O27" s="453">
        <v>28.0966063524113</v>
      </c>
      <c r="P27" s="453">
        <v>26.363828494439002</v>
      </c>
    </row>
    <row r="28" spans="1:17" ht="15.75" x14ac:dyDescent="0.25">
      <c r="A28" s="385" t="s">
        <v>502</v>
      </c>
      <c r="B28" s="453">
        <v>1.5946843853820596</v>
      </c>
      <c r="C28" s="453">
        <v>1.434936443454331</v>
      </c>
      <c r="D28" s="453">
        <v>1.1288439081354613</v>
      </c>
      <c r="E28" s="453">
        <v>1.1881791408550828</v>
      </c>
      <c r="F28" s="453">
        <v>1.0289551592172701</v>
      </c>
      <c r="G28" s="453">
        <v>0.899066018796008</v>
      </c>
      <c r="H28" s="453">
        <v>1.0071581062413699</v>
      </c>
      <c r="I28" s="453">
        <v>0.85114690092728196</v>
      </c>
      <c r="J28" s="455">
        <v>0.93411383733964404</v>
      </c>
      <c r="K28" s="455">
        <v>1.18638776147362</v>
      </c>
      <c r="L28" s="455">
        <v>1.0908168442415</v>
      </c>
      <c r="M28" s="453">
        <v>1.0757021514042999</v>
      </c>
      <c r="N28" s="453">
        <v>1.1210904145978899</v>
      </c>
      <c r="O28" s="453">
        <v>1.27187772234102</v>
      </c>
      <c r="P28" s="453">
        <v>1.35848830772453</v>
      </c>
    </row>
    <row r="29" spans="1:17" ht="15.75" x14ac:dyDescent="0.25">
      <c r="A29" s="385" t="s">
        <v>917</v>
      </c>
      <c r="B29" s="453">
        <v>0.39071477821190531</v>
      </c>
      <c r="C29" s="453">
        <v>0.33935570213172739</v>
      </c>
      <c r="D29" s="453">
        <v>0.38158948508974422</v>
      </c>
      <c r="E29" s="453">
        <v>0.37138704989504279</v>
      </c>
      <c r="F29" s="453">
        <v>0.36581310276022599</v>
      </c>
      <c r="G29" s="453">
        <v>0.26856520307076398</v>
      </c>
      <c r="H29" s="453">
        <v>0.38569504986649</v>
      </c>
      <c r="I29" s="453">
        <v>0.29763597414169002</v>
      </c>
      <c r="J29" s="455">
        <v>0.27983744474547301</v>
      </c>
      <c r="K29" s="455">
        <v>0.49848833861215103</v>
      </c>
      <c r="L29" s="455">
        <v>0.44814340588988499</v>
      </c>
      <c r="M29" s="453">
        <v>0.54636278488916601</v>
      </c>
      <c r="N29" s="453">
        <v>0.40646512200796497</v>
      </c>
      <c r="O29" s="453">
        <v>0.46471967597527197</v>
      </c>
      <c r="P29" s="453">
        <v>0.48214163764256002</v>
      </c>
    </row>
    <row r="30" spans="1:17" ht="15.75" x14ac:dyDescent="0.25">
      <c r="A30" s="380" t="s">
        <v>918</v>
      </c>
      <c r="B30" s="456">
        <v>7.2622109349989152</v>
      </c>
      <c r="C30" s="456">
        <v>7.3365290125535747</v>
      </c>
      <c r="D30" s="456">
        <v>6.7693513443356199</v>
      </c>
      <c r="E30" s="456">
        <v>6.4109170168346745</v>
      </c>
      <c r="F30" s="456">
        <v>5.7566812012840103</v>
      </c>
      <c r="G30" s="456">
        <v>5.6222820270292502</v>
      </c>
      <c r="H30" s="456">
        <v>6.2544796608844697</v>
      </c>
      <c r="I30" s="456">
        <v>6.6276768857388504</v>
      </c>
      <c r="J30" s="457">
        <v>6.6284467464010204</v>
      </c>
      <c r="K30" s="457">
        <v>6.9709996496240203</v>
      </c>
      <c r="L30" s="457">
        <v>6.5362641313655203</v>
      </c>
      <c r="M30" s="456">
        <v>5.8379800457628201</v>
      </c>
      <c r="N30" s="456">
        <v>6.04471647236997</v>
      </c>
      <c r="O30" s="456">
        <v>6.5584141985752202</v>
      </c>
      <c r="P30" s="456">
        <v>6.4328360202486996</v>
      </c>
    </row>
    <row r="31" spans="1:17" ht="15.75" x14ac:dyDescent="0.25">
      <c r="A31" s="385" t="s">
        <v>919</v>
      </c>
      <c r="B31" s="453">
        <v>36.303630363036305</v>
      </c>
      <c r="C31" s="453">
        <v>38.461538461538467</v>
      </c>
      <c r="D31" s="453">
        <v>35.271317829457367</v>
      </c>
      <c r="E31" s="453">
        <v>38.369781312127238</v>
      </c>
      <c r="F31" s="453">
        <v>37.872340425531902</v>
      </c>
      <c r="G31" s="453">
        <v>38.8888888888889</v>
      </c>
      <c r="H31" s="453">
        <v>31.4553990610329</v>
      </c>
      <c r="I31" s="453">
        <v>42.741935483871003</v>
      </c>
      <c r="J31" s="455">
        <v>42.589437819420802</v>
      </c>
      <c r="K31" s="455">
        <v>39.408099688473499</v>
      </c>
      <c r="L31" s="455">
        <v>43.106796116504903</v>
      </c>
      <c r="M31" s="453">
        <v>41.467304625199397</v>
      </c>
      <c r="N31" s="453">
        <v>41.410488245931298</v>
      </c>
      <c r="O31" s="453">
        <v>43.930635838150302</v>
      </c>
      <c r="P31" s="453">
        <v>37.373737373737399</v>
      </c>
    </row>
    <row r="32" spans="1:17" ht="15.75" x14ac:dyDescent="0.25">
      <c r="A32" s="419" t="s">
        <v>920</v>
      </c>
      <c r="B32" s="458">
        <v>7.2999748942662368</v>
      </c>
      <c r="C32" s="458">
        <v>7.3738197602886499</v>
      </c>
      <c r="D32" s="458">
        <v>6.8060125635656599</v>
      </c>
      <c r="E32" s="458">
        <v>6.4497578985010007</v>
      </c>
      <c r="F32" s="458">
        <v>5.7885686279480497</v>
      </c>
      <c r="G32" s="458">
        <v>5.65292809136223</v>
      </c>
      <c r="H32" s="458">
        <v>6.2812308959944696</v>
      </c>
      <c r="I32" s="458">
        <v>6.6604425466406596</v>
      </c>
      <c r="J32" s="458">
        <v>6.65692587690718</v>
      </c>
      <c r="K32" s="458">
        <v>6.9990386453786302</v>
      </c>
      <c r="L32" s="458">
        <v>6.56593986644691</v>
      </c>
      <c r="M32" s="458">
        <v>5.8667384137290899</v>
      </c>
      <c r="N32" s="458">
        <v>6.0692387747169398</v>
      </c>
      <c r="O32" s="458">
        <v>6.5835432148668698</v>
      </c>
      <c r="P32" s="458">
        <v>6.4532792300967001</v>
      </c>
    </row>
  </sheetData>
  <hyperlinks>
    <hyperlink ref="A5" location="'Notes_B1 to B10'!A1" display="Link to Notes page" xr:uid="{22914656-2EF8-4613-BC5E-3B13ABEAF895}"/>
    <hyperlink ref="A3" location="'Table of contents'!A1" display="Link to table of contents" xr:uid="{1CDD7F13-A477-4C84-BC6B-6520A7975603}"/>
  </hyperlinks>
  <pageMargins left="0.7" right="0.7" top="0.75" bottom="0.75" header="0.3" footer="0.3"/>
  <pageSetup paperSize="9" orientation="portrait" r:id="rId1"/>
  <tableParts count="2">
    <tablePart r:id="rId2"/>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3DF5B-C8E4-4F49-8001-507EDB38C89B}">
  <dimension ref="A1:Q31"/>
  <sheetViews>
    <sheetView showGridLines="0" workbookViewId="0"/>
  </sheetViews>
  <sheetFormatPr defaultColWidth="11.28515625" defaultRowHeight="15" customHeight="1" x14ac:dyDescent="0.25"/>
  <cols>
    <col min="1" max="1" width="78.28515625" customWidth="1"/>
    <col min="2" max="9" width="17.7109375" customWidth="1"/>
    <col min="10" max="10" width="15" customWidth="1"/>
    <col min="11" max="16" width="16.140625" customWidth="1"/>
    <col min="17" max="17" width="24.28515625" customWidth="1"/>
  </cols>
  <sheetData>
    <row r="1" spans="1:17" ht="18" x14ac:dyDescent="0.25">
      <c r="A1" s="847" t="s">
        <v>947</v>
      </c>
      <c r="B1" s="412"/>
      <c r="C1" s="412"/>
      <c r="D1" s="412"/>
      <c r="E1" s="412"/>
      <c r="F1" s="412"/>
      <c r="G1" s="412"/>
      <c r="H1" s="412"/>
      <c r="I1" s="412"/>
      <c r="J1" s="412"/>
      <c r="K1" s="412"/>
      <c r="L1" s="412"/>
      <c r="M1" s="412"/>
      <c r="N1" s="412"/>
      <c r="O1" s="412"/>
      <c r="P1" s="412"/>
    </row>
    <row r="2" spans="1:17" ht="18" x14ac:dyDescent="0.25">
      <c r="A2" s="855" t="s">
        <v>948</v>
      </c>
      <c r="B2" s="412"/>
      <c r="C2" s="412"/>
      <c r="D2" s="412"/>
      <c r="E2" s="412"/>
      <c r="F2" s="412"/>
      <c r="G2" s="412"/>
      <c r="H2" s="412"/>
      <c r="I2" s="412"/>
      <c r="J2" s="412"/>
      <c r="K2" s="412"/>
      <c r="L2" s="412"/>
      <c r="M2" s="412"/>
      <c r="N2" s="412"/>
      <c r="O2" s="412"/>
      <c r="P2" s="412"/>
    </row>
    <row r="3" spans="1:17" ht="18.75" customHeight="1" x14ac:dyDescent="0.25">
      <c r="A3" s="129" t="s">
        <v>368</v>
      </c>
      <c r="B3" s="415"/>
      <c r="C3" s="416"/>
      <c r="D3" s="416"/>
      <c r="E3" s="416"/>
      <c r="F3" s="416"/>
      <c r="G3" s="416"/>
      <c r="H3" s="416"/>
      <c r="I3" s="416"/>
      <c r="J3" s="416"/>
      <c r="K3" s="416"/>
      <c r="L3" s="416"/>
      <c r="M3" s="416"/>
      <c r="N3" s="416"/>
      <c r="O3" s="416"/>
      <c r="P3" s="416"/>
    </row>
    <row r="4" spans="1:17" ht="18.75" customHeight="1" x14ac:dyDescent="0.25">
      <c r="A4" s="459" t="s">
        <v>923</v>
      </c>
      <c r="B4" s="414"/>
      <c r="C4" s="414"/>
      <c r="D4" s="414"/>
      <c r="E4" s="414"/>
      <c r="F4" s="414"/>
      <c r="G4" s="414"/>
      <c r="H4" s="414"/>
      <c r="I4" s="414"/>
      <c r="J4" s="414"/>
      <c r="K4" s="414"/>
      <c r="L4" s="414"/>
      <c r="M4" s="414"/>
      <c r="N4" s="414"/>
      <c r="O4" s="414"/>
      <c r="P4" s="414"/>
    </row>
    <row r="5" spans="1:17" ht="18.75" customHeight="1" x14ac:dyDescent="0.25">
      <c r="A5" s="129" t="s">
        <v>370</v>
      </c>
      <c r="B5" s="416"/>
      <c r="C5" s="416"/>
      <c r="D5" s="416"/>
      <c r="E5" s="416"/>
      <c r="F5" s="416"/>
      <c r="G5" s="416"/>
      <c r="H5" s="416"/>
      <c r="I5" s="416"/>
      <c r="J5" s="416"/>
      <c r="K5" s="416"/>
      <c r="L5" s="416"/>
      <c r="M5" s="416"/>
      <c r="N5" s="416"/>
      <c r="O5" s="416"/>
      <c r="P5" s="416"/>
    </row>
    <row r="6" spans="1:17" ht="18.75" customHeight="1" x14ac:dyDescent="0.25">
      <c r="A6" s="175" t="s">
        <v>371</v>
      </c>
      <c r="B6" s="415"/>
      <c r="C6" s="416"/>
      <c r="D6" s="416"/>
      <c r="E6" s="416"/>
      <c r="F6" s="416"/>
      <c r="G6" s="416"/>
      <c r="H6" s="416"/>
      <c r="I6" s="416"/>
      <c r="J6" s="416"/>
      <c r="K6" s="416"/>
      <c r="L6" s="416"/>
      <c r="M6" s="416"/>
      <c r="N6" s="416"/>
      <c r="O6" s="416"/>
      <c r="P6" s="416"/>
    </row>
    <row r="7" spans="1:17" ht="18.75" customHeight="1" x14ac:dyDescent="0.25">
      <c r="A7" s="134" t="s">
        <v>372</v>
      </c>
      <c r="B7" s="415"/>
      <c r="C7" s="416"/>
      <c r="D7" s="416"/>
      <c r="E7" s="416"/>
      <c r="F7" s="416"/>
      <c r="G7" s="416"/>
      <c r="H7" s="416"/>
      <c r="I7" s="416"/>
      <c r="J7" s="416"/>
      <c r="K7" s="416"/>
      <c r="L7" s="416"/>
      <c r="M7" s="416"/>
      <c r="N7" s="416"/>
      <c r="O7" s="416"/>
      <c r="P7" s="416"/>
    </row>
    <row r="8" spans="1:17" ht="25.5" customHeight="1" x14ac:dyDescent="0.25">
      <c r="A8" s="460" t="s">
        <v>949</v>
      </c>
      <c r="B8" s="420"/>
      <c r="C8" s="421"/>
      <c r="D8" s="421"/>
      <c r="E8" s="421"/>
      <c r="F8" s="421"/>
      <c r="G8" s="421"/>
      <c r="H8" s="421"/>
      <c r="I8" s="421"/>
      <c r="J8" s="421"/>
      <c r="K8" s="421"/>
      <c r="L8" s="461"/>
      <c r="M8" s="461"/>
      <c r="N8" s="461"/>
      <c r="O8" s="461"/>
      <c r="P8" s="461"/>
      <c r="Q8" s="260"/>
    </row>
    <row r="9" spans="1:17" ht="60" x14ac:dyDescent="0.25">
      <c r="A9" s="462" t="s">
        <v>902</v>
      </c>
      <c r="B9" s="463" t="s">
        <v>925</v>
      </c>
      <c r="C9" s="463" t="s">
        <v>926</v>
      </c>
      <c r="D9" s="463" t="s">
        <v>927</v>
      </c>
      <c r="E9" s="463" t="s">
        <v>928</v>
      </c>
      <c r="F9" s="463" t="s">
        <v>859</v>
      </c>
      <c r="G9" s="463" t="s">
        <v>882</v>
      </c>
      <c r="H9" s="463" t="s">
        <v>883</v>
      </c>
      <c r="I9" s="463" t="s">
        <v>884</v>
      </c>
      <c r="J9" s="450" t="s">
        <v>929</v>
      </c>
      <c r="K9" s="396" t="s">
        <v>903</v>
      </c>
      <c r="L9" s="396" t="s">
        <v>904</v>
      </c>
      <c r="M9" s="397" t="s">
        <v>905</v>
      </c>
      <c r="N9" s="397" t="s">
        <v>889</v>
      </c>
      <c r="O9" s="397" t="s">
        <v>906</v>
      </c>
      <c r="P9" s="397" t="s">
        <v>907</v>
      </c>
      <c r="Q9" s="397" t="s">
        <v>908</v>
      </c>
    </row>
    <row r="10" spans="1:17" ht="15.75" x14ac:dyDescent="0.25">
      <c r="A10" s="428" t="s">
        <v>915</v>
      </c>
      <c r="B10" s="429">
        <v>23</v>
      </c>
      <c r="C10" s="429">
        <v>12</v>
      </c>
      <c r="D10" s="429">
        <v>18</v>
      </c>
      <c r="E10" s="429">
        <v>22</v>
      </c>
      <c r="F10" s="429">
        <v>15</v>
      </c>
      <c r="G10" s="429">
        <v>17</v>
      </c>
      <c r="H10" s="429">
        <v>26</v>
      </c>
      <c r="I10" s="429">
        <v>33</v>
      </c>
      <c r="J10" s="429">
        <v>30</v>
      </c>
      <c r="K10" s="429">
        <v>34</v>
      </c>
      <c r="L10" s="429">
        <v>23</v>
      </c>
      <c r="M10" s="464">
        <v>28</v>
      </c>
      <c r="N10" s="464">
        <v>29</v>
      </c>
      <c r="O10" s="464">
        <v>26</v>
      </c>
      <c r="P10" s="464">
        <v>17</v>
      </c>
      <c r="Q10" s="465">
        <v>-34.615384615384599</v>
      </c>
    </row>
    <row r="11" spans="1:17" ht="15.75" x14ac:dyDescent="0.25">
      <c r="A11" s="428" t="s">
        <v>916</v>
      </c>
      <c r="B11" s="429">
        <v>110</v>
      </c>
      <c r="C11" s="429">
        <v>80</v>
      </c>
      <c r="D11" s="429">
        <v>84</v>
      </c>
      <c r="E11" s="429">
        <v>84</v>
      </c>
      <c r="F11" s="429">
        <v>154</v>
      </c>
      <c r="G11" s="429">
        <v>135</v>
      </c>
      <c r="H11" s="429">
        <v>111</v>
      </c>
      <c r="I11" s="429">
        <v>117</v>
      </c>
      <c r="J11" s="429">
        <v>240</v>
      </c>
      <c r="K11" s="429">
        <v>189</v>
      </c>
      <c r="L11" s="429">
        <v>256</v>
      </c>
      <c r="M11" s="464">
        <v>378</v>
      </c>
      <c r="N11" s="464">
        <v>348</v>
      </c>
      <c r="O11" s="464">
        <v>389</v>
      </c>
      <c r="P11" s="464">
        <v>327</v>
      </c>
      <c r="Q11" s="465">
        <v>-15.9383033419023</v>
      </c>
    </row>
    <row r="12" spans="1:17" ht="15.75" x14ac:dyDescent="0.25">
      <c r="A12" s="386" t="s">
        <v>933</v>
      </c>
      <c r="B12" s="429">
        <v>812</v>
      </c>
      <c r="C12" s="429">
        <v>729</v>
      </c>
      <c r="D12" s="429">
        <v>643</v>
      </c>
      <c r="E12" s="429">
        <v>636</v>
      </c>
      <c r="F12" s="429">
        <v>806</v>
      </c>
      <c r="G12" s="429">
        <v>897</v>
      </c>
      <c r="H12" s="429">
        <v>734</v>
      </c>
      <c r="I12" s="429">
        <v>789</v>
      </c>
      <c r="J12" s="429">
        <v>1168</v>
      </c>
      <c r="K12" s="429">
        <v>1215</v>
      </c>
      <c r="L12" s="429">
        <v>1382</v>
      </c>
      <c r="M12" s="464">
        <v>1703</v>
      </c>
      <c r="N12" s="464">
        <v>1502</v>
      </c>
      <c r="O12" s="464">
        <v>1594</v>
      </c>
      <c r="P12" s="464">
        <v>1453</v>
      </c>
      <c r="Q12" s="465">
        <v>-8.8456712672521896</v>
      </c>
    </row>
    <row r="13" spans="1:17" ht="15.75" x14ac:dyDescent="0.25">
      <c r="A13" s="385" t="s">
        <v>777</v>
      </c>
      <c r="B13" s="429">
        <v>1061</v>
      </c>
      <c r="C13" s="429">
        <v>888</v>
      </c>
      <c r="D13" s="429">
        <v>818</v>
      </c>
      <c r="E13" s="429">
        <v>859</v>
      </c>
      <c r="F13" s="429">
        <v>735</v>
      </c>
      <c r="G13" s="429">
        <v>696</v>
      </c>
      <c r="H13" s="429">
        <v>730</v>
      </c>
      <c r="I13" s="429">
        <v>947</v>
      </c>
      <c r="J13" s="429">
        <v>1641</v>
      </c>
      <c r="K13" s="429">
        <v>1692</v>
      </c>
      <c r="L13" s="429">
        <v>1346</v>
      </c>
      <c r="M13" s="464">
        <v>1441</v>
      </c>
      <c r="N13" s="464">
        <v>1386</v>
      </c>
      <c r="O13" s="464">
        <v>1288</v>
      </c>
      <c r="P13" s="464">
        <v>1297</v>
      </c>
      <c r="Q13" s="465">
        <v>0.69875776397515499</v>
      </c>
    </row>
    <row r="14" spans="1:17" ht="15.75" x14ac:dyDescent="0.25">
      <c r="A14" s="385" t="s">
        <v>502</v>
      </c>
      <c r="B14" s="429">
        <v>18</v>
      </c>
      <c r="C14" s="429">
        <v>18</v>
      </c>
      <c r="D14" s="429">
        <v>16</v>
      </c>
      <c r="E14" s="429">
        <v>27</v>
      </c>
      <c r="F14" s="429">
        <v>36</v>
      </c>
      <c r="G14" s="429">
        <v>24</v>
      </c>
      <c r="H14" s="429">
        <v>29</v>
      </c>
      <c r="I14" s="429">
        <v>38</v>
      </c>
      <c r="J14" s="429">
        <v>69</v>
      </c>
      <c r="K14" s="429">
        <v>38</v>
      </c>
      <c r="L14" s="429">
        <v>26</v>
      </c>
      <c r="M14" s="464">
        <v>31</v>
      </c>
      <c r="N14" s="464">
        <v>40</v>
      </c>
      <c r="O14" s="464">
        <v>67</v>
      </c>
      <c r="P14" s="464">
        <v>57</v>
      </c>
      <c r="Q14" s="465">
        <v>-14.9253731343284</v>
      </c>
    </row>
    <row r="15" spans="1:17" ht="15.75" x14ac:dyDescent="0.25">
      <c r="A15" s="385" t="s">
        <v>917</v>
      </c>
      <c r="B15" s="429">
        <v>8</v>
      </c>
      <c r="C15" s="429">
        <v>1</v>
      </c>
      <c r="D15" s="429">
        <v>7</v>
      </c>
      <c r="E15" s="429">
        <v>5</v>
      </c>
      <c r="F15" s="429">
        <v>7</v>
      </c>
      <c r="G15" s="429">
        <v>14</v>
      </c>
      <c r="H15" s="429">
        <v>13</v>
      </c>
      <c r="I15" s="429">
        <v>11</v>
      </c>
      <c r="J15" s="429">
        <v>12</v>
      </c>
      <c r="K15" s="429">
        <v>8</v>
      </c>
      <c r="L15" s="429">
        <v>10</v>
      </c>
      <c r="M15" s="464">
        <v>16</v>
      </c>
      <c r="N15" s="464">
        <v>18</v>
      </c>
      <c r="O15" s="464">
        <v>24</v>
      </c>
      <c r="P15" s="464">
        <v>18</v>
      </c>
      <c r="Q15" s="465">
        <v>-25</v>
      </c>
    </row>
    <row r="16" spans="1:17" ht="15.75" x14ac:dyDescent="0.25">
      <c r="A16" s="380" t="s">
        <v>918</v>
      </c>
      <c r="B16" s="432">
        <v>2032</v>
      </c>
      <c r="C16" s="432">
        <v>1728</v>
      </c>
      <c r="D16" s="432">
        <v>1586</v>
      </c>
      <c r="E16" s="432">
        <v>1633</v>
      </c>
      <c r="F16" s="432">
        <v>1753</v>
      </c>
      <c r="G16" s="432">
        <v>1783</v>
      </c>
      <c r="H16" s="432">
        <v>1643</v>
      </c>
      <c r="I16" s="432">
        <v>1935</v>
      </c>
      <c r="J16" s="432">
        <v>3160</v>
      </c>
      <c r="K16" s="432">
        <v>3176</v>
      </c>
      <c r="L16" s="432">
        <v>3043</v>
      </c>
      <c r="M16" s="466">
        <v>3597</v>
      </c>
      <c r="N16" s="466">
        <v>3323</v>
      </c>
      <c r="O16" s="466">
        <v>3388</v>
      </c>
      <c r="P16" s="466">
        <v>3169</v>
      </c>
      <c r="Q16" s="467">
        <v>-6.4639905548996497</v>
      </c>
    </row>
    <row r="17" spans="1:17" ht="15.75" x14ac:dyDescent="0.25">
      <c r="A17" s="385" t="s">
        <v>919</v>
      </c>
      <c r="B17" s="429">
        <v>16</v>
      </c>
      <c r="C17" s="429">
        <v>8</v>
      </c>
      <c r="D17" s="429">
        <v>13</v>
      </c>
      <c r="E17" s="429">
        <v>10</v>
      </c>
      <c r="F17" s="429">
        <v>8</v>
      </c>
      <c r="G17" s="429">
        <v>14</v>
      </c>
      <c r="H17" s="429">
        <v>14</v>
      </c>
      <c r="I17" s="429">
        <v>17</v>
      </c>
      <c r="J17" s="429">
        <v>9</v>
      </c>
      <c r="K17" s="429">
        <v>12</v>
      </c>
      <c r="L17" s="429">
        <v>13</v>
      </c>
      <c r="M17" s="464">
        <v>21</v>
      </c>
      <c r="N17" s="464">
        <v>15</v>
      </c>
      <c r="O17" s="464">
        <v>11</v>
      </c>
      <c r="P17" s="464">
        <v>11</v>
      </c>
      <c r="Q17" s="465">
        <v>0</v>
      </c>
    </row>
    <row r="18" spans="1:17" ht="15.75" x14ac:dyDescent="0.25">
      <c r="A18" s="468" t="s">
        <v>920</v>
      </c>
      <c r="B18" s="469">
        <v>2048</v>
      </c>
      <c r="C18" s="469">
        <v>1736</v>
      </c>
      <c r="D18" s="469">
        <v>1599</v>
      </c>
      <c r="E18" s="469">
        <v>1643</v>
      </c>
      <c r="F18" s="469">
        <v>1761</v>
      </c>
      <c r="G18" s="469">
        <v>1797</v>
      </c>
      <c r="H18" s="469">
        <v>1657</v>
      </c>
      <c r="I18" s="469">
        <v>1952</v>
      </c>
      <c r="J18" s="469">
        <v>3169</v>
      </c>
      <c r="K18" s="469">
        <v>3188</v>
      </c>
      <c r="L18" s="469">
        <v>3056</v>
      </c>
      <c r="M18" s="470">
        <v>3618</v>
      </c>
      <c r="N18" s="470">
        <v>3338</v>
      </c>
      <c r="O18" s="470">
        <v>3399</v>
      </c>
      <c r="P18" s="470">
        <v>3180</v>
      </c>
      <c r="Q18" s="471">
        <v>-6.4430714916151803</v>
      </c>
    </row>
    <row r="19" spans="1:17" ht="24.75" customHeight="1" x14ac:dyDescent="0.25">
      <c r="A19" s="434" t="s">
        <v>950</v>
      </c>
      <c r="B19" s="429">
        <v>769.39231156181006</v>
      </c>
      <c r="C19" s="472">
        <v>646.46199838682412</v>
      </c>
      <c r="D19" s="472">
        <v>591.73809279741101</v>
      </c>
      <c r="E19" s="472">
        <v>605.16902006081898</v>
      </c>
      <c r="F19" s="472">
        <v>644.38129515883395</v>
      </c>
      <c r="G19" s="472">
        <v>651.99360560083198</v>
      </c>
      <c r="H19" s="472">
        <v>595.58447972263104</v>
      </c>
      <c r="I19" s="472">
        <v>697.44200994783796</v>
      </c>
      <c r="J19" s="472">
        <v>1126.7279131640901</v>
      </c>
      <c r="K19" s="472">
        <v>1124.24295214632</v>
      </c>
      <c r="L19" s="472">
        <v>1072.9259631933</v>
      </c>
      <c r="M19" s="464">
        <v>1261.33607494386</v>
      </c>
      <c r="N19" s="473">
        <v>1146.39199050466</v>
      </c>
      <c r="O19" s="473">
        <v>1167.3416344294001</v>
      </c>
      <c r="P19" s="473">
        <v>1092.12897837172</v>
      </c>
      <c r="Q19" s="474">
        <v>-6.4430714916151901</v>
      </c>
    </row>
    <row r="20" spans="1:17" ht="15.75" x14ac:dyDescent="0.25">
      <c r="A20" s="416"/>
      <c r="B20" s="472"/>
      <c r="C20" s="472"/>
      <c r="D20" s="472"/>
      <c r="E20" s="472"/>
      <c r="F20" s="472"/>
      <c r="G20" s="472"/>
      <c r="H20" s="472"/>
      <c r="I20" s="472"/>
      <c r="J20" s="472"/>
      <c r="K20" s="472"/>
      <c r="L20" s="472"/>
      <c r="M20" s="472"/>
      <c r="N20" s="472"/>
      <c r="O20" s="472"/>
      <c r="P20" s="472"/>
    </row>
    <row r="21" spans="1:17" ht="27.75" customHeight="1" x14ac:dyDescent="0.25">
      <c r="A21" s="460" t="s">
        <v>951</v>
      </c>
      <c r="B21" s="475"/>
      <c r="C21" s="475"/>
      <c r="D21" s="475"/>
      <c r="E21" s="475"/>
      <c r="F21" s="475"/>
      <c r="G21" s="475"/>
      <c r="H21" s="475"/>
      <c r="I21" s="475"/>
      <c r="J21" s="475"/>
      <c r="K21" s="475"/>
      <c r="L21" s="475"/>
      <c r="M21" s="475"/>
      <c r="N21" s="476"/>
      <c r="O21" s="476"/>
      <c r="P21" s="476"/>
    </row>
    <row r="22" spans="1:17" ht="45" x14ac:dyDescent="0.25">
      <c r="A22" s="462" t="s">
        <v>902</v>
      </c>
      <c r="B22" s="463" t="s">
        <v>952</v>
      </c>
      <c r="C22" s="463" t="s">
        <v>953</v>
      </c>
      <c r="D22" s="463" t="s">
        <v>954</v>
      </c>
      <c r="E22" s="463" t="s">
        <v>955</v>
      </c>
      <c r="F22" s="463" t="s">
        <v>956</v>
      </c>
      <c r="G22" s="463" t="s">
        <v>957</v>
      </c>
      <c r="H22" s="463" t="s">
        <v>958</v>
      </c>
      <c r="I22" s="463" t="s">
        <v>959</v>
      </c>
      <c r="J22" s="450" t="s">
        <v>960</v>
      </c>
      <c r="K22" s="138" t="s">
        <v>946</v>
      </c>
      <c r="L22" s="396" t="s">
        <v>910</v>
      </c>
      <c r="M22" s="397" t="s">
        <v>911</v>
      </c>
      <c r="N22" s="397" t="s">
        <v>912</v>
      </c>
      <c r="O22" s="397" t="s">
        <v>913</v>
      </c>
      <c r="P22" s="397" t="s">
        <v>914</v>
      </c>
    </row>
    <row r="23" spans="1:17" ht="15.75" x14ac:dyDescent="0.25">
      <c r="A23" s="428" t="s">
        <v>915</v>
      </c>
      <c r="B23" s="477">
        <v>60.526315789473685</v>
      </c>
      <c r="C23" s="477">
        <v>29.268292682926827</v>
      </c>
      <c r="D23" s="477">
        <v>47.368421052631575</v>
      </c>
      <c r="E23" s="477">
        <v>51.162790697674424</v>
      </c>
      <c r="F23" s="477">
        <v>32.6086956521739</v>
      </c>
      <c r="G23" s="477">
        <v>34.6938775510204</v>
      </c>
      <c r="H23" s="477">
        <v>41.935483870967701</v>
      </c>
      <c r="I23" s="477">
        <v>6.7209775967413403</v>
      </c>
      <c r="J23" s="477">
        <v>30.927835051546399</v>
      </c>
      <c r="K23" s="477">
        <v>57.627118644067799</v>
      </c>
      <c r="L23" s="477">
        <v>34.328358208955201</v>
      </c>
      <c r="M23" s="478">
        <v>34.146341463414601</v>
      </c>
      <c r="N23" s="478">
        <v>58</v>
      </c>
      <c r="O23" s="478">
        <v>54.1666666666667</v>
      </c>
      <c r="P23" s="478">
        <v>51.515151515151501</v>
      </c>
    </row>
    <row r="24" spans="1:17" ht="15.75" x14ac:dyDescent="0.25">
      <c r="A24" s="428" t="s">
        <v>916</v>
      </c>
      <c r="B24" s="477">
        <v>14.341590612777052</v>
      </c>
      <c r="C24" s="477">
        <v>11.904761904761903</v>
      </c>
      <c r="D24" s="477">
        <v>14.762741652021088</v>
      </c>
      <c r="E24" s="477">
        <v>11.413043478260869</v>
      </c>
      <c r="F24" s="477">
        <v>11.2737920937042</v>
      </c>
      <c r="G24" s="477">
        <v>8.1768625075711707</v>
      </c>
      <c r="H24" s="477">
        <v>5.7010785824345103</v>
      </c>
      <c r="I24" s="477">
        <v>4.6950240770465497</v>
      </c>
      <c r="J24" s="477">
        <v>10.480349344978199</v>
      </c>
      <c r="K24" s="477">
        <v>9.8386257157730306</v>
      </c>
      <c r="L24" s="477">
        <v>10.582885489871799</v>
      </c>
      <c r="M24" s="478">
        <v>10.924855491329501</v>
      </c>
      <c r="N24" s="478">
        <v>10.394265232974901</v>
      </c>
      <c r="O24" s="478">
        <v>11.203917050691199</v>
      </c>
      <c r="P24" s="478">
        <v>8.7997847147470392</v>
      </c>
    </row>
    <row r="25" spans="1:17" ht="15.75" x14ac:dyDescent="0.25">
      <c r="A25" s="386" t="s">
        <v>933</v>
      </c>
      <c r="B25" s="477">
        <v>4.4787644787644787</v>
      </c>
      <c r="C25" s="477">
        <v>4.3264094955489618</v>
      </c>
      <c r="D25" s="477">
        <v>4.3235610543302849</v>
      </c>
      <c r="E25" s="477">
        <v>4.4634711207804063</v>
      </c>
      <c r="F25" s="477">
        <v>4.3714068771016397</v>
      </c>
      <c r="G25" s="477">
        <v>4.2863286663162397</v>
      </c>
      <c r="H25" s="477">
        <v>3.2490814926298102</v>
      </c>
      <c r="I25" s="477">
        <v>2.9591568840715601</v>
      </c>
      <c r="J25" s="477">
        <v>4.1551049448594801</v>
      </c>
      <c r="K25" s="477">
        <v>4.88265552162032</v>
      </c>
      <c r="L25" s="477">
        <v>6.2420957542908804</v>
      </c>
      <c r="M25" s="478">
        <v>5.6332903311170703</v>
      </c>
      <c r="N25" s="478">
        <v>4.9832454132245099</v>
      </c>
      <c r="O25" s="478">
        <v>5.6736074034525696</v>
      </c>
      <c r="P25" s="478">
        <v>5.3466293788636996</v>
      </c>
    </row>
    <row r="26" spans="1:17" ht="15.75" x14ac:dyDescent="0.25">
      <c r="A26" s="385" t="s">
        <v>777</v>
      </c>
      <c r="B26" s="477">
        <v>21.759639048400327</v>
      </c>
      <c r="C26" s="477">
        <v>21.147892355322696</v>
      </c>
      <c r="D26" s="477">
        <v>20.5889755852001</v>
      </c>
      <c r="E26" s="477">
        <v>22.031290074378045</v>
      </c>
      <c r="F26" s="477">
        <v>20.7920792079208</v>
      </c>
      <c r="G26" s="477">
        <v>19.739081111741299</v>
      </c>
      <c r="H26" s="477">
        <v>15.5352202596297</v>
      </c>
      <c r="I26" s="477">
        <v>13.6337460408868</v>
      </c>
      <c r="J26" s="477">
        <v>21.575072311333201</v>
      </c>
      <c r="K26" s="477">
        <v>24.827586206896601</v>
      </c>
      <c r="L26" s="477">
        <v>30.8150183150183</v>
      </c>
      <c r="M26" s="478">
        <v>26.8592730661696</v>
      </c>
      <c r="N26" s="478">
        <v>27.123287671232902</v>
      </c>
      <c r="O26" s="478">
        <v>28.134556574923501</v>
      </c>
      <c r="P26" s="478">
        <v>28.2509257242431</v>
      </c>
    </row>
    <row r="27" spans="1:17" ht="15.75" x14ac:dyDescent="0.25">
      <c r="A27" s="385" t="s">
        <v>502</v>
      </c>
      <c r="B27" s="477">
        <v>2.1377672209026128</v>
      </c>
      <c r="C27" s="477">
        <v>2.3195876288659796</v>
      </c>
      <c r="D27" s="477">
        <v>1.6666666666666667</v>
      </c>
      <c r="E27" s="477">
        <v>2.5543992431409648</v>
      </c>
      <c r="F27" s="477">
        <v>2.0905923344947701</v>
      </c>
      <c r="G27" s="477">
        <v>1.2060301507537701</v>
      </c>
      <c r="H27" s="477">
        <v>1.3134057971014499</v>
      </c>
      <c r="I27" s="477">
        <v>1.0328893721119901</v>
      </c>
      <c r="J27" s="477">
        <v>1.81914052201424</v>
      </c>
      <c r="K27" s="477">
        <v>1.1504692703602799</v>
      </c>
      <c r="L27" s="477">
        <v>0.81838212149826906</v>
      </c>
      <c r="M27" s="478">
        <v>0.79855744461617695</v>
      </c>
      <c r="N27" s="478">
        <v>1.02118968598417</v>
      </c>
      <c r="O27" s="478">
        <v>1.71971252566735</v>
      </c>
      <c r="P27" s="478">
        <v>1.5510204081632699</v>
      </c>
    </row>
    <row r="28" spans="1:17" ht="15.75" x14ac:dyDescent="0.25">
      <c r="A28" s="385" t="s">
        <v>917</v>
      </c>
      <c r="B28" s="477">
        <v>0.61538461538461542</v>
      </c>
      <c r="C28" s="477">
        <v>8.8105726872246701E-2</v>
      </c>
      <c r="D28" s="477">
        <v>0.61511423550087874</v>
      </c>
      <c r="E28" s="477">
        <v>0.37230081906180196</v>
      </c>
      <c r="F28" s="477">
        <v>0.37573805689747702</v>
      </c>
      <c r="G28" s="477">
        <v>0.65635255508673196</v>
      </c>
      <c r="H28" s="477">
        <v>0.51607780865422803</v>
      </c>
      <c r="I28" s="477">
        <v>0.33536585365853699</v>
      </c>
      <c r="J28" s="477">
        <v>0.35118525021949099</v>
      </c>
      <c r="K28" s="477">
        <v>0.25188916876574302</v>
      </c>
      <c r="L28" s="477">
        <v>0.348310693138279</v>
      </c>
      <c r="M28" s="478">
        <v>0.36714089031665897</v>
      </c>
      <c r="N28" s="478">
        <v>0.35495957404851097</v>
      </c>
      <c r="O28" s="478">
        <v>0.507399577167019</v>
      </c>
      <c r="P28" s="478">
        <v>0.38232795242140999</v>
      </c>
    </row>
    <row r="29" spans="1:17" ht="15.75" x14ac:dyDescent="0.25">
      <c r="A29" s="380" t="s">
        <v>918</v>
      </c>
      <c r="B29" s="479">
        <v>7.8295380110199204</v>
      </c>
      <c r="C29" s="479">
        <v>7.2994550754023573</v>
      </c>
      <c r="D29" s="479">
        <v>7.3596287703016241</v>
      </c>
      <c r="E29" s="479">
        <v>7.6569606601959954</v>
      </c>
      <c r="F29" s="479">
        <v>6.4998146088246198</v>
      </c>
      <c r="G29" s="479">
        <v>5.8891531245871303</v>
      </c>
      <c r="H29" s="479">
        <v>4.8286604361370697</v>
      </c>
      <c r="I29" s="479">
        <v>4.44306674932837</v>
      </c>
      <c r="J29" s="479">
        <v>6.9737161520976301</v>
      </c>
      <c r="K29" s="479">
        <v>7.9087603964340802</v>
      </c>
      <c r="L29" s="479">
        <v>8.6838650761942802</v>
      </c>
      <c r="M29" s="480">
        <v>7.59213136898983</v>
      </c>
      <c r="N29" s="480">
        <v>6.9756701723450298</v>
      </c>
      <c r="O29" s="480">
        <v>7.55929404939869</v>
      </c>
      <c r="P29" s="480">
        <v>7.2188432538326603</v>
      </c>
    </row>
    <row r="30" spans="1:17" ht="15.75" x14ac:dyDescent="0.25">
      <c r="A30" s="385" t="s">
        <v>919</v>
      </c>
      <c r="B30" s="477">
        <v>48.484848484848484</v>
      </c>
      <c r="C30" s="477">
        <v>24.242424242424242</v>
      </c>
      <c r="D30" s="477">
        <v>30.952380952380953</v>
      </c>
      <c r="E30" s="477">
        <v>33.333333333333329</v>
      </c>
      <c r="F30" s="477">
        <v>23.529411764705898</v>
      </c>
      <c r="G30" s="477">
        <v>40</v>
      </c>
      <c r="H30" s="477">
        <v>28</v>
      </c>
      <c r="I30" s="477">
        <v>21.518987341772199</v>
      </c>
      <c r="J30" s="477">
        <v>16.363636363636399</v>
      </c>
      <c r="K30" s="477">
        <v>34.285714285714299</v>
      </c>
      <c r="L30" s="477">
        <v>29.545454545454501</v>
      </c>
      <c r="M30" s="478">
        <v>41.176470588235297</v>
      </c>
      <c r="N30" s="478">
        <v>48.387096774193601</v>
      </c>
      <c r="O30" s="478">
        <v>33.3333333333333</v>
      </c>
      <c r="P30" s="478">
        <v>40.740740740740698</v>
      </c>
    </row>
    <row r="31" spans="1:17" ht="15.75" x14ac:dyDescent="0.25">
      <c r="A31" s="419" t="s">
        <v>920</v>
      </c>
      <c r="B31" s="481">
        <v>7.8811667821134455</v>
      </c>
      <c r="C31" s="481">
        <v>7.3230405804437693</v>
      </c>
      <c r="D31" s="481">
        <v>7.4055205631715459</v>
      </c>
      <c r="E31" s="481">
        <v>7.6930280470103476</v>
      </c>
      <c r="F31" s="481">
        <v>6.5212561102058997</v>
      </c>
      <c r="G31" s="481">
        <v>5.9285407937712398</v>
      </c>
      <c r="H31" s="481">
        <v>4.86265993661228</v>
      </c>
      <c r="I31" s="481">
        <v>4.4739857895943196</v>
      </c>
      <c r="J31" s="481">
        <v>6.9850996296949397</v>
      </c>
      <c r="K31" s="481">
        <v>7.9317294056178902</v>
      </c>
      <c r="L31" s="481">
        <v>8.7100267913127691</v>
      </c>
      <c r="M31" s="482">
        <v>7.6282443230934698</v>
      </c>
      <c r="N31" s="482">
        <v>7.0026013258370403</v>
      </c>
      <c r="O31" s="482">
        <v>7.5782573798269901</v>
      </c>
      <c r="P31" s="482">
        <v>7.2394481628192899</v>
      </c>
    </row>
  </sheetData>
  <hyperlinks>
    <hyperlink ref="A5" location="'Notes_B1 to B10'!A1" display="Link to Notes page" xr:uid="{D69EB61C-DB5E-4CFB-8142-9DC4BE1171E5}"/>
    <hyperlink ref="A3" location="'Table of contents'!A1" display="Link to table of contents" xr:uid="{2AD6D1B4-2E8F-49D4-88F1-5071233D5639}"/>
  </hyperlinks>
  <pageMargins left="0.7" right="0.7" top="0.75" bottom="0.75" header="0.3" footer="0.3"/>
  <pageSetup paperSize="9" orientation="portrait"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DB57-3DCE-44BB-A476-9BA8D555FA4A}">
  <dimension ref="A1:P15"/>
  <sheetViews>
    <sheetView showGridLines="0" workbookViewId="0"/>
  </sheetViews>
  <sheetFormatPr defaultColWidth="9.140625" defaultRowHeight="15" customHeight="1" x14ac:dyDescent="0.25"/>
  <cols>
    <col min="1" max="1" width="37.42578125" customWidth="1"/>
    <col min="2" max="2" width="18.85546875" customWidth="1"/>
    <col min="3" max="15" width="16.42578125" customWidth="1"/>
    <col min="16" max="16" width="27.5703125" customWidth="1"/>
  </cols>
  <sheetData>
    <row r="1" spans="1:16" ht="18" x14ac:dyDescent="0.25">
      <c r="A1" s="846" t="s">
        <v>1499</v>
      </c>
      <c r="B1" s="576"/>
      <c r="C1" s="577"/>
      <c r="D1" s="577"/>
      <c r="E1" s="577"/>
      <c r="F1" s="577"/>
      <c r="G1" s="577"/>
      <c r="H1" s="577"/>
      <c r="I1" s="577"/>
      <c r="J1" s="577"/>
      <c r="K1" s="577"/>
      <c r="L1" s="577"/>
      <c r="M1" s="577"/>
      <c r="N1" s="577"/>
      <c r="O1" s="577"/>
      <c r="P1" s="577"/>
    </row>
    <row r="2" spans="1:16" ht="22.5" customHeight="1" x14ac:dyDescent="0.25">
      <c r="A2" s="129" t="s">
        <v>368</v>
      </c>
      <c r="B2" s="505"/>
      <c r="C2" s="505"/>
      <c r="D2" s="505"/>
      <c r="E2" s="505"/>
      <c r="F2" s="429"/>
      <c r="G2" s="500"/>
      <c r="H2" s="506"/>
      <c r="I2" s="506"/>
      <c r="J2" s="199"/>
      <c r="K2" s="199"/>
    </row>
    <row r="3" spans="1:16" ht="22.5" customHeight="1" x14ac:dyDescent="0.25">
      <c r="A3" s="854" t="s">
        <v>961</v>
      </c>
      <c r="B3" s="578"/>
      <c r="C3" s="577"/>
      <c r="D3" s="577"/>
      <c r="E3" s="577"/>
      <c r="F3" s="577"/>
      <c r="G3" s="577"/>
      <c r="H3" s="577"/>
      <c r="I3" s="577"/>
      <c r="J3" s="577"/>
      <c r="K3" s="577"/>
      <c r="L3" s="577"/>
      <c r="M3" s="577"/>
      <c r="N3" s="577"/>
      <c r="O3" s="577"/>
      <c r="P3" s="577"/>
    </row>
    <row r="4" spans="1:16" ht="22.5" customHeight="1" x14ac:dyDescent="0.25">
      <c r="A4" s="129" t="s">
        <v>370</v>
      </c>
      <c r="B4" s="501"/>
      <c r="C4" s="501"/>
      <c r="D4" s="501"/>
      <c r="E4" s="501"/>
      <c r="F4" s="501"/>
      <c r="G4" s="500"/>
      <c r="H4" s="500"/>
      <c r="I4" s="500"/>
      <c r="J4" s="199"/>
      <c r="K4" s="199"/>
    </row>
    <row r="5" spans="1:16" ht="24" customHeight="1" x14ac:dyDescent="0.25">
      <c r="A5" s="579" t="s">
        <v>962</v>
      </c>
      <c r="B5" s="579"/>
      <c r="C5" s="580"/>
      <c r="D5" s="581"/>
      <c r="E5" s="581"/>
      <c r="F5" s="581"/>
      <c r="G5" s="581"/>
      <c r="H5" s="581"/>
      <c r="I5" s="581"/>
      <c r="J5" s="581"/>
      <c r="K5" s="581"/>
      <c r="L5" s="581"/>
      <c r="M5" s="581"/>
      <c r="N5" s="581"/>
      <c r="O5" s="581"/>
      <c r="P5" s="723"/>
    </row>
    <row r="6" spans="1:16" ht="72" customHeight="1" x14ac:dyDescent="0.25">
      <c r="A6" s="582" t="s">
        <v>963</v>
      </c>
      <c r="B6" s="582" t="s">
        <v>964</v>
      </c>
      <c r="C6" s="583" t="s">
        <v>764</v>
      </c>
      <c r="D6" s="583" t="s">
        <v>122</v>
      </c>
      <c r="E6" s="724" t="s">
        <v>123</v>
      </c>
      <c r="F6" s="724" t="s">
        <v>124</v>
      </c>
      <c r="G6" s="724" t="s">
        <v>125</v>
      </c>
      <c r="H6" s="724" t="s">
        <v>126</v>
      </c>
      <c r="I6" s="724" t="s">
        <v>127</v>
      </c>
      <c r="J6" s="724" t="s">
        <v>930</v>
      </c>
      <c r="K6" s="724" t="s">
        <v>931</v>
      </c>
      <c r="L6" s="724" t="s">
        <v>965</v>
      </c>
      <c r="M6" s="724" t="s">
        <v>966</v>
      </c>
      <c r="N6" s="724" t="s">
        <v>967</v>
      </c>
      <c r="O6" s="724" t="s">
        <v>968</v>
      </c>
      <c r="P6" s="584" t="s">
        <v>969</v>
      </c>
    </row>
    <row r="7" spans="1:16" ht="15.75" x14ac:dyDescent="0.25">
      <c r="A7" s="579" t="s">
        <v>970</v>
      </c>
      <c r="B7" s="579" t="s">
        <v>971</v>
      </c>
      <c r="C7" s="725">
        <v>1528</v>
      </c>
      <c r="D7" s="725">
        <v>1447</v>
      </c>
      <c r="E7" s="725">
        <v>1400</v>
      </c>
      <c r="F7" s="725">
        <v>1571</v>
      </c>
      <c r="G7" s="725">
        <v>1796</v>
      </c>
      <c r="H7" s="725">
        <v>2084</v>
      </c>
      <c r="I7" s="725">
        <v>2017</v>
      </c>
      <c r="J7" s="725">
        <v>1806</v>
      </c>
      <c r="K7" s="725">
        <v>1616</v>
      </c>
      <c r="L7" s="725">
        <v>1569</v>
      </c>
      <c r="M7" s="725">
        <v>1420</v>
      </c>
      <c r="N7" s="726">
        <v>1320</v>
      </c>
      <c r="O7" s="725">
        <v>1218</v>
      </c>
      <c r="P7" s="727">
        <v>-7.7272727272727266</v>
      </c>
    </row>
    <row r="8" spans="1:16" ht="15.75" x14ac:dyDescent="0.25">
      <c r="A8" s="579" t="s">
        <v>970</v>
      </c>
      <c r="B8" s="579" t="s">
        <v>972</v>
      </c>
      <c r="C8" s="725">
        <v>2311</v>
      </c>
      <c r="D8" s="725">
        <v>2219</v>
      </c>
      <c r="E8" s="725">
        <v>2176</v>
      </c>
      <c r="F8" s="725">
        <v>2466</v>
      </c>
      <c r="G8" s="725">
        <v>2527</v>
      </c>
      <c r="H8" s="725">
        <v>2836</v>
      </c>
      <c r="I8" s="725">
        <v>3022</v>
      </c>
      <c r="J8" s="725">
        <v>2845</v>
      </c>
      <c r="K8" s="725">
        <v>2381</v>
      </c>
      <c r="L8" s="725">
        <v>2513</v>
      </c>
      <c r="M8" s="725">
        <v>2270</v>
      </c>
      <c r="N8" s="726">
        <v>2408</v>
      </c>
      <c r="O8" s="725">
        <v>2138</v>
      </c>
      <c r="P8" s="727">
        <v>-11.212624584717608</v>
      </c>
    </row>
    <row r="9" spans="1:16" ht="15.75" x14ac:dyDescent="0.25">
      <c r="A9" s="579" t="s">
        <v>970</v>
      </c>
      <c r="B9" s="579" t="s">
        <v>973</v>
      </c>
      <c r="C9" s="725">
        <v>3849</v>
      </c>
      <c r="D9" s="725">
        <v>3676</v>
      </c>
      <c r="E9" s="725">
        <v>3590</v>
      </c>
      <c r="F9" s="725">
        <v>4054</v>
      </c>
      <c r="G9" s="725">
        <v>4351</v>
      </c>
      <c r="H9" s="725">
        <v>4986</v>
      </c>
      <c r="I9" s="725">
        <v>5071</v>
      </c>
      <c r="J9" s="725">
        <v>4674</v>
      </c>
      <c r="K9" s="725">
        <v>4014</v>
      </c>
      <c r="L9" s="725">
        <v>4112</v>
      </c>
      <c r="M9" s="725">
        <v>3715</v>
      </c>
      <c r="N9" s="726">
        <v>3769</v>
      </c>
      <c r="O9" s="726">
        <v>3403</v>
      </c>
      <c r="P9" s="728">
        <v>-9.7107986203236933</v>
      </c>
    </row>
    <row r="10" spans="1:16" ht="31.5" customHeight="1" x14ac:dyDescent="0.25">
      <c r="A10" s="579" t="s">
        <v>974</v>
      </c>
      <c r="B10" s="579" t="s">
        <v>971</v>
      </c>
      <c r="C10" s="585">
        <v>34</v>
      </c>
      <c r="D10" s="585">
        <v>39</v>
      </c>
      <c r="E10" s="585">
        <v>26</v>
      </c>
      <c r="F10" s="585">
        <v>23</v>
      </c>
      <c r="G10" s="585">
        <v>33</v>
      </c>
      <c r="H10" s="585">
        <v>32</v>
      </c>
      <c r="I10" s="585">
        <v>35</v>
      </c>
      <c r="J10" s="585">
        <v>25</v>
      </c>
      <c r="K10" s="585">
        <v>31</v>
      </c>
      <c r="L10" s="585">
        <v>26</v>
      </c>
      <c r="M10" s="585">
        <v>18</v>
      </c>
      <c r="N10" s="585">
        <v>22</v>
      </c>
      <c r="O10" s="585">
        <v>10</v>
      </c>
      <c r="P10" s="727">
        <v>-54.54545454545454</v>
      </c>
    </row>
    <row r="11" spans="1:16" ht="15.75" x14ac:dyDescent="0.25">
      <c r="A11" s="579" t="s">
        <v>974</v>
      </c>
      <c r="B11" s="579" t="s">
        <v>972</v>
      </c>
      <c r="C11" s="585">
        <v>77</v>
      </c>
      <c r="D11" s="585">
        <v>79</v>
      </c>
      <c r="E11" s="585">
        <v>68</v>
      </c>
      <c r="F11" s="585">
        <v>74</v>
      </c>
      <c r="G11" s="585">
        <v>82</v>
      </c>
      <c r="H11" s="585">
        <v>85</v>
      </c>
      <c r="I11" s="585">
        <v>86</v>
      </c>
      <c r="J11" s="585">
        <v>70</v>
      </c>
      <c r="K11" s="585">
        <v>67</v>
      </c>
      <c r="L11" s="585">
        <v>47</v>
      </c>
      <c r="M11" s="585">
        <v>56</v>
      </c>
      <c r="N11" s="585">
        <v>53</v>
      </c>
      <c r="O11" s="585">
        <v>47</v>
      </c>
      <c r="P11" s="727">
        <v>-11.320754716981133</v>
      </c>
    </row>
    <row r="12" spans="1:16" ht="15.75" x14ac:dyDescent="0.25">
      <c r="A12" s="579" t="s">
        <v>974</v>
      </c>
      <c r="B12" s="579" t="s">
        <v>975</v>
      </c>
      <c r="C12" s="585">
        <v>111</v>
      </c>
      <c r="D12" s="585">
        <v>118</v>
      </c>
      <c r="E12" s="585">
        <v>94</v>
      </c>
      <c r="F12" s="585">
        <v>97</v>
      </c>
      <c r="G12" s="585">
        <v>115</v>
      </c>
      <c r="H12" s="585">
        <v>117</v>
      </c>
      <c r="I12" s="585">
        <v>121</v>
      </c>
      <c r="J12" s="585">
        <v>95</v>
      </c>
      <c r="K12" s="585">
        <v>98</v>
      </c>
      <c r="L12" s="585">
        <v>73</v>
      </c>
      <c r="M12" s="585">
        <v>74</v>
      </c>
      <c r="N12" s="585">
        <v>75</v>
      </c>
      <c r="O12" s="585">
        <v>57</v>
      </c>
      <c r="P12" s="727">
        <v>-24</v>
      </c>
    </row>
    <row r="13" spans="1:16" ht="33.75" customHeight="1" x14ac:dyDescent="0.25">
      <c r="A13" s="579" t="s">
        <v>976</v>
      </c>
      <c r="B13" s="579" t="s">
        <v>971</v>
      </c>
      <c r="C13" s="725">
        <v>1562</v>
      </c>
      <c r="D13" s="725">
        <v>1486</v>
      </c>
      <c r="E13" s="725">
        <v>1426</v>
      </c>
      <c r="F13" s="725">
        <v>1594</v>
      </c>
      <c r="G13" s="725">
        <v>1829</v>
      </c>
      <c r="H13" s="725">
        <v>2116</v>
      </c>
      <c r="I13" s="725">
        <v>2052</v>
      </c>
      <c r="J13" s="725">
        <v>1831</v>
      </c>
      <c r="K13" s="725">
        <v>1647</v>
      </c>
      <c r="L13" s="729">
        <v>1595</v>
      </c>
      <c r="M13" s="729">
        <v>1438</v>
      </c>
      <c r="N13" s="730">
        <v>1342</v>
      </c>
      <c r="O13" s="729">
        <v>1228</v>
      </c>
      <c r="P13" s="727">
        <v>-8.49478390461997</v>
      </c>
    </row>
    <row r="14" spans="1:16" ht="15.75" x14ac:dyDescent="0.25">
      <c r="A14" s="579" t="s">
        <v>976</v>
      </c>
      <c r="B14" s="579" t="s">
        <v>972</v>
      </c>
      <c r="C14" s="725">
        <v>2388</v>
      </c>
      <c r="D14" s="725">
        <v>2298</v>
      </c>
      <c r="E14" s="725">
        <v>2244</v>
      </c>
      <c r="F14" s="725">
        <v>2540</v>
      </c>
      <c r="G14" s="725">
        <v>2609</v>
      </c>
      <c r="H14" s="725">
        <v>2921</v>
      </c>
      <c r="I14" s="725">
        <v>3108</v>
      </c>
      <c r="J14" s="725">
        <v>2915</v>
      </c>
      <c r="K14" s="725">
        <v>2448</v>
      </c>
      <c r="L14" s="729">
        <v>2560</v>
      </c>
      <c r="M14" s="729">
        <v>2326</v>
      </c>
      <c r="N14" s="730">
        <v>2461</v>
      </c>
      <c r="O14" s="729">
        <v>2185</v>
      </c>
      <c r="P14" s="727">
        <v>-11.214953271028037</v>
      </c>
    </row>
    <row r="15" spans="1:16" ht="14.25" customHeight="1" x14ac:dyDescent="0.25">
      <c r="A15" s="586" t="s">
        <v>976</v>
      </c>
      <c r="B15" s="586" t="s">
        <v>973</v>
      </c>
      <c r="C15" s="731">
        <v>3960</v>
      </c>
      <c r="D15" s="731">
        <v>3794</v>
      </c>
      <c r="E15" s="731">
        <v>3684</v>
      </c>
      <c r="F15" s="731">
        <v>4151</v>
      </c>
      <c r="G15" s="731">
        <v>4466</v>
      </c>
      <c r="H15" s="731">
        <v>5103</v>
      </c>
      <c r="I15" s="731">
        <v>5192</v>
      </c>
      <c r="J15" s="731">
        <v>4769</v>
      </c>
      <c r="K15" s="731">
        <v>4112</v>
      </c>
      <c r="L15" s="731">
        <v>4185</v>
      </c>
      <c r="M15" s="731">
        <v>3789</v>
      </c>
      <c r="N15" s="732">
        <v>3844</v>
      </c>
      <c r="O15" s="732">
        <v>3460</v>
      </c>
      <c r="P15" s="733">
        <v>-9.9895941727367319</v>
      </c>
    </row>
  </sheetData>
  <hyperlinks>
    <hyperlink ref="A4" location="'Notes_B1 to B10'!A1" display="Link to Notes page" xr:uid="{0471C54A-D1ED-40DC-9428-3880529DF84C}"/>
    <hyperlink ref="A2" location="'Table of contents'!A1" display="Link to table of contents" xr:uid="{E6FFB35D-362C-45D7-92AB-7FD3A3D71D23}"/>
  </hyperlinks>
  <pageMargins left="0.7" right="0.7" top="0.75" bottom="0.75" header="0.3" footer="0.3"/>
  <pageSetup paperSize="9" orientation="portrait"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71848-9BE5-4B8A-BCAF-DC2F51B41DF6}">
  <dimension ref="A1:L26"/>
  <sheetViews>
    <sheetView showGridLines="0" workbookViewId="0"/>
  </sheetViews>
  <sheetFormatPr defaultRowHeight="15" customHeight="1" x14ac:dyDescent="0.25"/>
  <cols>
    <col min="1" max="1" width="41.85546875" customWidth="1"/>
    <col min="2" max="5" width="19.28515625" customWidth="1"/>
    <col min="6" max="9" width="17.85546875" customWidth="1"/>
    <col min="10" max="10" width="20.42578125" customWidth="1"/>
    <col min="11" max="11" width="17.42578125" customWidth="1"/>
    <col min="12" max="12" width="21.28515625" customWidth="1"/>
    <col min="13" max="13" width="9.140625" customWidth="1"/>
    <col min="248" max="252" width="9.140625" customWidth="1"/>
    <col min="504" max="508" width="9.140625" customWidth="1"/>
    <col min="760" max="764" width="9.140625" customWidth="1"/>
    <col min="1016" max="1020" width="9.140625" customWidth="1"/>
    <col min="1272" max="1276" width="9.140625" customWidth="1"/>
    <col min="1528" max="1532" width="9.140625" customWidth="1"/>
    <col min="1784" max="1788" width="9.140625" customWidth="1"/>
    <col min="2040" max="2044" width="9.140625" customWidth="1"/>
    <col min="2296" max="2300" width="9.140625" customWidth="1"/>
    <col min="2552" max="2556" width="9.140625" customWidth="1"/>
    <col min="2808" max="2812" width="9.140625" customWidth="1"/>
    <col min="3064" max="3068" width="9.140625" customWidth="1"/>
    <col min="3320" max="3324" width="9.140625" customWidth="1"/>
    <col min="3576" max="3580" width="9.140625" customWidth="1"/>
    <col min="3832" max="3836" width="9.140625" customWidth="1"/>
    <col min="4088" max="4092" width="9.140625" customWidth="1"/>
    <col min="4344" max="4348" width="9.140625" customWidth="1"/>
    <col min="4600" max="4604" width="9.140625" customWidth="1"/>
    <col min="4856" max="4860" width="9.140625" customWidth="1"/>
    <col min="5112" max="5116" width="9.140625" customWidth="1"/>
    <col min="5368" max="5372" width="9.140625" customWidth="1"/>
    <col min="5624" max="5628" width="9.140625" customWidth="1"/>
    <col min="5880" max="5884" width="9.140625" customWidth="1"/>
    <col min="6136" max="6140" width="9.140625" customWidth="1"/>
    <col min="6392" max="6396" width="9.140625" customWidth="1"/>
    <col min="6648" max="6652" width="9.140625" customWidth="1"/>
    <col min="6904" max="6908" width="9.140625" customWidth="1"/>
    <col min="7160" max="7164" width="9.140625" customWidth="1"/>
    <col min="7416" max="7420" width="9.140625" customWidth="1"/>
    <col min="7672" max="7676" width="9.140625" customWidth="1"/>
    <col min="7928" max="7932" width="9.140625" customWidth="1"/>
    <col min="8184" max="8188" width="9.140625" customWidth="1"/>
    <col min="8440" max="8444" width="9.140625" customWidth="1"/>
    <col min="8696" max="8700" width="9.140625" customWidth="1"/>
    <col min="8952" max="8956" width="9.140625" customWidth="1"/>
    <col min="9208" max="9212" width="9.140625" customWidth="1"/>
    <col min="9464" max="9468" width="9.140625" customWidth="1"/>
    <col min="9720" max="9724" width="9.140625" customWidth="1"/>
    <col min="9976" max="9980" width="9.140625" customWidth="1"/>
    <col min="10232" max="10236" width="9.140625" customWidth="1"/>
    <col min="10488" max="10492" width="9.140625" customWidth="1"/>
    <col min="10744" max="10748" width="9.140625" customWidth="1"/>
    <col min="11000" max="11004" width="9.140625" customWidth="1"/>
    <col min="11256" max="11260" width="9.140625" customWidth="1"/>
    <col min="11512" max="11516" width="9.140625" customWidth="1"/>
    <col min="11768" max="11772" width="9.140625" customWidth="1"/>
    <col min="12024" max="12028" width="9.140625" customWidth="1"/>
    <col min="12280" max="12284" width="9.140625" customWidth="1"/>
    <col min="12536" max="12540" width="9.140625" customWidth="1"/>
    <col min="12792" max="12796" width="9.140625" customWidth="1"/>
    <col min="13048" max="13052" width="9.140625" customWidth="1"/>
    <col min="13304" max="13308" width="9.140625" customWidth="1"/>
    <col min="13560" max="13564" width="9.140625" customWidth="1"/>
    <col min="13816" max="13820" width="9.140625" customWidth="1"/>
    <col min="14072" max="14076" width="9.140625" customWidth="1"/>
    <col min="14328" max="14332" width="9.140625" customWidth="1"/>
    <col min="14584" max="14588" width="9.140625" customWidth="1"/>
    <col min="14840" max="14844" width="9.140625" customWidth="1"/>
    <col min="15096" max="15100" width="9.140625" customWidth="1"/>
    <col min="15352" max="15356" width="9.140625" customWidth="1"/>
    <col min="15608" max="15612" width="9.140625" customWidth="1"/>
    <col min="15864" max="15868" width="9.140625" customWidth="1"/>
    <col min="16120" max="16124" width="9.140625" customWidth="1"/>
  </cols>
  <sheetData>
    <row r="1" spans="1:12" ht="20.25" customHeight="1" x14ac:dyDescent="0.25">
      <c r="A1" s="845" t="s">
        <v>1500</v>
      </c>
      <c r="B1" s="499"/>
      <c r="C1" s="499"/>
      <c r="D1" s="499"/>
      <c r="E1" s="499"/>
      <c r="F1" s="499"/>
      <c r="G1" s="500"/>
      <c r="H1" s="500"/>
      <c r="I1" s="500"/>
      <c r="J1" s="199"/>
      <c r="K1" s="199"/>
    </row>
    <row r="2" spans="1:12" ht="20.25" customHeight="1" x14ac:dyDescent="0.25">
      <c r="A2" s="853" t="s">
        <v>977</v>
      </c>
      <c r="B2" s="499"/>
      <c r="C2" s="499"/>
      <c r="D2" s="499"/>
      <c r="E2" s="499"/>
      <c r="F2" s="499"/>
      <c r="G2" s="500"/>
      <c r="H2" s="500"/>
      <c r="I2" s="500"/>
      <c r="J2" s="199"/>
      <c r="K2" s="199"/>
    </row>
    <row r="3" spans="1:12" ht="18" x14ac:dyDescent="0.25">
      <c r="A3" s="129" t="s">
        <v>368</v>
      </c>
      <c r="B3" s="505"/>
      <c r="C3" s="505"/>
      <c r="D3" s="505"/>
      <c r="E3" s="505"/>
      <c r="F3" s="429"/>
      <c r="G3" s="500"/>
      <c r="H3" s="506"/>
      <c r="I3" s="506"/>
      <c r="J3" s="199"/>
      <c r="K3" s="199"/>
    </row>
    <row r="4" spans="1:12" ht="21.75" customHeight="1" x14ac:dyDescent="0.25">
      <c r="A4" s="502" t="s">
        <v>923</v>
      </c>
      <c r="B4" s="503"/>
      <c r="C4" s="503"/>
      <c r="D4" s="503"/>
      <c r="E4" s="503"/>
      <c r="F4" s="503"/>
      <c r="G4" s="504"/>
      <c r="H4" s="504"/>
      <c r="I4" s="504"/>
      <c r="J4" s="199"/>
      <c r="K4" s="199"/>
    </row>
    <row r="5" spans="1:12" ht="15.75" x14ac:dyDescent="0.25">
      <c r="A5" s="129" t="s">
        <v>370</v>
      </c>
      <c r="B5" s="501"/>
      <c r="C5" s="501"/>
      <c r="D5" s="501"/>
      <c r="E5" s="501"/>
      <c r="F5" s="501"/>
      <c r="G5" s="500"/>
      <c r="H5" s="500"/>
      <c r="I5" s="500"/>
      <c r="J5" s="199"/>
      <c r="K5" s="199"/>
    </row>
    <row r="6" spans="1:12" ht="20.25" customHeight="1" x14ac:dyDescent="0.25">
      <c r="A6" s="175" t="s">
        <v>371</v>
      </c>
      <c r="B6" s="501"/>
      <c r="C6" s="501"/>
      <c r="D6" s="501"/>
      <c r="E6" s="501"/>
      <c r="F6" s="501"/>
      <c r="G6" s="500"/>
      <c r="H6" s="500"/>
      <c r="I6" s="500"/>
      <c r="J6" s="199"/>
      <c r="K6" s="199"/>
    </row>
    <row r="7" spans="1:12" ht="20.25" customHeight="1" x14ac:dyDescent="0.25">
      <c r="A7" s="134" t="s">
        <v>372</v>
      </c>
      <c r="B7" s="501"/>
      <c r="C7" s="501"/>
      <c r="D7" s="501"/>
      <c r="E7" s="501"/>
      <c r="F7" s="501"/>
      <c r="G7" s="500"/>
      <c r="H7" s="506"/>
      <c r="I7" s="506"/>
      <c r="J7" s="199"/>
      <c r="K7" s="199"/>
    </row>
    <row r="8" spans="1:12" ht="29.25" customHeight="1" x14ac:dyDescent="0.25">
      <c r="A8" s="507" t="s">
        <v>978</v>
      </c>
      <c r="B8" s="508"/>
      <c r="C8" s="508"/>
      <c r="D8" s="508"/>
      <c r="E8" s="508"/>
      <c r="F8" s="509"/>
      <c r="G8" s="510"/>
      <c r="H8" s="510"/>
      <c r="I8" s="511"/>
      <c r="J8" s="512"/>
      <c r="K8" s="332"/>
      <c r="L8" s="260"/>
    </row>
    <row r="9" spans="1:12" ht="63" x14ac:dyDescent="0.25">
      <c r="A9" s="513" t="s">
        <v>979</v>
      </c>
      <c r="B9" s="514" t="s">
        <v>882</v>
      </c>
      <c r="C9" s="514" t="s">
        <v>883</v>
      </c>
      <c r="D9" s="514" t="s">
        <v>884</v>
      </c>
      <c r="E9" s="515" t="s">
        <v>929</v>
      </c>
      <c r="F9" s="514" t="s">
        <v>980</v>
      </c>
      <c r="G9" s="514" t="s">
        <v>887</v>
      </c>
      <c r="H9" s="514" t="s">
        <v>888</v>
      </c>
      <c r="I9" s="336" t="s">
        <v>889</v>
      </c>
      <c r="J9" s="336" t="s">
        <v>861</v>
      </c>
      <c r="K9" s="516" t="s">
        <v>862</v>
      </c>
      <c r="L9" s="517" t="s">
        <v>890</v>
      </c>
    </row>
    <row r="10" spans="1:12" ht="15.75" x14ac:dyDescent="0.25">
      <c r="A10" s="518" t="s">
        <v>981</v>
      </c>
      <c r="B10" s="432">
        <v>421182</v>
      </c>
      <c r="C10" s="432">
        <v>488049</v>
      </c>
      <c r="D10" s="432">
        <v>599541</v>
      </c>
      <c r="E10" s="432">
        <v>746203</v>
      </c>
      <c r="F10" s="432">
        <v>798602</v>
      </c>
      <c r="G10" s="432">
        <v>845710</v>
      </c>
      <c r="H10" s="432">
        <v>910976</v>
      </c>
      <c r="I10" s="432">
        <v>911232</v>
      </c>
      <c r="J10" s="432">
        <v>825564</v>
      </c>
      <c r="K10" s="406">
        <v>797530</v>
      </c>
      <c r="L10" s="519">
        <v>-3.3957391552926208</v>
      </c>
    </row>
    <row r="11" spans="1:12" ht="15.75" x14ac:dyDescent="0.25">
      <c r="A11" s="520" t="s">
        <v>775</v>
      </c>
      <c r="B11" s="429">
        <v>327565</v>
      </c>
      <c r="C11" s="429">
        <v>375629</v>
      </c>
      <c r="D11" s="429">
        <v>458711</v>
      </c>
      <c r="E11" s="429">
        <v>579632</v>
      </c>
      <c r="F11" s="429">
        <v>626198</v>
      </c>
      <c r="G11" s="429">
        <v>672912</v>
      </c>
      <c r="H11" s="429">
        <v>724064</v>
      </c>
      <c r="I11" s="429">
        <v>719681</v>
      </c>
      <c r="J11" s="429">
        <v>648157</v>
      </c>
      <c r="K11" s="521">
        <v>623430</v>
      </c>
      <c r="L11" s="522">
        <v>-3.8149707555422574</v>
      </c>
    </row>
    <row r="12" spans="1:12" ht="15.75" x14ac:dyDescent="0.25">
      <c r="A12" s="520" t="s">
        <v>745</v>
      </c>
      <c r="B12" s="429">
        <v>13120</v>
      </c>
      <c r="C12" s="429">
        <v>15480</v>
      </c>
      <c r="D12" s="429">
        <v>20567</v>
      </c>
      <c r="E12" s="429">
        <v>23340</v>
      </c>
      <c r="F12" s="429">
        <v>25674</v>
      </c>
      <c r="G12" s="429">
        <v>27908</v>
      </c>
      <c r="H12" s="429">
        <v>32715</v>
      </c>
      <c r="I12" s="429">
        <v>33826</v>
      </c>
      <c r="J12" s="429">
        <v>37605</v>
      </c>
      <c r="K12" s="521">
        <v>44711</v>
      </c>
      <c r="L12" s="522">
        <v>18.896423347959047</v>
      </c>
    </row>
    <row r="13" spans="1:12" ht="15.75" x14ac:dyDescent="0.25">
      <c r="A13" s="520" t="s">
        <v>982</v>
      </c>
      <c r="B13" s="429">
        <v>5427</v>
      </c>
      <c r="C13" s="429">
        <v>7170</v>
      </c>
      <c r="D13" s="429">
        <v>10212</v>
      </c>
      <c r="E13" s="429">
        <v>13027</v>
      </c>
      <c r="F13" s="429">
        <v>13352</v>
      </c>
      <c r="G13" s="429">
        <v>14545</v>
      </c>
      <c r="H13" s="429">
        <v>14423</v>
      </c>
      <c r="I13" s="429">
        <v>14566</v>
      </c>
      <c r="J13" s="429">
        <v>13272</v>
      </c>
      <c r="K13" s="521">
        <v>13900</v>
      </c>
      <c r="L13" s="522">
        <v>4.7317661241711884</v>
      </c>
    </row>
    <row r="14" spans="1:12" ht="15.75" x14ac:dyDescent="0.25">
      <c r="A14" s="520" t="s">
        <v>759</v>
      </c>
      <c r="B14" s="429">
        <v>16632</v>
      </c>
      <c r="C14" s="429">
        <v>21605</v>
      </c>
      <c r="D14" s="429">
        <v>29102</v>
      </c>
      <c r="E14" s="429">
        <v>36319</v>
      </c>
      <c r="F14" s="429">
        <v>36982</v>
      </c>
      <c r="G14" s="429">
        <v>38055</v>
      </c>
      <c r="H14" s="429">
        <v>42522</v>
      </c>
      <c r="I14" s="429">
        <v>42747</v>
      </c>
      <c r="J14" s="429">
        <v>31989</v>
      </c>
      <c r="K14" s="521">
        <v>28153</v>
      </c>
      <c r="L14" s="522">
        <v>-11.991622120103784</v>
      </c>
    </row>
    <row r="15" spans="1:12" ht="15.75" x14ac:dyDescent="0.25">
      <c r="A15" s="520" t="s">
        <v>756</v>
      </c>
      <c r="B15" s="429">
        <v>37503</v>
      </c>
      <c r="C15" s="429">
        <v>43129</v>
      </c>
      <c r="D15" s="429">
        <v>49447</v>
      </c>
      <c r="E15" s="429">
        <v>56726</v>
      </c>
      <c r="F15" s="429">
        <v>57540</v>
      </c>
      <c r="G15" s="429">
        <v>56061</v>
      </c>
      <c r="H15" s="429">
        <v>56789</v>
      </c>
      <c r="I15" s="429">
        <v>55707</v>
      </c>
      <c r="J15" s="429">
        <v>48955</v>
      </c>
      <c r="K15" s="521">
        <v>43670</v>
      </c>
      <c r="L15" s="522">
        <v>-10.795628638545606</v>
      </c>
    </row>
    <row r="16" spans="1:12" ht="15.75" x14ac:dyDescent="0.25">
      <c r="A16" s="520" t="s">
        <v>983</v>
      </c>
      <c r="B16" s="429">
        <v>20935</v>
      </c>
      <c r="C16" s="429">
        <v>25036</v>
      </c>
      <c r="D16" s="429">
        <v>31502</v>
      </c>
      <c r="E16" s="429">
        <v>37159</v>
      </c>
      <c r="F16" s="429">
        <v>38856</v>
      </c>
      <c r="G16" s="429">
        <v>36229</v>
      </c>
      <c r="H16" s="429">
        <v>40463</v>
      </c>
      <c r="I16" s="429">
        <v>44705</v>
      </c>
      <c r="J16" s="429">
        <v>45586</v>
      </c>
      <c r="K16" s="523">
        <v>43666</v>
      </c>
      <c r="L16" s="522">
        <v>-4.2118194182424462</v>
      </c>
    </row>
    <row r="17" spans="1:11" ht="15.75" x14ac:dyDescent="0.25">
      <c r="A17" s="429"/>
      <c r="B17" s="429"/>
      <c r="C17" s="429"/>
      <c r="D17" s="429"/>
      <c r="E17" s="429"/>
      <c r="F17" s="429"/>
      <c r="G17" s="500"/>
      <c r="H17" s="500"/>
      <c r="I17" s="500"/>
      <c r="J17" s="199"/>
      <c r="K17" s="199"/>
    </row>
    <row r="18" spans="1:11" ht="18.75" customHeight="1" x14ac:dyDescent="0.25">
      <c r="A18" s="524" t="s">
        <v>984</v>
      </c>
      <c r="B18" s="499"/>
      <c r="C18" s="499"/>
      <c r="D18" s="499"/>
      <c r="E18" s="499"/>
      <c r="F18" s="429"/>
      <c r="G18" s="500"/>
      <c r="H18" s="500"/>
      <c r="I18" s="500"/>
      <c r="J18" s="332"/>
      <c r="K18" s="199"/>
    </row>
    <row r="19" spans="1:11" ht="45" x14ac:dyDescent="0.25">
      <c r="A19" s="525" t="s">
        <v>979</v>
      </c>
      <c r="B19" s="526" t="s">
        <v>957</v>
      </c>
      <c r="C19" s="526" t="s">
        <v>943</v>
      </c>
      <c r="D19" s="526" t="s">
        <v>944</v>
      </c>
      <c r="E19" s="526" t="s">
        <v>945</v>
      </c>
      <c r="F19" s="526" t="s">
        <v>985</v>
      </c>
      <c r="G19" s="173" t="s">
        <v>986</v>
      </c>
      <c r="H19" s="173" t="s">
        <v>987</v>
      </c>
      <c r="I19" s="173" t="s">
        <v>988</v>
      </c>
      <c r="J19" s="173" t="s">
        <v>989</v>
      </c>
      <c r="K19" s="173" t="s">
        <v>990</v>
      </c>
    </row>
    <row r="20" spans="1:11" ht="15.75" x14ac:dyDescent="0.25">
      <c r="A20" s="518" t="s">
        <v>981</v>
      </c>
      <c r="B20" s="527">
        <v>11.29294474694774</v>
      </c>
      <c r="C20" s="431">
        <v>12.259506704642979</v>
      </c>
      <c r="D20" s="431">
        <v>14.169790704943305</v>
      </c>
      <c r="E20" s="528">
        <v>15.053454142686633</v>
      </c>
      <c r="F20" s="431">
        <v>18.364300239838357</v>
      </c>
      <c r="G20" s="529">
        <v>17.094365447380337</v>
      </c>
      <c r="H20" s="529">
        <v>16.334233429365884</v>
      </c>
      <c r="I20" s="529">
        <v>15.386476270599832</v>
      </c>
      <c r="J20" s="529">
        <v>15.08385171287479</v>
      </c>
      <c r="K20" s="529">
        <v>15.367463371563918</v>
      </c>
    </row>
    <row r="21" spans="1:11" ht="15.75" x14ac:dyDescent="0.25">
      <c r="A21" s="520" t="s">
        <v>775</v>
      </c>
      <c r="B21" s="527">
        <v>32.432780136369487</v>
      </c>
      <c r="C21" s="431">
        <v>32.818354371061012</v>
      </c>
      <c r="D21" s="431">
        <v>34.636223210844435</v>
      </c>
      <c r="E21" s="431">
        <v>35.50108737309256</v>
      </c>
      <c r="F21" s="431">
        <v>37.923739082114224</v>
      </c>
      <c r="G21" s="529">
        <v>34.545862258164554</v>
      </c>
      <c r="H21" s="529">
        <v>34.123856225575217</v>
      </c>
      <c r="I21" s="529">
        <v>32.704413622730925</v>
      </c>
      <c r="J21" s="529">
        <v>32.055824017161434</v>
      </c>
      <c r="K21" s="529">
        <v>32.72642739215663</v>
      </c>
    </row>
    <row r="22" spans="1:11" ht="15.75" x14ac:dyDescent="0.25">
      <c r="A22" s="508" t="s">
        <v>745</v>
      </c>
      <c r="B22" s="527">
        <v>12.579536312440576</v>
      </c>
      <c r="C22" s="431">
        <v>13.456731964563787</v>
      </c>
      <c r="D22" s="431">
        <v>14.1984621374343</v>
      </c>
      <c r="E22" s="431">
        <v>15.721021370399853</v>
      </c>
      <c r="F22" s="431">
        <v>18.895057549085983</v>
      </c>
      <c r="G22" s="529">
        <v>16.919480546346914</v>
      </c>
      <c r="H22" s="529">
        <v>17.370807635226392</v>
      </c>
      <c r="I22" s="529">
        <v>19.415646103963155</v>
      </c>
      <c r="J22" s="529">
        <v>21.167475440880576</v>
      </c>
      <c r="K22" s="529">
        <v>21.254461814503046</v>
      </c>
    </row>
    <row r="23" spans="1:11" ht="15.75" x14ac:dyDescent="0.25">
      <c r="A23" s="508" t="s">
        <v>982</v>
      </c>
      <c r="B23" s="527">
        <v>9.0173933822142285</v>
      </c>
      <c r="C23" s="431">
        <v>10.769652612262977</v>
      </c>
      <c r="D23" s="431">
        <v>12.378020390904858</v>
      </c>
      <c r="E23" s="431">
        <v>12.512065071734465</v>
      </c>
      <c r="F23" s="431">
        <v>13.039697339166606</v>
      </c>
      <c r="G23" s="529">
        <v>12.639558320918413</v>
      </c>
      <c r="H23" s="529">
        <v>12.244863647062779</v>
      </c>
      <c r="I23" s="529">
        <v>11.59329140461216</v>
      </c>
      <c r="J23" s="529">
        <v>11.008941795170323</v>
      </c>
      <c r="K23" s="529">
        <v>11.273191338131124</v>
      </c>
    </row>
    <row r="24" spans="1:11" ht="15.75" x14ac:dyDescent="0.25">
      <c r="A24" s="508" t="s">
        <v>759</v>
      </c>
      <c r="B24" s="527">
        <v>7.591969835931927</v>
      </c>
      <c r="C24" s="431">
        <v>7.5263922868832536</v>
      </c>
      <c r="D24" s="431">
        <v>8.0824557811623752</v>
      </c>
      <c r="E24" s="431">
        <v>8.0298769962328063</v>
      </c>
      <c r="F24" s="431">
        <v>7.8740727712887573</v>
      </c>
      <c r="G24" s="529">
        <v>7.0971015411936325</v>
      </c>
      <c r="H24" s="529">
        <v>7.2399531190721369</v>
      </c>
      <c r="I24" s="529">
        <v>6.8596903929166499</v>
      </c>
      <c r="J24" s="529">
        <v>6.2200491806538416</v>
      </c>
      <c r="K24" s="529">
        <v>6.4990742373479105</v>
      </c>
    </row>
    <row r="25" spans="1:11" ht="15.75" x14ac:dyDescent="0.25">
      <c r="A25" s="508" t="s">
        <v>756</v>
      </c>
      <c r="B25" s="527">
        <v>7.6323031048426344</v>
      </c>
      <c r="C25" s="431">
        <v>8.3667657654151579</v>
      </c>
      <c r="D25" s="431">
        <v>9.8958705857519416</v>
      </c>
      <c r="E25" s="431">
        <v>10.266182082889518</v>
      </c>
      <c r="F25" s="431">
        <v>11.893406765925128</v>
      </c>
      <c r="G25" s="529">
        <v>10.622827790809474</v>
      </c>
      <c r="H25" s="529">
        <v>10.503065680219009</v>
      </c>
      <c r="I25" s="529">
        <v>10.079287789351017</v>
      </c>
      <c r="J25" s="529">
        <v>9.498289350910353</v>
      </c>
      <c r="K25" s="529">
        <v>10.255895742982286</v>
      </c>
    </row>
    <row r="26" spans="1:11" ht="15.75" x14ac:dyDescent="0.25">
      <c r="A26" s="520" t="s">
        <v>983</v>
      </c>
      <c r="B26" s="527">
        <v>1.185805759181398</v>
      </c>
      <c r="C26" s="527">
        <v>1.3893623937150117</v>
      </c>
      <c r="D26" s="431">
        <v>1.6152877450002325</v>
      </c>
      <c r="E26" s="431">
        <v>1.7268067008419383</v>
      </c>
      <c r="F26" s="431">
        <v>2.240642908475591</v>
      </c>
      <c r="G26" s="529">
        <v>2.2580504747916228</v>
      </c>
      <c r="H26" s="529">
        <v>2.1966623311596836</v>
      </c>
      <c r="I26" s="529">
        <v>2.146782345957559</v>
      </c>
      <c r="J26" s="529">
        <v>2.0866724584658232</v>
      </c>
      <c r="K26" s="529">
        <v>2.1479364444134021</v>
      </c>
    </row>
  </sheetData>
  <hyperlinks>
    <hyperlink ref="A5" location="'Notes_B1 to B10'!A1" display="Link to Notes page" xr:uid="{6662B1AA-A997-47C6-A2C2-01F4ED7EA7A7}"/>
    <hyperlink ref="A3" location="'Table of contents'!A1" display="Link to table of contents" xr:uid="{542FE332-EF06-46B8-B4E0-0811EE63D392}"/>
  </hyperlinks>
  <pageMargins left="0.7" right="0.7" top="0.75" bottom="0.75" header="0.3" footer="0.3"/>
  <pageSetup paperSize="9" orientation="portrait" r:id="rId1"/>
  <tableParts count="2">
    <tablePart r:id="rId2"/>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C5501-F701-45B2-B1C4-621077B4F4B4}">
  <dimension ref="A1:J19"/>
  <sheetViews>
    <sheetView showGridLines="0" workbookViewId="0"/>
  </sheetViews>
  <sheetFormatPr defaultColWidth="11.85546875" defaultRowHeight="15" customHeight="1" x14ac:dyDescent="0.25"/>
  <cols>
    <col min="1" max="1" width="80" customWidth="1"/>
    <col min="2" max="10" width="16.28515625" customWidth="1"/>
  </cols>
  <sheetData>
    <row r="1" spans="1:10" ht="16.5" x14ac:dyDescent="0.25">
      <c r="A1" s="530" t="s">
        <v>49</v>
      </c>
      <c r="B1" s="530"/>
      <c r="C1" s="530"/>
      <c r="D1" s="530"/>
      <c r="E1" s="734"/>
      <c r="F1" s="734"/>
      <c r="G1" s="734"/>
      <c r="H1" s="735"/>
      <c r="I1" s="199"/>
      <c r="J1" s="199"/>
    </row>
    <row r="2" spans="1:10" ht="15.75" x14ac:dyDescent="0.25">
      <c r="A2" s="852" t="s">
        <v>991</v>
      </c>
      <c r="B2" s="531"/>
      <c r="C2" s="531"/>
      <c r="D2" s="531"/>
      <c r="E2" s="734"/>
      <c r="F2" s="734"/>
      <c r="G2" s="734"/>
      <c r="H2" s="735"/>
      <c r="I2" s="199"/>
      <c r="J2" s="199"/>
    </row>
    <row r="3" spans="1:10" ht="19.5" customHeight="1" x14ac:dyDescent="0.25">
      <c r="A3" s="129" t="s">
        <v>368</v>
      </c>
      <c r="B3" s="533"/>
      <c r="C3" s="533"/>
      <c r="D3" s="533"/>
      <c r="E3" s="734"/>
      <c r="F3" s="734"/>
      <c r="G3" s="734"/>
      <c r="H3" s="735"/>
      <c r="I3" s="199"/>
      <c r="J3" s="199"/>
    </row>
    <row r="4" spans="1:10" ht="21" customHeight="1" x14ac:dyDescent="0.25">
      <c r="A4" s="532" t="s">
        <v>369</v>
      </c>
      <c r="B4" s="532"/>
      <c r="C4" s="532"/>
      <c r="D4" s="532"/>
      <c r="E4" s="734"/>
      <c r="F4" s="734"/>
      <c r="G4" s="734"/>
      <c r="H4" s="735"/>
      <c r="I4" s="199"/>
      <c r="J4" s="199"/>
    </row>
    <row r="5" spans="1:10" ht="19.5" customHeight="1" x14ac:dyDescent="0.25">
      <c r="A5" s="129" t="s">
        <v>370</v>
      </c>
      <c r="B5" s="532"/>
      <c r="C5" s="532"/>
      <c r="D5" s="532"/>
      <c r="E5" s="734"/>
      <c r="F5" s="734"/>
      <c r="G5" s="734"/>
      <c r="H5" s="735"/>
      <c r="I5" s="199"/>
      <c r="J5" s="199"/>
    </row>
    <row r="6" spans="1:10" ht="19.5" customHeight="1" x14ac:dyDescent="0.25">
      <c r="A6" s="532" t="s">
        <v>371</v>
      </c>
      <c r="B6" s="532"/>
      <c r="C6" s="532"/>
      <c r="D6" s="532"/>
      <c r="E6" s="734"/>
      <c r="F6" s="734"/>
      <c r="G6" s="734"/>
      <c r="H6" s="735"/>
      <c r="I6" s="199"/>
      <c r="J6" s="199"/>
    </row>
    <row r="7" spans="1:10" ht="19.5" customHeight="1" x14ac:dyDescent="0.25">
      <c r="A7" s="164" t="s">
        <v>372</v>
      </c>
      <c r="B7" s="534"/>
      <c r="C7" s="534"/>
      <c r="D7" s="534"/>
      <c r="E7" s="734"/>
      <c r="F7" s="734"/>
      <c r="G7" s="734"/>
      <c r="H7" s="736"/>
      <c r="I7" s="332"/>
      <c r="J7" s="332"/>
    </row>
    <row r="8" spans="1:10" ht="47.25" x14ac:dyDescent="0.25">
      <c r="A8" s="535" t="s">
        <v>992</v>
      </c>
      <c r="B8" s="536" t="s">
        <v>993</v>
      </c>
      <c r="C8" s="536" t="s">
        <v>994</v>
      </c>
      <c r="D8" s="536" t="s">
        <v>995</v>
      </c>
      <c r="E8" s="536" t="s">
        <v>996</v>
      </c>
      <c r="F8" s="536" t="s">
        <v>997</v>
      </c>
      <c r="G8" s="536" t="s">
        <v>998</v>
      </c>
      <c r="H8" s="537" t="s">
        <v>999</v>
      </c>
      <c r="I8" s="337" t="s">
        <v>989</v>
      </c>
      <c r="J8" s="337" t="s">
        <v>990</v>
      </c>
    </row>
    <row r="9" spans="1:10" ht="18.75" customHeight="1" x14ac:dyDescent="0.25">
      <c r="A9" s="538" t="s">
        <v>1000</v>
      </c>
      <c r="B9" s="539">
        <v>87.420463687559419</v>
      </c>
      <c r="C9" s="539">
        <v>86.543268035436213</v>
      </c>
      <c r="D9" s="539">
        <v>85.801537862565695</v>
      </c>
      <c r="E9" s="539">
        <v>84.278978629600147</v>
      </c>
      <c r="F9" s="539">
        <v>81.104942450914024</v>
      </c>
      <c r="G9" s="539">
        <v>83.080519453653082</v>
      </c>
      <c r="H9" s="539">
        <v>82.629192364773616</v>
      </c>
      <c r="I9" s="539">
        <v>80.584353896036845</v>
      </c>
      <c r="J9" s="540">
        <v>78.83252455911942</v>
      </c>
    </row>
    <row r="10" spans="1:10" ht="18.75" customHeight="1" x14ac:dyDescent="0.25">
      <c r="A10" s="538" t="s">
        <v>1001</v>
      </c>
      <c r="B10" s="539">
        <v>12.579536312440576</v>
      </c>
      <c r="C10" s="539">
        <v>13.456731964563787</v>
      </c>
      <c r="D10" s="539">
        <v>14.1984621374343</v>
      </c>
      <c r="E10" s="539">
        <v>15.721021370399853</v>
      </c>
      <c r="F10" s="539">
        <v>18.895057549085983</v>
      </c>
      <c r="G10" s="539">
        <v>16.919480546346914</v>
      </c>
      <c r="H10" s="539">
        <v>17.370807635226392</v>
      </c>
      <c r="I10" s="539">
        <v>19.415646103963155</v>
      </c>
      <c r="J10" s="540">
        <v>21.167475440880576</v>
      </c>
    </row>
    <row r="11" spans="1:10" ht="18.75" customHeight="1" x14ac:dyDescent="0.25">
      <c r="A11" s="538" t="s">
        <v>1468</v>
      </c>
      <c r="B11" s="539">
        <v>60.211428370737188</v>
      </c>
      <c r="C11" s="539">
        <v>60.439733019238318</v>
      </c>
      <c r="D11" s="539">
        <v>60.020321841253335</v>
      </c>
      <c r="E11" s="539">
        <v>56.185813231430622</v>
      </c>
      <c r="F11" s="539">
        <v>50.277763749305592</v>
      </c>
      <c r="G11" s="539">
        <v>53.92563236751117</v>
      </c>
      <c r="H11" s="539">
        <v>52.53092678969783</v>
      </c>
      <c r="I11" s="539">
        <v>49.235723230435909</v>
      </c>
      <c r="J11" s="540">
        <v>47.391045442703486</v>
      </c>
    </row>
    <row r="12" spans="1:10" ht="18.75" customHeight="1" x14ac:dyDescent="0.25">
      <c r="A12" s="541" t="s">
        <v>1469</v>
      </c>
      <c r="B12" s="542">
        <v>39.788571629262812</v>
      </c>
      <c r="C12" s="542">
        <v>39.560266980761682</v>
      </c>
      <c r="D12" s="542">
        <v>39.979678158746665</v>
      </c>
      <c r="E12" s="542">
        <v>43.814186768569378</v>
      </c>
      <c r="F12" s="542">
        <v>49.722236250694408</v>
      </c>
      <c r="G12" s="542">
        <v>46.07436763248883</v>
      </c>
      <c r="H12" s="542">
        <v>47.46907321030217</v>
      </c>
      <c r="I12" s="542">
        <v>50.764276769564091</v>
      </c>
      <c r="J12" s="543">
        <v>52.608954557296514</v>
      </c>
    </row>
    <row r="13" spans="1:10" ht="21" customHeight="1" x14ac:dyDescent="0.25">
      <c r="A13" s="538" t="s">
        <v>1513</v>
      </c>
      <c r="B13" s="544">
        <v>74.011955881114758</v>
      </c>
      <c r="C13" s="544">
        <v>74.073847741655115</v>
      </c>
      <c r="D13" s="544">
        <v>75.136418011655508</v>
      </c>
      <c r="E13" s="545">
        <v>76.852517280579107</v>
      </c>
      <c r="F13" s="545">
        <v>71.699633233691614</v>
      </c>
      <c r="G13" s="545">
        <v>75.957823957586896</v>
      </c>
      <c r="H13" s="545">
        <v>79.083132995621185</v>
      </c>
      <c r="I13" s="545">
        <v>79.310568718584136</v>
      </c>
      <c r="J13" s="545">
        <v>79.72257801872648</v>
      </c>
    </row>
    <row r="14" spans="1:10" ht="18.75" customHeight="1" x14ac:dyDescent="0.25">
      <c r="A14" s="538" t="s">
        <v>1514</v>
      </c>
      <c r="B14" s="544">
        <v>25.988044118885238</v>
      </c>
      <c r="C14" s="544">
        <v>25.926152258344874</v>
      </c>
      <c r="D14" s="544">
        <v>24.863581988344496</v>
      </c>
      <c r="E14" s="544">
        <v>23.147482719420889</v>
      </c>
      <c r="F14" s="544">
        <v>28.300366766308382</v>
      </c>
      <c r="G14" s="544">
        <v>24.042176042413107</v>
      </c>
      <c r="H14" s="544">
        <v>20.916867004378812</v>
      </c>
      <c r="I14" s="544">
        <v>20.689431281415871</v>
      </c>
      <c r="J14" s="544">
        <v>20.27742198127352</v>
      </c>
    </row>
    <row r="15" spans="1:10" ht="18.75" customHeight="1" x14ac:dyDescent="0.25">
      <c r="A15" s="546" t="s">
        <v>1002</v>
      </c>
      <c r="B15" s="547"/>
      <c r="C15" s="547"/>
      <c r="D15" s="547"/>
      <c r="E15" s="547"/>
      <c r="F15" s="547"/>
      <c r="G15" s="547"/>
      <c r="H15" s="547"/>
      <c r="I15" s="547"/>
      <c r="J15" s="547"/>
    </row>
    <row r="16" spans="1:10" ht="18.75" customHeight="1" x14ac:dyDescent="0.25">
      <c r="A16" s="538" t="s">
        <v>1515</v>
      </c>
      <c r="B16" s="544">
        <v>75.645783307865827</v>
      </c>
      <c r="C16" s="544">
        <v>75.538670284938945</v>
      </c>
      <c r="D16" s="544">
        <v>74.917695982573832</v>
      </c>
      <c r="E16" s="545">
        <v>76.308923731604139</v>
      </c>
      <c r="F16" s="545">
        <v>71.941918066731319</v>
      </c>
      <c r="G16" s="545">
        <v>74.960695943821392</v>
      </c>
      <c r="H16" s="545">
        <v>76.788506232833299</v>
      </c>
      <c r="I16" s="545">
        <v>76.650158148826364</v>
      </c>
      <c r="J16" s="545">
        <v>76.606985617845609</v>
      </c>
    </row>
    <row r="17" spans="1:10" ht="18.75" customHeight="1" x14ac:dyDescent="0.25">
      <c r="A17" s="883" t="s">
        <v>1516</v>
      </c>
      <c r="B17" s="544">
        <v>24.35421669213418</v>
      </c>
      <c r="C17" s="544">
        <v>24.461329715061058</v>
      </c>
      <c r="D17" s="544">
        <v>25.082304017426171</v>
      </c>
      <c r="E17" s="545">
        <v>23.691076268395854</v>
      </c>
      <c r="F17" s="545">
        <v>28.058081933268681</v>
      </c>
      <c r="G17" s="545">
        <v>25.039304056178597</v>
      </c>
      <c r="H17" s="545">
        <v>23.211493767166701</v>
      </c>
      <c r="I17" s="545">
        <v>23.349841851173629</v>
      </c>
      <c r="J17" s="545">
        <v>23.393014382154387</v>
      </c>
    </row>
    <row r="18" spans="1:10" ht="18.75" customHeight="1" x14ac:dyDescent="0.25">
      <c r="A18" s="883" t="s">
        <v>1517</v>
      </c>
      <c r="B18" s="544">
        <v>60.109993984703955</v>
      </c>
      <c r="C18" s="544">
        <v>60.911796960676803</v>
      </c>
      <c r="D18" s="544">
        <v>63.483239021807471</v>
      </c>
      <c r="E18" s="545">
        <v>66.729382251489497</v>
      </c>
      <c r="F18" s="545">
        <v>60.89398719749056</v>
      </c>
      <c r="G18" s="545">
        <v>63.797896960377741</v>
      </c>
      <c r="H18" s="545">
        <v>68.485133426283198</v>
      </c>
      <c r="I18" s="545">
        <v>68.005975377324461</v>
      </c>
      <c r="J18" s="545">
        <v>67.61899859295103</v>
      </c>
    </row>
    <row r="19" spans="1:10" ht="18.75" customHeight="1" x14ac:dyDescent="0.25">
      <c r="A19" s="884" t="s">
        <v>1518</v>
      </c>
      <c r="B19" s="548">
        <v>39.890006015296038</v>
      </c>
      <c r="C19" s="548">
        <v>39.088203039323204</v>
      </c>
      <c r="D19" s="548">
        <v>36.516760978192529</v>
      </c>
      <c r="E19" s="549">
        <v>33.270617748510503</v>
      </c>
      <c r="F19" s="549">
        <v>39.10601280250944</v>
      </c>
      <c r="G19" s="549">
        <v>36.202103039622266</v>
      </c>
      <c r="H19" s="549">
        <v>31.514866573716805</v>
      </c>
      <c r="I19" s="549">
        <v>31.994024622675525</v>
      </c>
      <c r="J19" s="549">
        <v>32.38100140704897</v>
      </c>
    </row>
  </sheetData>
  <hyperlinks>
    <hyperlink ref="A5" location="'Notes_B1 to B10'!A1" display="Link to Notes page" xr:uid="{42C266F0-CA45-4760-90F9-7D2E0CAA567D}"/>
    <hyperlink ref="A3" location="'Table of contents'!A1" display="Link to table of contents" xr:uid="{BD70AA4E-7E53-48E3-9FE0-C25647B6F3FB}"/>
  </hyperlinks>
  <pageMargins left="0.7" right="0.7" top="0.75" bottom="0.75" header="0.3" footer="0.3"/>
  <pageSetup paperSize="9" orientation="portrait"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F147B-1E53-46C6-B0E0-F0704F8F1646}">
  <sheetPr>
    <tabColor rgb="FF0070C0"/>
  </sheetPr>
  <dimension ref="A1:C58"/>
  <sheetViews>
    <sheetView showGridLines="0" workbookViewId="0"/>
  </sheetViews>
  <sheetFormatPr defaultRowHeight="15" customHeight="1" x14ac:dyDescent="0.25"/>
  <cols>
    <col min="1" max="1" width="15.5703125" customWidth="1"/>
    <col min="2" max="2" width="135.85546875" customWidth="1"/>
    <col min="3" max="3" width="60.42578125" customWidth="1"/>
  </cols>
  <sheetData>
    <row r="1" spans="1:3" ht="30" customHeight="1" x14ac:dyDescent="0.25">
      <c r="A1" s="38" t="s">
        <v>1003</v>
      </c>
      <c r="B1" s="39"/>
      <c r="C1" s="39"/>
    </row>
    <row r="2" spans="1:3" ht="34.5" customHeight="1" x14ac:dyDescent="0.25">
      <c r="A2" s="36" t="s">
        <v>1004</v>
      </c>
      <c r="B2" s="39"/>
      <c r="C2" s="39"/>
    </row>
    <row r="3" spans="1:3" ht="26.25" customHeight="1" x14ac:dyDescent="0.25">
      <c r="A3" s="40" t="s">
        <v>1005</v>
      </c>
      <c r="B3" s="39"/>
      <c r="C3" s="39"/>
    </row>
    <row r="4" spans="1:3" ht="29.25" customHeight="1" x14ac:dyDescent="0.25">
      <c r="A4" s="41" t="s">
        <v>71</v>
      </c>
      <c r="B4" s="41" t="s">
        <v>72</v>
      </c>
      <c r="C4" s="42" t="s">
        <v>2</v>
      </c>
    </row>
    <row r="5" spans="1:3" ht="31.5" customHeight="1" x14ac:dyDescent="0.25">
      <c r="A5" s="37">
        <v>1</v>
      </c>
      <c r="B5" s="44" t="s">
        <v>1006</v>
      </c>
      <c r="C5" s="46" t="s">
        <v>1007</v>
      </c>
    </row>
    <row r="6" spans="1:3" x14ac:dyDescent="0.25">
      <c r="A6" s="37">
        <v>2</v>
      </c>
      <c r="B6" s="44" t="s">
        <v>76</v>
      </c>
      <c r="C6" s="43"/>
    </row>
    <row r="7" spans="1:3" x14ac:dyDescent="0.25">
      <c r="A7" s="37">
        <v>3</v>
      </c>
      <c r="B7" s="44" t="s">
        <v>1008</v>
      </c>
      <c r="C7" s="43"/>
    </row>
    <row r="8" spans="1:3" ht="30" x14ac:dyDescent="0.25">
      <c r="A8" s="37">
        <v>4</v>
      </c>
      <c r="B8" s="44" t="s">
        <v>1009</v>
      </c>
      <c r="C8" s="43"/>
    </row>
    <row r="9" spans="1:3" x14ac:dyDescent="0.25">
      <c r="A9" s="37">
        <v>5</v>
      </c>
      <c r="B9" s="44" t="s">
        <v>1010</v>
      </c>
      <c r="C9" s="43"/>
    </row>
    <row r="10" spans="1:3" ht="30" x14ac:dyDescent="0.25">
      <c r="A10" s="37">
        <v>6</v>
      </c>
      <c r="B10" s="44" t="s">
        <v>1011</v>
      </c>
      <c r="C10" s="43"/>
    </row>
    <row r="11" spans="1:3" x14ac:dyDescent="0.25">
      <c r="A11" s="39"/>
      <c r="B11" s="39"/>
      <c r="C11" s="39"/>
    </row>
    <row r="12" spans="1:3" ht="25.5" customHeight="1" x14ac:dyDescent="0.25">
      <c r="A12" s="45" t="s">
        <v>1012</v>
      </c>
      <c r="B12" s="39"/>
      <c r="C12" s="39"/>
    </row>
    <row r="13" spans="1:3" ht="27.75" customHeight="1" x14ac:dyDescent="0.25">
      <c r="A13" s="41" t="s">
        <v>71</v>
      </c>
      <c r="B13" s="41" t="s">
        <v>72</v>
      </c>
      <c r="C13" s="42" t="s">
        <v>2</v>
      </c>
    </row>
    <row r="14" spans="1:3" ht="51" customHeight="1" x14ac:dyDescent="0.25">
      <c r="A14" s="37">
        <v>1</v>
      </c>
      <c r="B14" s="44" t="s">
        <v>1013</v>
      </c>
      <c r="C14" s="39"/>
    </row>
    <row r="15" spans="1:3" ht="20.25" customHeight="1" x14ac:dyDescent="0.25">
      <c r="A15" s="37">
        <v>2</v>
      </c>
      <c r="B15" s="44" t="s">
        <v>76</v>
      </c>
      <c r="C15" s="39"/>
    </row>
    <row r="16" spans="1:3" ht="20.25" customHeight="1" x14ac:dyDescent="0.25">
      <c r="A16" s="37">
        <v>3</v>
      </c>
      <c r="B16" s="44" t="s">
        <v>1014</v>
      </c>
      <c r="C16" s="39"/>
    </row>
    <row r="17" spans="1:3" x14ac:dyDescent="0.25">
      <c r="A17" s="39"/>
      <c r="B17" s="39"/>
      <c r="C17" s="39"/>
    </row>
    <row r="18" spans="1:3" ht="15.75" x14ac:dyDescent="0.25">
      <c r="A18" s="483" t="s">
        <v>1015</v>
      </c>
      <c r="B18" s="484"/>
      <c r="C18" s="484"/>
    </row>
    <row r="19" spans="1:3" ht="15.75" x14ac:dyDescent="0.25">
      <c r="A19" s="485" t="s">
        <v>71</v>
      </c>
      <c r="B19" s="486" t="s">
        <v>72</v>
      </c>
      <c r="C19" s="487" t="s">
        <v>2</v>
      </c>
    </row>
    <row r="20" spans="1:3" ht="43.5" customHeight="1" x14ac:dyDescent="0.25">
      <c r="A20" s="488">
        <v>1</v>
      </c>
      <c r="B20" s="489" t="s">
        <v>1016</v>
      </c>
      <c r="C20" s="46" t="s">
        <v>1017</v>
      </c>
    </row>
    <row r="21" spans="1:3" ht="99.75" customHeight="1" x14ac:dyDescent="0.25">
      <c r="A21" s="488">
        <v>2</v>
      </c>
      <c r="B21" s="489" t="s">
        <v>1018</v>
      </c>
      <c r="C21" s="46" t="s">
        <v>358</v>
      </c>
    </row>
    <row r="22" spans="1:3" ht="38.25" customHeight="1" x14ac:dyDescent="0.25">
      <c r="A22" s="488">
        <v>3</v>
      </c>
      <c r="B22" s="489" t="s">
        <v>1019</v>
      </c>
      <c r="C22" s="46" t="s">
        <v>358</v>
      </c>
    </row>
    <row r="23" spans="1:3" ht="36.75" customHeight="1" x14ac:dyDescent="0.25">
      <c r="A23" s="488">
        <v>4</v>
      </c>
      <c r="B23" s="489" t="s">
        <v>1020</v>
      </c>
      <c r="C23" s="46"/>
    </row>
    <row r="24" spans="1:3" ht="55.5" customHeight="1" x14ac:dyDescent="0.25">
      <c r="A24" s="488">
        <v>5</v>
      </c>
      <c r="B24" s="490" t="s">
        <v>1021</v>
      </c>
      <c r="C24" s="46"/>
    </row>
    <row r="25" spans="1:3" ht="43.5" customHeight="1" x14ac:dyDescent="0.25">
      <c r="A25" s="488">
        <v>6</v>
      </c>
      <c r="B25" s="490" t="s">
        <v>1022</v>
      </c>
      <c r="C25" s="46"/>
    </row>
    <row r="26" spans="1:3" ht="74.25" customHeight="1" x14ac:dyDescent="0.25">
      <c r="A26" s="488">
        <v>7</v>
      </c>
      <c r="B26" s="489" t="s">
        <v>1465</v>
      </c>
      <c r="C26" s="46" t="s">
        <v>362</v>
      </c>
    </row>
    <row r="27" spans="1:3" ht="41.25" customHeight="1" x14ac:dyDescent="0.25">
      <c r="A27" s="488">
        <v>8</v>
      </c>
      <c r="B27" s="489" t="s">
        <v>1023</v>
      </c>
      <c r="C27" s="46"/>
    </row>
    <row r="28" spans="1:3" ht="57" customHeight="1" x14ac:dyDescent="0.25">
      <c r="A28" s="488">
        <v>9</v>
      </c>
      <c r="B28" s="490" t="s">
        <v>1024</v>
      </c>
      <c r="C28" s="46"/>
    </row>
    <row r="29" spans="1:3" ht="39" customHeight="1" x14ac:dyDescent="0.25">
      <c r="A29" s="488">
        <v>10</v>
      </c>
      <c r="B29" s="490" t="s">
        <v>1521</v>
      </c>
      <c r="C29" s="46"/>
    </row>
    <row r="30" spans="1:3" ht="45" x14ac:dyDescent="0.25">
      <c r="A30" s="488">
        <v>11</v>
      </c>
      <c r="B30" s="680" t="s">
        <v>1025</v>
      </c>
      <c r="C30" s="46"/>
    </row>
    <row r="31" spans="1:3" ht="30" x14ac:dyDescent="0.25">
      <c r="A31" s="488">
        <v>12</v>
      </c>
      <c r="B31" s="489" t="s">
        <v>1026</v>
      </c>
      <c r="C31" s="46"/>
    </row>
    <row r="32" spans="1:3" x14ac:dyDescent="0.25">
      <c r="A32" s="488">
        <v>13</v>
      </c>
      <c r="B32" s="490" t="s">
        <v>1027</v>
      </c>
      <c r="C32" s="46"/>
    </row>
    <row r="33" spans="1:3" ht="45" x14ac:dyDescent="0.25">
      <c r="A33" s="488">
        <v>14</v>
      </c>
      <c r="B33" s="490" t="s">
        <v>1028</v>
      </c>
      <c r="C33" s="46"/>
    </row>
    <row r="34" spans="1:3" x14ac:dyDescent="0.25">
      <c r="A34" s="488">
        <v>15</v>
      </c>
      <c r="B34" s="680" t="s">
        <v>1029</v>
      </c>
      <c r="C34" s="46"/>
    </row>
    <row r="35" spans="1:3" ht="60" x14ac:dyDescent="0.25">
      <c r="A35" s="488">
        <v>16</v>
      </c>
      <c r="B35" s="490" t="s">
        <v>1030</v>
      </c>
      <c r="C35" s="46"/>
    </row>
    <row r="36" spans="1:3" ht="60" x14ac:dyDescent="0.25">
      <c r="A36" s="488">
        <v>17</v>
      </c>
      <c r="B36" s="490" t="s">
        <v>1031</v>
      </c>
      <c r="C36" s="46" t="s">
        <v>358</v>
      </c>
    </row>
    <row r="37" spans="1:3" ht="15.75" x14ac:dyDescent="0.25">
      <c r="A37" s="492"/>
      <c r="B37" s="492"/>
      <c r="C37" s="492"/>
    </row>
    <row r="38" spans="1:3" ht="23.25" customHeight="1" x14ac:dyDescent="0.25">
      <c r="A38" s="483" t="s">
        <v>1032</v>
      </c>
      <c r="B38" s="493"/>
      <c r="C38" s="494"/>
    </row>
    <row r="39" spans="1:3" ht="19.5" customHeight="1" x14ac:dyDescent="0.25">
      <c r="A39" s="495" t="s">
        <v>71</v>
      </c>
      <c r="B39" s="496" t="s">
        <v>72</v>
      </c>
      <c r="C39" s="495" t="s">
        <v>2</v>
      </c>
    </row>
    <row r="40" spans="1:3" ht="37.5" customHeight="1" x14ac:dyDescent="0.25">
      <c r="A40" s="497">
        <v>1</v>
      </c>
      <c r="B40" s="493" t="s">
        <v>1033</v>
      </c>
      <c r="C40" s="491"/>
    </row>
    <row r="41" spans="1:3" ht="24" customHeight="1" x14ac:dyDescent="0.25">
      <c r="A41" s="497">
        <v>2</v>
      </c>
      <c r="B41" s="493" t="s">
        <v>1034</v>
      </c>
      <c r="C41" s="491"/>
    </row>
    <row r="42" spans="1:3" ht="24" customHeight="1" x14ac:dyDescent="0.25">
      <c r="A42" s="497">
        <v>3</v>
      </c>
      <c r="B42" s="484" t="s">
        <v>1035</v>
      </c>
      <c r="C42" s="491"/>
    </row>
    <row r="43" spans="1:3" ht="24" customHeight="1" x14ac:dyDescent="0.25">
      <c r="A43" s="497">
        <v>4</v>
      </c>
      <c r="B43" s="493" t="s">
        <v>1036</v>
      </c>
      <c r="C43" s="491"/>
    </row>
    <row r="44" spans="1:3" ht="24" customHeight="1" x14ac:dyDescent="0.25">
      <c r="A44" s="497">
        <v>5</v>
      </c>
      <c r="B44" s="493" t="s">
        <v>1037</v>
      </c>
      <c r="C44" s="491"/>
    </row>
    <row r="45" spans="1:3" ht="36.75" customHeight="1" x14ac:dyDescent="0.25">
      <c r="A45" s="497">
        <v>6</v>
      </c>
      <c r="B45" s="493" t="s">
        <v>1038</v>
      </c>
      <c r="C45" s="491"/>
    </row>
    <row r="46" spans="1:3" ht="41.25" customHeight="1" x14ac:dyDescent="0.25">
      <c r="A46" s="497">
        <v>7</v>
      </c>
      <c r="B46" s="493" t="s">
        <v>1039</v>
      </c>
      <c r="C46" s="491"/>
    </row>
    <row r="47" spans="1:3" ht="25.5" customHeight="1" x14ac:dyDescent="0.25">
      <c r="A47" s="497">
        <v>8</v>
      </c>
      <c r="B47" s="876" t="s">
        <v>1040</v>
      </c>
      <c r="C47" s="491"/>
    </row>
    <row r="48" spans="1:3" ht="27" customHeight="1" x14ac:dyDescent="0.25">
      <c r="A48" s="497">
        <v>9</v>
      </c>
      <c r="B48" s="493" t="s">
        <v>1041</v>
      </c>
      <c r="C48" s="46"/>
    </row>
    <row r="49" spans="1:3" ht="57" customHeight="1" x14ac:dyDescent="0.25">
      <c r="A49" s="497">
        <v>10</v>
      </c>
      <c r="B49" s="493" t="s">
        <v>1042</v>
      </c>
      <c r="C49" s="46" t="s">
        <v>1043</v>
      </c>
    </row>
    <row r="50" spans="1:3" ht="37.5" customHeight="1" x14ac:dyDescent="0.25">
      <c r="A50" s="497">
        <v>11</v>
      </c>
      <c r="B50" s="493" t="s">
        <v>1044</v>
      </c>
      <c r="C50" s="484"/>
    </row>
    <row r="51" spans="1:3" x14ac:dyDescent="0.25">
      <c r="A51" s="484"/>
      <c r="B51" s="484"/>
      <c r="C51" s="484"/>
    </row>
    <row r="52" spans="1:3" ht="23.25" customHeight="1" x14ac:dyDescent="0.25">
      <c r="A52" s="483" t="s">
        <v>1045</v>
      </c>
      <c r="B52" s="493"/>
      <c r="C52" s="494"/>
    </row>
    <row r="53" spans="1:3" x14ac:dyDescent="0.25">
      <c r="A53" s="495" t="s">
        <v>71</v>
      </c>
      <c r="B53" s="496" t="s">
        <v>72</v>
      </c>
      <c r="C53" s="495" t="s">
        <v>2</v>
      </c>
    </row>
    <row r="54" spans="1:3" ht="41.25" customHeight="1" x14ac:dyDescent="0.25">
      <c r="A54" s="497">
        <v>1</v>
      </c>
      <c r="B54" s="493" t="s">
        <v>1046</v>
      </c>
      <c r="C54" s="46"/>
    </row>
    <row r="55" spans="1:3" ht="52.5" customHeight="1" x14ac:dyDescent="0.25">
      <c r="A55" s="497">
        <v>2</v>
      </c>
      <c r="B55" s="493" t="s">
        <v>1047</v>
      </c>
      <c r="C55" s="46"/>
    </row>
    <row r="56" spans="1:3" ht="25.5" customHeight="1" x14ac:dyDescent="0.25">
      <c r="A56" s="498">
        <v>3</v>
      </c>
      <c r="B56" s="493" t="s">
        <v>1048</v>
      </c>
      <c r="C56" s="46" t="s">
        <v>1049</v>
      </c>
    </row>
    <row r="57" spans="1:3" ht="52.5" customHeight="1" x14ac:dyDescent="0.25">
      <c r="A57" s="497">
        <v>4</v>
      </c>
      <c r="B57" s="876" t="s">
        <v>1464</v>
      </c>
      <c r="C57" s="46"/>
    </row>
    <row r="58" spans="1:3" ht="82.5" customHeight="1" x14ac:dyDescent="0.25">
      <c r="A58" s="497">
        <v>5</v>
      </c>
      <c r="B58" s="489" t="s">
        <v>1451</v>
      </c>
      <c r="C58" s="46" t="s">
        <v>1049</v>
      </c>
    </row>
  </sheetData>
  <hyperlinks>
    <hyperlink ref="C5" r:id="rId1" xr:uid="{7C16D715-0E69-459D-814B-DF9AC6E51942}"/>
    <hyperlink ref="C20" r:id="rId2" xr:uid="{ABDA9A77-5526-4158-955B-0104E8D1E331}"/>
    <hyperlink ref="C21" r:id="rId3" display="https://www.ons.gov.uk/peoplepopulationandcommunity/crimeandjustice/methodologies/userguidetocrimestatisticsforenglandandwales" xr:uid="{0FE033D4-8F78-48A7-A3BF-CE221601AD2B}"/>
    <hyperlink ref="C22" r:id="rId4" display="https://www.ons.gov.uk/peoplepopulationandcommunity/crimeandjustice/methodologies/userguidetocrimestatisticsforenglandandwales" xr:uid="{630D35F3-667B-4B8B-BDF2-A0060A963463}"/>
    <hyperlink ref="C26" r:id="rId5" display="https://www.ukfinance.org.uk/policy-and-guidance/reports-and-publications/annual-fraud-report-2024" xr:uid="{3508F195-B9F8-43C4-95EC-04B3B7A43DAC}"/>
    <hyperlink ref="C27" r:id="rId6" display="https://www.ukfinance.org.uk/policy-and-guidance/reports-and-publications/annual-fraud-report-2023" xr:uid="{815314D4-3AD6-4448-A717-F6396D85CFA9}"/>
    <hyperlink ref="C36" r:id="rId7" display="https://www.ons.gov.uk/peoplepopulationandcommunity/crimeandjustice/methodologies/userguidetocrimestatisticsforenglandandwales" xr:uid="{D896E142-D022-43FF-BDB3-4A1900919243}"/>
    <hyperlink ref="C49" r:id="rId8" display="https://www.ukfinance.org.uk/policy-and-guidance/reports-publications/fraud-facts-2021" xr:uid="{0F07A79A-A48A-4FBB-9816-F9AFBB0D056F}"/>
    <hyperlink ref="C56" r:id="rId9" display="https://www.legislation.gov.uk/ukpga/2023/50" xr:uid="{E76F70F6-E12B-4E8E-A285-7CF9B2530E67}"/>
    <hyperlink ref="C58" r:id="rId10" display="https://www.legislation.gov.uk/ukpga/2023/50" xr:uid="{92519C2F-851B-41CE-BB7B-3D0FA9B51981}"/>
  </hyperlinks>
  <pageMargins left="0.7" right="0.7" top="0.75" bottom="0.75" header="0.3" footer="0.3"/>
  <pageSetup paperSize="9" orientation="portrait" r:id="rId11"/>
  <tableParts count="2">
    <tablePart r:id="rId12"/>
    <tablePart r:id="rId1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F30FA-95EB-4954-90BC-326010F332FB}">
  <dimension ref="A1:E30"/>
  <sheetViews>
    <sheetView showGridLines="0" workbookViewId="0"/>
  </sheetViews>
  <sheetFormatPr defaultRowHeight="15" customHeight="1" x14ac:dyDescent="0.25"/>
  <cols>
    <col min="1" max="1" width="70.7109375" customWidth="1"/>
    <col min="2" max="5" width="18.7109375" customWidth="1"/>
  </cols>
  <sheetData>
    <row r="1" spans="1:5" ht="16.5" x14ac:dyDescent="0.25">
      <c r="A1" s="836" t="s">
        <v>52</v>
      </c>
      <c r="B1" s="124"/>
      <c r="C1" s="124"/>
      <c r="D1" s="124"/>
      <c r="E1" s="124"/>
    </row>
    <row r="2" spans="1:5" ht="15.75" x14ac:dyDescent="0.25">
      <c r="A2" s="33" t="s">
        <v>1050</v>
      </c>
      <c r="B2" s="124"/>
      <c r="C2" s="124"/>
      <c r="D2" s="124"/>
      <c r="E2" s="124"/>
    </row>
    <row r="3" spans="1:5" ht="18" customHeight="1" x14ac:dyDescent="0.25">
      <c r="A3" s="2" t="s">
        <v>97</v>
      </c>
      <c r="B3" s="124"/>
      <c r="C3" s="124"/>
      <c r="D3" s="124"/>
      <c r="E3" s="124"/>
    </row>
    <row r="4" spans="1:5" ht="22.5" customHeight="1" x14ac:dyDescent="0.25">
      <c r="A4" s="1" t="s">
        <v>98</v>
      </c>
      <c r="B4" s="124"/>
      <c r="C4" s="124"/>
      <c r="D4" s="124"/>
      <c r="E4" s="124"/>
    </row>
    <row r="5" spans="1:5" ht="15.75" x14ac:dyDescent="0.25">
      <c r="A5" s="2" t="s">
        <v>99</v>
      </c>
      <c r="B5" s="124"/>
      <c r="C5" s="124"/>
      <c r="D5" s="124"/>
      <c r="E5" s="124"/>
    </row>
    <row r="6" spans="1:5" ht="21" customHeight="1" x14ac:dyDescent="0.25">
      <c r="A6" s="1" t="s">
        <v>1051</v>
      </c>
      <c r="B6" s="124"/>
      <c r="C6" s="124"/>
      <c r="D6" s="124"/>
      <c r="E6" s="124"/>
    </row>
    <row r="7" spans="1:5" ht="78.75" x14ac:dyDescent="0.25">
      <c r="A7" s="31" t="s">
        <v>1052</v>
      </c>
      <c r="B7" s="99" t="s">
        <v>1053</v>
      </c>
      <c r="C7" s="99" t="s">
        <v>1054</v>
      </c>
      <c r="D7" s="99" t="s">
        <v>1055</v>
      </c>
      <c r="E7" s="99" t="s">
        <v>1056</v>
      </c>
    </row>
    <row r="8" spans="1:5" ht="15.75" x14ac:dyDescent="0.25">
      <c r="A8" s="4" t="s">
        <v>1057</v>
      </c>
      <c r="B8" s="5">
        <v>4072</v>
      </c>
      <c r="C8" s="5">
        <v>84</v>
      </c>
      <c r="D8" s="6">
        <v>3453</v>
      </c>
      <c r="E8" s="13">
        <v>7.1</v>
      </c>
    </row>
    <row r="9" spans="1:5" ht="15.75" x14ac:dyDescent="0.25">
      <c r="A9" s="7" t="s">
        <v>1058</v>
      </c>
      <c r="B9" s="8">
        <v>833</v>
      </c>
      <c r="C9" s="8">
        <v>17</v>
      </c>
      <c r="D9" s="9">
        <v>776</v>
      </c>
      <c r="E9" s="15">
        <v>1.6</v>
      </c>
    </row>
    <row r="10" spans="1:5" ht="15.75" x14ac:dyDescent="0.25">
      <c r="A10" s="7" t="s">
        <v>1059</v>
      </c>
      <c r="B10" s="8">
        <v>2185</v>
      </c>
      <c r="C10" s="8">
        <v>45</v>
      </c>
      <c r="D10" s="9">
        <v>1838</v>
      </c>
      <c r="E10" s="15">
        <v>3.8</v>
      </c>
    </row>
    <row r="11" spans="1:5" ht="15.75" x14ac:dyDescent="0.25">
      <c r="A11" s="7" t="s">
        <v>1060</v>
      </c>
      <c r="B11" s="8">
        <v>1053</v>
      </c>
      <c r="C11" s="8">
        <v>22</v>
      </c>
      <c r="D11" s="9">
        <v>925</v>
      </c>
      <c r="E11" s="15">
        <v>1.9</v>
      </c>
    </row>
    <row r="12" spans="1:5" ht="15.75" x14ac:dyDescent="0.25">
      <c r="A12" s="4" t="s">
        <v>293</v>
      </c>
      <c r="B12" s="5">
        <v>2495</v>
      </c>
      <c r="C12" s="5">
        <v>51</v>
      </c>
      <c r="D12" s="6">
        <v>2072</v>
      </c>
      <c r="E12" s="13">
        <v>4.3</v>
      </c>
    </row>
    <row r="13" spans="1:5" ht="15.75" x14ac:dyDescent="0.25">
      <c r="A13" s="7" t="s">
        <v>1061</v>
      </c>
      <c r="B13" s="8">
        <v>276</v>
      </c>
      <c r="C13" s="8">
        <v>6</v>
      </c>
      <c r="D13" s="9">
        <v>239</v>
      </c>
      <c r="E13" s="15">
        <v>0.5</v>
      </c>
    </row>
    <row r="14" spans="1:5" ht="15.75" x14ac:dyDescent="0.25">
      <c r="A14" s="7" t="s">
        <v>1062</v>
      </c>
      <c r="B14" s="8">
        <v>1636</v>
      </c>
      <c r="C14" s="8">
        <v>34</v>
      </c>
      <c r="D14" s="9">
        <v>1343</v>
      </c>
      <c r="E14" s="15">
        <v>2.8</v>
      </c>
    </row>
    <row r="15" spans="1:5" ht="15.75" x14ac:dyDescent="0.25">
      <c r="A15" s="7" t="s">
        <v>1063</v>
      </c>
      <c r="B15" s="8">
        <v>582</v>
      </c>
      <c r="C15" s="8">
        <v>12</v>
      </c>
      <c r="D15" s="9">
        <v>525</v>
      </c>
      <c r="E15" s="15">
        <v>1.1000000000000001</v>
      </c>
    </row>
    <row r="16" spans="1:5" ht="15.75" x14ac:dyDescent="0.25">
      <c r="A16" s="4" t="s">
        <v>1064</v>
      </c>
      <c r="B16" s="5">
        <v>1074</v>
      </c>
      <c r="C16" s="5">
        <v>22</v>
      </c>
      <c r="D16" s="6">
        <v>989</v>
      </c>
      <c r="E16" s="13">
        <v>2</v>
      </c>
    </row>
    <row r="17" spans="1:5" ht="15.75" x14ac:dyDescent="0.25">
      <c r="A17" s="7" t="s">
        <v>1061</v>
      </c>
      <c r="B17" s="8">
        <v>418</v>
      </c>
      <c r="C17" s="8">
        <v>9</v>
      </c>
      <c r="D17" s="9">
        <v>405</v>
      </c>
      <c r="E17" s="15">
        <v>0.8</v>
      </c>
    </row>
    <row r="18" spans="1:5" ht="15.75" x14ac:dyDescent="0.25">
      <c r="A18" s="7" t="s">
        <v>1062</v>
      </c>
      <c r="B18" s="8">
        <v>465</v>
      </c>
      <c r="C18" s="8">
        <v>10</v>
      </c>
      <c r="D18" s="9">
        <v>434</v>
      </c>
      <c r="E18" s="15">
        <v>0.9</v>
      </c>
    </row>
    <row r="19" spans="1:5" ht="15.75" x14ac:dyDescent="0.25">
      <c r="A19" s="7" t="s">
        <v>1063</v>
      </c>
      <c r="B19" s="8">
        <v>192</v>
      </c>
      <c r="C19" s="8">
        <v>4</v>
      </c>
      <c r="D19" s="9">
        <v>161</v>
      </c>
      <c r="E19" s="15">
        <v>0.3</v>
      </c>
    </row>
    <row r="20" spans="1:5" ht="15.75" x14ac:dyDescent="0.25">
      <c r="A20" s="4" t="s">
        <v>1065</v>
      </c>
      <c r="B20" s="5">
        <v>503</v>
      </c>
      <c r="C20" s="5">
        <v>10</v>
      </c>
      <c r="D20" s="6">
        <v>466</v>
      </c>
      <c r="E20" s="13">
        <v>1</v>
      </c>
    </row>
    <row r="21" spans="1:5" ht="15.75" x14ac:dyDescent="0.25">
      <c r="A21" s="7" t="s">
        <v>1061</v>
      </c>
      <c r="B21" s="8">
        <v>139</v>
      </c>
      <c r="C21" s="8">
        <v>3</v>
      </c>
      <c r="D21" s="9">
        <v>134</v>
      </c>
      <c r="E21" s="15">
        <v>0.3</v>
      </c>
    </row>
    <row r="22" spans="1:5" ht="15.75" x14ac:dyDescent="0.25">
      <c r="A22" s="7" t="s">
        <v>1062</v>
      </c>
      <c r="B22" s="8">
        <v>84</v>
      </c>
      <c r="C22" s="8">
        <v>2</v>
      </c>
      <c r="D22" s="9">
        <v>78</v>
      </c>
      <c r="E22" s="15">
        <v>0.2</v>
      </c>
    </row>
    <row r="23" spans="1:5" ht="15.75" x14ac:dyDescent="0.25">
      <c r="A23" s="7" t="s">
        <v>1063</v>
      </c>
      <c r="B23" s="8">
        <v>280</v>
      </c>
      <c r="C23" s="8">
        <v>6</v>
      </c>
      <c r="D23" s="9">
        <v>255</v>
      </c>
      <c r="E23" s="15">
        <v>0.5</v>
      </c>
    </row>
    <row r="24" spans="1:5" ht="15.75" x14ac:dyDescent="0.25">
      <c r="A24" s="4" t="s">
        <v>1066</v>
      </c>
      <c r="B24" s="5">
        <v>663</v>
      </c>
      <c r="C24" s="5">
        <v>14</v>
      </c>
      <c r="D24" s="6">
        <v>585</v>
      </c>
      <c r="E24" s="13">
        <v>1.2</v>
      </c>
    </row>
    <row r="25" spans="1:5" ht="15.75" x14ac:dyDescent="0.25">
      <c r="A25" s="4" t="s">
        <v>1067</v>
      </c>
      <c r="B25" s="5">
        <v>127</v>
      </c>
      <c r="C25" s="5">
        <v>3</v>
      </c>
      <c r="D25" s="6">
        <v>126</v>
      </c>
      <c r="E25" s="13">
        <v>0.3</v>
      </c>
    </row>
    <row r="26" spans="1:5" ht="15.75" x14ac:dyDescent="0.25">
      <c r="A26" s="7" t="s">
        <v>1061</v>
      </c>
      <c r="B26" s="8">
        <v>24</v>
      </c>
      <c r="C26" s="8">
        <v>0</v>
      </c>
      <c r="D26" s="9">
        <v>24</v>
      </c>
      <c r="E26" s="15">
        <v>0</v>
      </c>
    </row>
    <row r="27" spans="1:5" ht="15.75" x14ac:dyDescent="0.25">
      <c r="A27" s="7" t="s">
        <v>1062</v>
      </c>
      <c r="B27" s="8">
        <v>0</v>
      </c>
      <c r="C27" s="8">
        <v>0</v>
      </c>
      <c r="D27" s="9">
        <v>0</v>
      </c>
      <c r="E27" s="15">
        <v>0</v>
      </c>
    </row>
    <row r="28" spans="1:5" ht="15.75" x14ac:dyDescent="0.25">
      <c r="A28" s="7" t="s">
        <v>1063</v>
      </c>
      <c r="B28" s="8">
        <v>103</v>
      </c>
      <c r="C28" s="8">
        <v>2</v>
      </c>
      <c r="D28" s="9">
        <v>103</v>
      </c>
      <c r="E28" s="15">
        <v>0.2</v>
      </c>
    </row>
    <row r="29" spans="1:5" ht="31.5" x14ac:dyDescent="0.25">
      <c r="A29" s="4" t="s">
        <v>1068</v>
      </c>
      <c r="B29" s="5">
        <v>536</v>
      </c>
      <c r="C29" s="5">
        <v>11</v>
      </c>
      <c r="D29" s="6">
        <v>462</v>
      </c>
      <c r="E29" s="13">
        <v>1</v>
      </c>
    </row>
    <row r="30" spans="1:5" ht="15.75" x14ac:dyDescent="0.25">
      <c r="A30" s="10" t="s">
        <v>146</v>
      </c>
      <c r="B30" s="11">
        <v>31791</v>
      </c>
      <c r="C30" s="11"/>
      <c r="D30" s="12">
        <v>31791</v>
      </c>
      <c r="E30" s="17"/>
    </row>
  </sheetData>
  <hyperlinks>
    <hyperlink ref="A5" location="'Notes_C1 to C5'!A1" display="Link to notes page." xr:uid="{2334E1CA-29DB-422C-905D-09D685F6CA6C}"/>
    <hyperlink ref="A3" location=" 'Table of contents'!A1" display="Link to Table of contents." xr:uid="{C8C1F30F-ABB3-4393-A2B4-0EE629CA409F}"/>
  </hyperlinks>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A4206-E756-4837-BE6D-76E532933EE6}">
  <dimension ref="A1:D12"/>
  <sheetViews>
    <sheetView showGridLines="0" workbookViewId="0"/>
  </sheetViews>
  <sheetFormatPr defaultRowHeight="15" customHeight="1" x14ac:dyDescent="0.25"/>
  <cols>
    <col min="1" max="1" width="70.7109375" customWidth="1"/>
    <col min="2" max="4" width="20.7109375" customWidth="1"/>
  </cols>
  <sheetData>
    <row r="1" spans="1:4" ht="17.25" customHeight="1" x14ac:dyDescent="0.25">
      <c r="A1" s="836" t="s">
        <v>1069</v>
      </c>
    </row>
    <row r="2" spans="1:4" ht="17.25" customHeight="1" x14ac:dyDescent="0.25">
      <c r="A2" s="32" t="s">
        <v>1050</v>
      </c>
    </row>
    <row r="3" spans="1:4" ht="17.25" customHeight="1" x14ac:dyDescent="0.25">
      <c r="A3" s="2" t="s">
        <v>97</v>
      </c>
    </row>
    <row r="4" spans="1:4" ht="17.25" customHeight="1" x14ac:dyDescent="0.25">
      <c r="A4" s="1" t="s">
        <v>98</v>
      </c>
    </row>
    <row r="5" spans="1:4" ht="17.25" customHeight="1" x14ac:dyDescent="0.25">
      <c r="A5" s="2" t="s">
        <v>99</v>
      </c>
    </row>
    <row r="6" spans="1:4" ht="17.25" customHeight="1" x14ac:dyDescent="0.25">
      <c r="A6" s="1" t="s">
        <v>1051</v>
      </c>
    </row>
    <row r="7" spans="1:4" ht="47.25" x14ac:dyDescent="0.25">
      <c r="A7" s="31" t="s">
        <v>1070</v>
      </c>
      <c r="B7" s="99" t="s">
        <v>1071</v>
      </c>
      <c r="C7" s="99" t="s">
        <v>1072</v>
      </c>
      <c r="D7" s="99" t="s">
        <v>1073</v>
      </c>
    </row>
    <row r="8" spans="1:4" ht="15.75" x14ac:dyDescent="0.25">
      <c r="A8" s="7" t="s">
        <v>1074</v>
      </c>
      <c r="B8" s="8">
        <v>73</v>
      </c>
      <c r="C8" s="8">
        <v>85</v>
      </c>
      <c r="D8" s="8">
        <v>53</v>
      </c>
    </row>
    <row r="9" spans="1:4" ht="15.75" x14ac:dyDescent="0.25">
      <c r="A9" s="7" t="s">
        <v>1075</v>
      </c>
      <c r="B9" s="8">
        <v>3</v>
      </c>
      <c r="C9" s="8">
        <v>3</v>
      </c>
      <c r="D9" s="8">
        <v>2</v>
      </c>
    </row>
    <row r="10" spans="1:4" ht="15.75" x14ac:dyDescent="0.25">
      <c r="A10" s="7" t="s">
        <v>1076</v>
      </c>
      <c r="B10" s="8">
        <v>21</v>
      </c>
      <c r="C10" s="8">
        <v>8</v>
      </c>
      <c r="D10" s="8">
        <v>42</v>
      </c>
    </row>
    <row r="11" spans="1:4" ht="15.75" x14ac:dyDescent="0.25">
      <c r="A11" s="7" t="s">
        <v>1077</v>
      </c>
      <c r="B11" s="8">
        <v>4</v>
      </c>
      <c r="C11" s="8">
        <v>4</v>
      </c>
      <c r="D11" s="8">
        <v>3</v>
      </c>
    </row>
    <row r="12" spans="1:4" ht="15.75" x14ac:dyDescent="0.25">
      <c r="A12" s="10" t="s">
        <v>1078</v>
      </c>
      <c r="B12" s="11">
        <v>1709</v>
      </c>
      <c r="C12" s="11">
        <v>1085</v>
      </c>
      <c r="D12" s="34">
        <v>502</v>
      </c>
    </row>
  </sheetData>
  <hyperlinks>
    <hyperlink ref="A5" location="'Notes_C1 to C5'!A1" display="Link to notes page." xr:uid="{41DCC63F-D809-43AC-90DC-40C2D36A93CC}"/>
    <hyperlink ref="A3" location=" 'Table of contents'!A1" display="Link to Table of contents." xr:uid="{17292B19-8128-4AE6-AC01-0A80377233EF}"/>
  </hyperlinks>
  <pageMargins left="0.7" right="0.7" top="0.75" bottom="0.75" header="0.3" footer="0.3"/>
  <pageSetup paperSize="9" orientation="portrait"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A1BBB-4023-48FD-AE3F-556AB6EF199A}">
  <dimension ref="A1:M76"/>
  <sheetViews>
    <sheetView showGridLines="0" workbookViewId="0"/>
  </sheetViews>
  <sheetFormatPr defaultRowHeight="15" customHeight="1" x14ac:dyDescent="0.25"/>
  <cols>
    <col min="1" max="1" width="88.7109375" customWidth="1"/>
    <col min="2" max="7" width="16.42578125" customWidth="1"/>
    <col min="8" max="13" width="14.85546875" customWidth="1"/>
  </cols>
  <sheetData>
    <row r="1" spans="1:13" s="39" customFormat="1" ht="20.25" customHeight="1" x14ac:dyDescent="0.25">
      <c r="A1" s="863" t="s">
        <v>1501</v>
      </c>
      <c r="B1" s="261"/>
      <c r="C1" s="261"/>
      <c r="D1" s="261"/>
      <c r="E1" s="261"/>
      <c r="F1" s="261"/>
      <c r="G1" s="261"/>
      <c r="H1" s="261"/>
      <c r="I1" s="261"/>
      <c r="J1" s="261"/>
      <c r="K1" s="261"/>
      <c r="L1" s="261"/>
      <c r="M1" s="262"/>
    </row>
    <row r="2" spans="1:13" s="39" customFormat="1" ht="22.5" customHeight="1" x14ac:dyDescent="0.25">
      <c r="A2" s="263" t="s">
        <v>1079</v>
      </c>
      <c r="B2" s="261"/>
      <c r="C2" s="261"/>
      <c r="D2" s="261"/>
      <c r="E2" s="261"/>
      <c r="F2" s="261"/>
      <c r="G2" s="261"/>
      <c r="H2" s="261"/>
      <c r="I2" s="261"/>
      <c r="J2" s="261"/>
      <c r="K2" s="261"/>
      <c r="L2" s="261"/>
      <c r="M2" s="262"/>
    </row>
    <row r="3" spans="1:13" s="39" customFormat="1" ht="18.75" customHeight="1" x14ac:dyDescent="0.25">
      <c r="A3" s="270" t="s">
        <v>1082</v>
      </c>
      <c r="B3" s="267"/>
      <c r="C3" s="268"/>
      <c r="D3" s="265"/>
      <c r="E3" s="265"/>
      <c r="F3" s="265"/>
      <c r="G3" s="269"/>
      <c r="H3" s="269"/>
      <c r="I3" s="269"/>
      <c r="J3" s="269"/>
      <c r="K3" s="265"/>
      <c r="L3" s="265"/>
      <c r="M3" s="265"/>
    </row>
    <row r="4" spans="1:13" s="39" customFormat="1" ht="20.25" customHeight="1" x14ac:dyDescent="0.25">
      <c r="A4" s="864" t="s">
        <v>368</v>
      </c>
      <c r="B4" s="264"/>
      <c r="C4" s="264"/>
      <c r="D4" s="264"/>
      <c r="E4" s="264"/>
      <c r="F4" s="264"/>
      <c r="G4" s="264"/>
      <c r="H4" s="264"/>
      <c r="I4" s="264"/>
      <c r="J4" s="264"/>
      <c r="K4" s="264"/>
      <c r="L4" s="264"/>
      <c r="M4" s="265"/>
    </row>
    <row r="5" spans="1:13" s="39" customFormat="1" ht="16.5" customHeight="1" x14ac:dyDescent="0.25">
      <c r="A5" s="266" t="s">
        <v>1081</v>
      </c>
      <c r="B5" s="267"/>
      <c r="C5" s="268"/>
      <c r="D5" s="265"/>
      <c r="E5" s="265"/>
      <c r="F5" s="265"/>
      <c r="G5" s="269"/>
      <c r="H5" s="269"/>
      <c r="I5" s="269"/>
      <c r="J5" s="269"/>
      <c r="K5" s="265"/>
      <c r="L5" s="265"/>
      <c r="M5" s="265"/>
    </row>
    <row r="6" spans="1:13" s="39" customFormat="1" ht="22.5" customHeight="1" x14ac:dyDescent="0.25">
      <c r="A6" s="864" t="s">
        <v>1449</v>
      </c>
      <c r="B6" s="267"/>
      <c r="C6" s="268"/>
      <c r="D6" s="265"/>
      <c r="E6" s="265"/>
      <c r="F6" s="265"/>
      <c r="G6" s="269"/>
      <c r="H6" s="269"/>
      <c r="I6" s="269"/>
      <c r="J6" s="269"/>
      <c r="K6" s="265"/>
      <c r="L6" s="265"/>
      <c r="M6" s="265"/>
    </row>
    <row r="7" spans="1:13" s="39" customFormat="1" ht="18.75" customHeight="1" x14ac:dyDescent="0.25">
      <c r="A7" s="49" t="s">
        <v>1080</v>
      </c>
      <c r="B7" s="264"/>
      <c r="C7" s="264"/>
      <c r="D7" s="264"/>
      <c r="E7" s="264"/>
      <c r="F7" s="264"/>
      <c r="G7" s="264"/>
      <c r="H7" s="264"/>
      <c r="I7" s="264"/>
      <c r="J7" s="264"/>
      <c r="K7" s="264"/>
      <c r="L7" s="264"/>
      <c r="M7" s="265"/>
    </row>
    <row r="8" spans="1:13" s="39" customFormat="1" ht="22.5" customHeight="1" x14ac:dyDescent="0.25">
      <c r="A8" s="865" t="s">
        <v>1083</v>
      </c>
      <c r="B8" s="271"/>
      <c r="C8" s="271"/>
      <c r="D8" s="272"/>
      <c r="E8" s="273"/>
      <c r="F8" s="274"/>
      <c r="G8" s="274"/>
      <c r="H8" s="274"/>
      <c r="I8" s="262"/>
      <c r="J8" s="262"/>
      <c r="K8" s="275"/>
      <c r="L8" s="275"/>
      <c r="M8" s="275"/>
    </row>
    <row r="9" spans="1:13" ht="75" x14ac:dyDescent="0.25">
      <c r="A9" s="276" t="s">
        <v>1084</v>
      </c>
      <c r="B9" s="277" t="s">
        <v>1085</v>
      </c>
      <c r="C9" s="277" t="s">
        <v>1086</v>
      </c>
      <c r="D9" s="278" t="s">
        <v>1087</v>
      </c>
      <c r="E9" s="277" t="s">
        <v>1088</v>
      </c>
      <c r="F9" s="278" t="s">
        <v>1089</v>
      </c>
      <c r="G9" s="277" t="s">
        <v>1090</v>
      </c>
      <c r="H9" s="279" t="s">
        <v>1091</v>
      </c>
      <c r="I9" s="280" t="s">
        <v>1092</v>
      </c>
      <c r="J9" s="281" t="s">
        <v>1093</v>
      </c>
      <c r="K9" s="282" t="s">
        <v>1094</v>
      </c>
      <c r="L9" s="282" t="s">
        <v>1095</v>
      </c>
      <c r="M9" s="283" t="s">
        <v>1096</v>
      </c>
    </row>
    <row r="10" spans="1:13" ht="19.5" customHeight="1" x14ac:dyDescent="0.25">
      <c r="A10" s="284" t="s">
        <v>1097</v>
      </c>
      <c r="B10" s="285">
        <v>33111</v>
      </c>
      <c r="C10" s="286">
        <v>29249</v>
      </c>
      <c r="D10" s="285">
        <v>297062</v>
      </c>
      <c r="E10" s="287">
        <v>287552</v>
      </c>
      <c r="F10" s="288">
        <v>569933</v>
      </c>
      <c r="G10" s="286">
        <v>568887</v>
      </c>
      <c r="H10" s="289">
        <v>900106</v>
      </c>
      <c r="I10" s="290">
        <v>885688</v>
      </c>
      <c r="J10" s="291">
        <v>-11.663797529521913</v>
      </c>
      <c r="K10" s="292">
        <v>-3.2013519063360474</v>
      </c>
      <c r="L10" s="292">
        <v>-0.18353034479491326</v>
      </c>
      <c r="M10" s="292">
        <v>-1.6018113422196945</v>
      </c>
    </row>
    <row r="11" spans="1:13" ht="15" customHeight="1" x14ac:dyDescent="0.25">
      <c r="A11" s="262" t="s">
        <v>1098</v>
      </c>
      <c r="B11" s="293">
        <v>26526</v>
      </c>
      <c r="C11" s="294">
        <v>24045</v>
      </c>
      <c r="D11" s="293">
        <v>218509</v>
      </c>
      <c r="E11" s="295">
        <v>224783</v>
      </c>
      <c r="F11" s="296">
        <v>569933</v>
      </c>
      <c r="G11" s="294">
        <v>568887</v>
      </c>
      <c r="H11" s="297">
        <v>814968</v>
      </c>
      <c r="I11" s="298">
        <v>817715</v>
      </c>
      <c r="J11" s="299">
        <v>-9.3530875367563873</v>
      </c>
      <c r="K11" s="298">
        <v>2.8712776132790774</v>
      </c>
      <c r="L11" s="300">
        <v>-0.18353034479491326</v>
      </c>
      <c r="M11" s="300">
        <v>0.33706844931333801</v>
      </c>
    </row>
    <row r="12" spans="1:13" x14ac:dyDescent="0.25">
      <c r="A12" s="262" t="s">
        <v>1099</v>
      </c>
      <c r="B12" s="293">
        <v>3387</v>
      </c>
      <c r="C12" s="294">
        <v>2504</v>
      </c>
      <c r="D12" s="293">
        <v>77088</v>
      </c>
      <c r="E12" s="293">
        <v>61396</v>
      </c>
      <c r="F12" s="301" t="s">
        <v>169</v>
      </c>
      <c r="G12" s="302" t="s">
        <v>169</v>
      </c>
      <c r="H12" s="298">
        <v>80475</v>
      </c>
      <c r="I12" s="298">
        <v>63900</v>
      </c>
      <c r="J12" s="299">
        <v>-26.070268674343076</v>
      </c>
      <c r="K12" s="298">
        <v>-20.355956828559574</v>
      </c>
      <c r="L12" s="303" t="s">
        <v>169</v>
      </c>
      <c r="M12" s="300">
        <v>-20.596458527493013</v>
      </c>
    </row>
    <row r="13" spans="1:13" ht="15" customHeight="1" x14ac:dyDescent="0.25">
      <c r="A13" s="262" t="s">
        <v>1100</v>
      </c>
      <c r="B13" s="293">
        <v>35</v>
      </c>
      <c r="C13" s="294">
        <v>29</v>
      </c>
      <c r="D13" s="293">
        <v>1465</v>
      </c>
      <c r="E13" s="295">
        <v>1373</v>
      </c>
      <c r="F13" s="301" t="s">
        <v>169</v>
      </c>
      <c r="G13" s="302" t="s">
        <v>169</v>
      </c>
      <c r="H13" s="298">
        <v>1500</v>
      </c>
      <c r="I13" s="298">
        <v>1402</v>
      </c>
      <c r="J13" s="299" t="s">
        <v>403</v>
      </c>
      <c r="K13" s="298">
        <v>-6.2798634812286647</v>
      </c>
      <c r="L13" s="303" t="s">
        <v>169</v>
      </c>
      <c r="M13" s="300">
        <v>-6.533333333333335</v>
      </c>
    </row>
    <row r="14" spans="1:13" x14ac:dyDescent="0.25">
      <c r="A14" s="262" t="s">
        <v>1101</v>
      </c>
      <c r="B14" s="293">
        <v>3074</v>
      </c>
      <c r="C14" s="294">
        <v>2580</v>
      </c>
      <c r="D14" s="301" t="s">
        <v>169</v>
      </c>
      <c r="E14" s="302" t="s">
        <v>169</v>
      </c>
      <c r="F14" s="301" t="s">
        <v>169</v>
      </c>
      <c r="G14" s="302" t="s">
        <v>169</v>
      </c>
      <c r="H14" s="298">
        <v>3074</v>
      </c>
      <c r="I14" s="298">
        <v>2580</v>
      </c>
      <c r="J14" s="299">
        <v>-16.070266753415741</v>
      </c>
      <c r="K14" s="303" t="s">
        <v>169</v>
      </c>
      <c r="L14" s="303" t="s">
        <v>169</v>
      </c>
      <c r="M14" s="300">
        <v>-16.070266753415741</v>
      </c>
    </row>
    <row r="15" spans="1:13" ht="25.5" customHeight="1" x14ac:dyDescent="0.25">
      <c r="A15" s="262" t="s">
        <v>1102</v>
      </c>
      <c r="B15" s="293">
        <v>89</v>
      </c>
      <c r="C15" s="294">
        <v>91</v>
      </c>
      <c r="D15" s="301" t="s">
        <v>169</v>
      </c>
      <c r="E15" s="302" t="s">
        <v>169</v>
      </c>
      <c r="F15" s="301" t="s">
        <v>169</v>
      </c>
      <c r="G15" s="302" t="s">
        <v>169</v>
      </c>
      <c r="H15" s="298">
        <v>89</v>
      </c>
      <c r="I15" s="298">
        <v>91</v>
      </c>
      <c r="J15" s="299">
        <v>2.2471910112359605</v>
      </c>
      <c r="K15" s="303" t="s">
        <v>169</v>
      </c>
      <c r="L15" s="303" t="s">
        <v>169</v>
      </c>
      <c r="M15" s="300">
        <v>2.2471910112359605</v>
      </c>
    </row>
    <row r="16" spans="1:13" ht="20.25" customHeight="1" x14ac:dyDescent="0.25">
      <c r="A16" s="284" t="s">
        <v>1103</v>
      </c>
      <c r="B16" s="285">
        <v>150</v>
      </c>
      <c r="C16" s="286">
        <v>101</v>
      </c>
      <c r="D16" s="290">
        <v>392</v>
      </c>
      <c r="E16" s="304">
        <v>425</v>
      </c>
      <c r="F16" s="305" t="s">
        <v>169</v>
      </c>
      <c r="G16" s="306" t="s">
        <v>169</v>
      </c>
      <c r="H16" s="290">
        <v>542</v>
      </c>
      <c r="I16" s="290">
        <v>526</v>
      </c>
      <c r="J16" s="307">
        <v>-32.666666666666664</v>
      </c>
      <c r="K16" s="285">
        <v>8.418367346938771</v>
      </c>
      <c r="L16" s="308" t="s">
        <v>169</v>
      </c>
      <c r="M16" s="292">
        <v>-2.9520295202952074</v>
      </c>
    </row>
    <row r="17" spans="1:13" ht="15.75" x14ac:dyDescent="0.25">
      <c r="A17" s="284" t="s">
        <v>1104</v>
      </c>
      <c r="B17" s="285">
        <v>858</v>
      </c>
      <c r="C17" s="286">
        <v>953</v>
      </c>
      <c r="D17" s="309">
        <v>13643</v>
      </c>
      <c r="E17" s="287">
        <v>18077</v>
      </c>
      <c r="F17" s="305" t="s">
        <v>169</v>
      </c>
      <c r="G17" s="306" t="s">
        <v>169</v>
      </c>
      <c r="H17" s="290">
        <v>14501</v>
      </c>
      <c r="I17" s="290">
        <v>19030</v>
      </c>
      <c r="J17" s="291">
        <v>11.072261072261069</v>
      </c>
      <c r="K17" s="310">
        <v>32.500183244154513</v>
      </c>
      <c r="L17" s="303" t="s">
        <v>169</v>
      </c>
      <c r="M17" s="311">
        <v>31.232328804910004</v>
      </c>
    </row>
    <row r="18" spans="1:13" ht="15" customHeight="1" x14ac:dyDescent="0.25">
      <c r="A18" s="262" t="s">
        <v>1105</v>
      </c>
      <c r="B18" s="293">
        <v>109</v>
      </c>
      <c r="C18" s="294">
        <v>114</v>
      </c>
      <c r="D18" s="312">
        <v>13643</v>
      </c>
      <c r="E18" s="295">
        <v>18077</v>
      </c>
      <c r="F18" s="301" t="s">
        <v>169</v>
      </c>
      <c r="G18" s="302" t="s">
        <v>169</v>
      </c>
      <c r="H18" s="298">
        <v>13752</v>
      </c>
      <c r="I18" s="298">
        <v>18191</v>
      </c>
      <c r="J18" s="313">
        <v>4.587155963302747</v>
      </c>
      <c r="K18" s="298">
        <v>32.500183244154513</v>
      </c>
      <c r="L18" s="303" t="s">
        <v>169</v>
      </c>
      <c r="M18" s="300">
        <v>32.278941244909845</v>
      </c>
    </row>
    <row r="19" spans="1:13" ht="32.25" customHeight="1" x14ac:dyDescent="0.25">
      <c r="A19" s="262" t="s">
        <v>1106</v>
      </c>
      <c r="B19" s="293">
        <v>749</v>
      </c>
      <c r="C19" s="294">
        <v>839</v>
      </c>
      <c r="D19" s="301" t="s">
        <v>169</v>
      </c>
      <c r="E19" s="302" t="s">
        <v>169</v>
      </c>
      <c r="F19" s="301" t="s">
        <v>169</v>
      </c>
      <c r="G19" s="302" t="s">
        <v>169</v>
      </c>
      <c r="H19" s="298">
        <v>749</v>
      </c>
      <c r="I19" s="298">
        <v>839</v>
      </c>
      <c r="J19" s="313">
        <v>12.016021361815765</v>
      </c>
      <c r="K19" s="303" t="s">
        <v>169</v>
      </c>
      <c r="L19" s="303" t="s">
        <v>169</v>
      </c>
      <c r="M19" s="300">
        <v>12.016021361815765</v>
      </c>
    </row>
    <row r="20" spans="1:13" ht="22.5" customHeight="1" x14ac:dyDescent="0.25">
      <c r="A20" s="284" t="s">
        <v>1107</v>
      </c>
      <c r="B20" s="285">
        <v>608</v>
      </c>
      <c r="C20" s="286">
        <v>1206</v>
      </c>
      <c r="D20" s="287">
        <v>53424</v>
      </c>
      <c r="E20" s="287">
        <v>70046</v>
      </c>
      <c r="F20" s="305" t="s">
        <v>169</v>
      </c>
      <c r="G20" s="306" t="s">
        <v>169</v>
      </c>
      <c r="H20" s="290">
        <v>54032</v>
      </c>
      <c r="I20" s="290">
        <v>71252</v>
      </c>
      <c r="J20" s="291">
        <v>98.35526315789474</v>
      </c>
      <c r="K20" s="285">
        <v>31.113357292602583</v>
      </c>
      <c r="L20" s="308" t="s">
        <v>169</v>
      </c>
      <c r="M20" s="311">
        <v>31.870002961208165</v>
      </c>
    </row>
    <row r="21" spans="1:13" ht="15.75" x14ac:dyDescent="0.25">
      <c r="A21" s="284" t="s">
        <v>1108</v>
      </c>
      <c r="B21" s="285">
        <v>498</v>
      </c>
      <c r="C21" s="286">
        <v>547</v>
      </c>
      <c r="D21" s="285">
        <v>163</v>
      </c>
      <c r="E21" s="285">
        <v>134</v>
      </c>
      <c r="F21" s="305" t="s">
        <v>169</v>
      </c>
      <c r="G21" s="306" t="s">
        <v>169</v>
      </c>
      <c r="H21" s="290">
        <v>661</v>
      </c>
      <c r="I21" s="290">
        <v>681</v>
      </c>
      <c r="J21" s="291">
        <v>9.8393574297188646</v>
      </c>
      <c r="K21" s="311">
        <v>-17.791411042944784</v>
      </c>
      <c r="L21" s="303" t="s">
        <v>169</v>
      </c>
      <c r="M21" s="314">
        <v>3.0257186081694476</v>
      </c>
    </row>
    <row r="22" spans="1:13" x14ac:dyDescent="0.25">
      <c r="A22" s="262" t="s">
        <v>1109</v>
      </c>
      <c r="B22" s="293">
        <v>474</v>
      </c>
      <c r="C22" s="294">
        <v>527</v>
      </c>
      <c r="D22" s="301" t="s">
        <v>169</v>
      </c>
      <c r="E22" s="302" t="s">
        <v>169</v>
      </c>
      <c r="F22" s="301" t="s">
        <v>169</v>
      </c>
      <c r="G22" s="302" t="s">
        <v>169</v>
      </c>
      <c r="H22" s="298">
        <v>474</v>
      </c>
      <c r="I22" s="298">
        <v>527</v>
      </c>
      <c r="J22" s="313">
        <v>11.181434599156127</v>
      </c>
      <c r="K22" s="303" t="s">
        <v>169</v>
      </c>
      <c r="L22" s="303" t="s">
        <v>169</v>
      </c>
      <c r="M22" s="315">
        <v>11.181434599156127</v>
      </c>
    </row>
    <row r="23" spans="1:13" ht="33.75" customHeight="1" x14ac:dyDescent="0.25">
      <c r="A23" s="262" t="s">
        <v>1110</v>
      </c>
      <c r="B23" s="293">
        <v>24</v>
      </c>
      <c r="C23" s="294">
        <v>20</v>
      </c>
      <c r="D23" s="293">
        <v>163</v>
      </c>
      <c r="E23" s="293">
        <v>134</v>
      </c>
      <c r="F23" s="301" t="s">
        <v>169</v>
      </c>
      <c r="G23" s="302" t="s">
        <v>169</v>
      </c>
      <c r="H23" s="298">
        <v>187</v>
      </c>
      <c r="I23" s="298">
        <v>154</v>
      </c>
      <c r="J23" s="299" t="s">
        <v>403</v>
      </c>
      <c r="K23" s="300">
        <v>-17.791411042944784</v>
      </c>
      <c r="L23" s="303" t="s">
        <v>169</v>
      </c>
      <c r="M23" s="300">
        <v>-17.647058823529417</v>
      </c>
    </row>
    <row r="24" spans="1:13" ht="15.75" x14ac:dyDescent="0.25">
      <c r="A24" s="284" t="s">
        <v>1111</v>
      </c>
      <c r="B24" s="285">
        <v>51802</v>
      </c>
      <c r="C24" s="286">
        <v>54133</v>
      </c>
      <c r="D24" s="305" t="s">
        <v>169</v>
      </c>
      <c r="E24" s="306" t="s">
        <v>169</v>
      </c>
      <c r="F24" s="305" t="s">
        <v>169</v>
      </c>
      <c r="G24" s="306" t="s">
        <v>169</v>
      </c>
      <c r="H24" s="290">
        <v>51802</v>
      </c>
      <c r="I24" s="290">
        <v>54133</v>
      </c>
      <c r="J24" s="291">
        <v>4.4998262615343121</v>
      </c>
      <c r="K24" s="308" t="s">
        <v>169</v>
      </c>
      <c r="L24" s="308" t="s">
        <v>169</v>
      </c>
      <c r="M24" s="311">
        <v>4.4998262615343121</v>
      </c>
    </row>
    <row r="25" spans="1:13" x14ac:dyDescent="0.25">
      <c r="A25" s="262" t="s">
        <v>1112</v>
      </c>
      <c r="B25" s="293">
        <v>930</v>
      </c>
      <c r="C25" s="294">
        <v>788</v>
      </c>
      <c r="D25" s="301" t="s">
        <v>169</v>
      </c>
      <c r="E25" s="302" t="s">
        <v>169</v>
      </c>
      <c r="F25" s="301" t="s">
        <v>169</v>
      </c>
      <c r="G25" s="302" t="s">
        <v>169</v>
      </c>
      <c r="H25" s="298">
        <v>930</v>
      </c>
      <c r="I25" s="298">
        <v>788</v>
      </c>
      <c r="J25" s="313">
        <v>-15.268817204301078</v>
      </c>
      <c r="K25" s="303" t="s">
        <v>169</v>
      </c>
      <c r="L25" s="303" t="s">
        <v>169</v>
      </c>
      <c r="M25" s="300">
        <v>-15.268817204301078</v>
      </c>
    </row>
    <row r="26" spans="1:13" x14ac:dyDescent="0.25">
      <c r="A26" s="262" t="s">
        <v>1113</v>
      </c>
      <c r="B26" s="293">
        <v>525</v>
      </c>
      <c r="C26" s="294">
        <v>522</v>
      </c>
      <c r="D26" s="301" t="s">
        <v>169</v>
      </c>
      <c r="E26" s="302" t="s">
        <v>169</v>
      </c>
      <c r="F26" s="301" t="s">
        <v>169</v>
      </c>
      <c r="G26" s="302" t="s">
        <v>169</v>
      </c>
      <c r="H26" s="298">
        <v>525</v>
      </c>
      <c r="I26" s="298">
        <v>522</v>
      </c>
      <c r="J26" s="313">
        <v>-0.57142857142856718</v>
      </c>
      <c r="K26" s="303" t="s">
        <v>169</v>
      </c>
      <c r="L26" s="303" t="s">
        <v>169</v>
      </c>
      <c r="M26" s="300">
        <v>-0.57142857142856718</v>
      </c>
    </row>
    <row r="27" spans="1:13" x14ac:dyDescent="0.25">
      <c r="A27" s="262" t="s">
        <v>1114</v>
      </c>
      <c r="B27" s="293">
        <v>188</v>
      </c>
      <c r="C27" s="294">
        <v>174</v>
      </c>
      <c r="D27" s="301" t="s">
        <v>169</v>
      </c>
      <c r="E27" s="302" t="s">
        <v>169</v>
      </c>
      <c r="F27" s="301" t="s">
        <v>169</v>
      </c>
      <c r="G27" s="302" t="s">
        <v>169</v>
      </c>
      <c r="H27" s="298">
        <v>188</v>
      </c>
      <c r="I27" s="298">
        <v>174</v>
      </c>
      <c r="J27" s="313">
        <v>-7.4468085106383031</v>
      </c>
      <c r="K27" s="303" t="s">
        <v>169</v>
      </c>
      <c r="L27" s="303" t="s">
        <v>169</v>
      </c>
      <c r="M27" s="300">
        <v>-7.4468085106383031</v>
      </c>
    </row>
    <row r="28" spans="1:13" x14ac:dyDescent="0.25">
      <c r="A28" s="262" t="s">
        <v>1115</v>
      </c>
      <c r="B28" s="293">
        <v>8626</v>
      </c>
      <c r="C28" s="294">
        <v>9624</v>
      </c>
      <c r="D28" s="301" t="s">
        <v>169</v>
      </c>
      <c r="E28" s="302" t="s">
        <v>169</v>
      </c>
      <c r="F28" s="301" t="s">
        <v>169</v>
      </c>
      <c r="G28" s="302" t="s">
        <v>169</v>
      </c>
      <c r="H28" s="298">
        <v>8626</v>
      </c>
      <c r="I28" s="298">
        <v>9624</v>
      </c>
      <c r="J28" s="313">
        <v>11.569673081381859</v>
      </c>
      <c r="K28" s="303" t="s">
        <v>169</v>
      </c>
      <c r="L28" s="303" t="s">
        <v>169</v>
      </c>
      <c r="M28" s="300">
        <v>11.569673081381859</v>
      </c>
    </row>
    <row r="29" spans="1:13" x14ac:dyDescent="0.25">
      <c r="A29" s="262" t="s">
        <v>1116</v>
      </c>
      <c r="B29" s="293">
        <v>3307</v>
      </c>
      <c r="C29" s="294">
        <v>4261</v>
      </c>
      <c r="D29" s="301" t="s">
        <v>169</v>
      </c>
      <c r="E29" s="302" t="s">
        <v>169</v>
      </c>
      <c r="F29" s="301" t="s">
        <v>169</v>
      </c>
      <c r="G29" s="302" t="s">
        <v>169</v>
      </c>
      <c r="H29" s="298">
        <v>3307</v>
      </c>
      <c r="I29" s="298">
        <v>4261</v>
      </c>
      <c r="J29" s="313">
        <v>28.847898397338966</v>
      </c>
      <c r="K29" s="303" t="s">
        <v>169</v>
      </c>
      <c r="L29" s="303" t="s">
        <v>169</v>
      </c>
      <c r="M29" s="300">
        <v>28.847898397338966</v>
      </c>
    </row>
    <row r="30" spans="1:13" x14ac:dyDescent="0.25">
      <c r="A30" s="262" t="s">
        <v>1117</v>
      </c>
      <c r="B30" s="293">
        <v>234</v>
      </c>
      <c r="C30" s="294">
        <v>230</v>
      </c>
      <c r="D30" s="301" t="s">
        <v>169</v>
      </c>
      <c r="E30" s="302" t="s">
        <v>169</v>
      </c>
      <c r="F30" s="301" t="s">
        <v>169</v>
      </c>
      <c r="G30" s="302" t="s">
        <v>169</v>
      </c>
      <c r="H30" s="298">
        <v>234</v>
      </c>
      <c r="I30" s="298">
        <v>230</v>
      </c>
      <c r="J30" s="313">
        <v>-1.7094017094017144</v>
      </c>
      <c r="K30" s="303" t="s">
        <v>169</v>
      </c>
      <c r="L30" s="303" t="s">
        <v>169</v>
      </c>
      <c r="M30" s="300">
        <v>-1.7094017094017144</v>
      </c>
    </row>
    <row r="31" spans="1:13" x14ac:dyDescent="0.25">
      <c r="A31" s="262" t="s">
        <v>1118</v>
      </c>
      <c r="B31" s="293">
        <v>4679</v>
      </c>
      <c r="C31" s="294">
        <v>3932</v>
      </c>
      <c r="D31" s="301" t="s">
        <v>169</v>
      </c>
      <c r="E31" s="302" t="s">
        <v>169</v>
      </c>
      <c r="F31" s="301" t="s">
        <v>169</v>
      </c>
      <c r="G31" s="302" t="s">
        <v>169</v>
      </c>
      <c r="H31" s="298">
        <v>4679</v>
      </c>
      <c r="I31" s="298">
        <v>3932</v>
      </c>
      <c r="J31" s="313">
        <v>-15.964949775593073</v>
      </c>
      <c r="K31" s="303" t="s">
        <v>169</v>
      </c>
      <c r="L31" s="303" t="s">
        <v>169</v>
      </c>
      <c r="M31" s="300">
        <v>-15.964949775593073</v>
      </c>
    </row>
    <row r="32" spans="1:13" x14ac:dyDescent="0.25">
      <c r="A32" s="262" t="s">
        <v>1119</v>
      </c>
      <c r="B32" s="293">
        <v>31307</v>
      </c>
      <c r="C32" s="294">
        <v>32940</v>
      </c>
      <c r="D32" s="301" t="s">
        <v>169</v>
      </c>
      <c r="E32" s="302" t="s">
        <v>169</v>
      </c>
      <c r="F32" s="301" t="s">
        <v>169</v>
      </c>
      <c r="G32" s="302" t="s">
        <v>169</v>
      </c>
      <c r="H32" s="298">
        <v>31307</v>
      </c>
      <c r="I32" s="298">
        <v>32940</v>
      </c>
      <c r="J32" s="313">
        <v>5.2160858593924608</v>
      </c>
      <c r="K32" s="303" t="s">
        <v>169</v>
      </c>
      <c r="L32" s="303" t="s">
        <v>169</v>
      </c>
      <c r="M32" s="300">
        <v>5.2160858593924608</v>
      </c>
    </row>
    <row r="33" spans="1:13" ht="36" customHeight="1" x14ac:dyDescent="0.25">
      <c r="A33" s="262" t="s">
        <v>1120</v>
      </c>
      <c r="B33" s="293">
        <v>2006</v>
      </c>
      <c r="C33" s="294">
        <v>1662</v>
      </c>
      <c r="D33" s="301" t="s">
        <v>169</v>
      </c>
      <c r="E33" s="302" t="s">
        <v>169</v>
      </c>
      <c r="F33" s="301" t="s">
        <v>169</v>
      </c>
      <c r="G33" s="302" t="s">
        <v>169</v>
      </c>
      <c r="H33" s="298">
        <v>2006</v>
      </c>
      <c r="I33" s="298">
        <v>1662</v>
      </c>
      <c r="J33" s="313">
        <v>-17.148554336989029</v>
      </c>
      <c r="K33" s="303" t="s">
        <v>169</v>
      </c>
      <c r="L33" s="303" t="s">
        <v>169</v>
      </c>
      <c r="M33" s="300">
        <v>-17.148554336989029</v>
      </c>
    </row>
    <row r="34" spans="1:13" ht="15.75" x14ac:dyDescent="0.25">
      <c r="A34" s="284" t="s">
        <v>1121</v>
      </c>
      <c r="B34" s="285">
        <v>22003</v>
      </c>
      <c r="C34" s="286">
        <v>22315</v>
      </c>
      <c r="D34" s="305" t="s">
        <v>169</v>
      </c>
      <c r="E34" s="306" t="s">
        <v>169</v>
      </c>
      <c r="F34" s="305" t="s">
        <v>169</v>
      </c>
      <c r="G34" s="306" t="s">
        <v>169</v>
      </c>
      <c r="H34" s="290">
        <v>22003</v>
      </c>
      <c r="I34" s="290">
        <v>22315</v>
      </c>
      <c r="J34" s="291">
        <v>1.4179884561196232</v>
      </c>
      <c r="K34" s="308" t="s">
        <v>169</v>
      </c>
      <c r="L34" s="308" t="s">
        <v>169</v>
      </c>
      <c r="M34" s="292">
        <v>1.4179884561196232</v>
      </c>
    </row>
    <row r="35" spans="1:13" x14ac:dyDescent="0.25">
      <c r="A35" s="262" t="s">
        <v>1122</v>
      </c>
      <c r="B35" s="293">
        <v>4103</v>
      </c>
      <c r="C35" s="294">
        <v>4012</v>
      </c>
      <c r="D35" s="301" t="s">
        <v>169</v>
      </c>
      <c r="E35" s="302" t="s">
        <v>169</v>
      </c>
      <c r="F35" s="301" t="s">
        <v>169</v>
      </c>
      <c r="G35" s="302" t="s">
        <v>169</v>
      </c>
      <c r="H35" s="298">
        <v>4103</v>
      </c>
      <c r="I35" s="298">
        <v>4012</v>
      </c>
      <c r="J35" s="313">
        <v>-2.2178893492566409</v>
      </c>
      <c r="K35" s="303" t="s">
        <v>169</v>
      </c>
      <c r="L35" s="303" t="s">
        <v>169</v>
      </c>
      <c r="M35" s="316">
        <v>-2.2178893492566409</v>
      </c>
    </row>
    <row r="36" spans="1:13" x14ac:dyDescent="0.25">
      <c r="A36" s="262" t="s">
        <v>1123</v>
      </c>
      <c r="B36" s="293">
        <v>3871</v>
      </c>
      <c r="C36" s="294">
        <v>3855</v>
      </c>
      <c r="D36" s="301" t="s">
        <v>169</v>
      </c>
      <c r="E36" s="302" t="s">
        <v>169</v>
      </c>
      <c r="F36" s="301" t="s">
        <v>169</v>
      </c>
      <c r="G36" s="302" t="s">
        <v>169</v>
      </c>
      <c r="H36" s="298">
        <v>3871</v>
      </c>
      <c r="I36" s="298">
        <v>3855</v>
      </c>
      <c r="J36" s="313">
        <v>-0.4133298889175907</v>
      </c>
      <c r="K36" s="303" t="s">
        <v>169</v>
      </c>
      <c r="L36" s="303" t="s">
        <v>169</v>
      </c>
      <c r="M36" s="316">
        <v>-0.4133298889175907</v>
      </c>
    </row>
    <row r="37" spans="1:13" ht="15" customHeight="1" x14ac:dyDescent="0.25">
      <c r="A37" s="262" t="s">
        <v>1124</v>
      </c>
      <c r="B37" s="293">
        <v>3</v>
      </c>
      <c r="C37" s="294">
        <v>0</v>
      </c>
      <c r="D37" s="301" t="s">
        <v>169</v>
      </c>
      <c r="E37" s="302" t="s">
        <v>169</v>
      </c>
      <c r="F37" s="301" t="s">
        <v>169</v>
      </c>
      <c r="G37" s="302" t="s">
        <v>169</v>
      </c>
      <c r="H37" s="298">
        <v>3</v>
      </c>
      <c r="I37" s="298">
        <v>0</v>
      </c>
      <c r="J37" s="296" t="s">
        <v>403</v>
      </c>
      <c r="K37" s="303" t="s">
        <v>169</v>
      </c>
      <c r="L37" s="303" t="s">
        <v>169</v>
      </c>
      <c r="M37" s="293" t="s">
        <v>403</v>
      </c>
    </row>
    <row r="38" spans="1:13" x14ac:dyDescent="0.25">
      <c r="A38" s="262" t="s">
        <v>1125</v>
      </c>
      <c r="B38" s="293">
        <v>75</v>
      </c>
      <c r="C38" s="294">
        <v>95</v>
      </c>
      <c r="D38" s="301" t="s">
        <v>169</v>
      </c>
      <c r="E38" s="302" t="s">
        <v>169</v>
      </c>
      <c r="F38" s="301" t="s">
        <v>169</v>
      </c>
      <c r="G38" s="302" t="s">
        <v>169</v>
      </c>
      <c r="H38" s="298">
        <v>75</v>
      </c>
      <c r="I38" s="298">
        <v>95</v>
      </c>
      <c r="J38" s="313">
        <v>26.666666666666661</v>
      </c>
      <c r="K38" s="303" t="s">
        <v>169</v>
      </c>
      <c r="L38" s="303" t="s">
        <v>169</v>
      </c>
      <c r="M38" s="316">
        <v>26.666666666666661</v>
      </c>
    </row>
    <row r="39" spans="1:13" ht="28.5" customHeight="1" x14ac:dyDescent="0.25">
      <c r="A39" s="262" t="s">
        <v>1126</v>
      </c>
      <c r="B39" s="293">
        <v>13951</v>
      </c>
      <c r="C39" s="294">
        <v>14353</v>
      </c>
      <c r="D39" s="301" t="s">
        <v>169</v>
      </c>
      <c r="E39" s="302" t="s">
        <v>169</v>
      </c>
      <c r="F39" s="301" t="s">
        <v>169</v>
      </c>
      <c r="G39" s="302" t="s">
        <v>169</v>
      </c>
      <c r="H39" s="298">
        <v>13951</v>
      </c>
      <c r="I39" s="298">
        <v>14353</v>
      </c>
      <c r="J39" s="313">
        <v>2.8815138699734844</v>
      </c>
      <c r="K39" s="303" t="s">
        <v>169</v>
      </c>
      <c r="L39" s="303" t="s">
        <v>169</v>
      </c>
      <c r="M39" s="316">
        <v>2.8815138699734844</v>
      </c>
    </row>
    <row r="40" spans="1:13" ht="15.75" x14ac:dyDescent="0.25">
      <c r="A40" s="284" t="s">
        <v>1064</v>
      </c>
      <c r="B40" s="285">
        <v>117707</v>
      </c>
      <c r="C40" s="286">
        <v>102318</v>
      </c>
      <c r="D40" s="305" t="s">
        <v>169</v>
      </c>
      <c r="E40" s="306" t="s">
        <v>169</v>
      </c>
      <c r="F40" s="305" t="s">
        <v>169</v>
      </c>
      <c r="G40" s="306" t="s">
        <v>169</v>
      </c>
      <c r="H40" s="290">
        <v>117707</v>
      </c>
      <c r="I40" s="290">
        <v>102318</v>
      </c>
      <c r="J40" s="291">
        <v>-13.073988802705017</v>
      </c>
      <c r="K40" s="308" t="s">
        <v>169</v>
      </c>
      <c r="L40" s="308" t="s">
        <v>169</v>
      </c>
      <c r="M40" s="311">
        <v>-13.073988802705017</v>
      </c>
    </row>
    <row r="41" spans="1:13" x14ac:dyDescent="0.25">
      <c r="A41" s="262" t="s">
        <v>1127</v>
      </c>
      <c r="B41" s="293">
        <v>61814</v>
      </c>
      <c r="C41" s="294">
        <v>47035</v>
      </c>
      <c r="D41" s="301" t="s">
        <v>169</v>
      </c>
      <c r="E41" s="302" t="s">
        <v>169</v>
      </c>
      <c r="F41" s="301" t="s">
        <v>169</v>
      </c>
      <c r="G41" s="302" t="s">
        <v>169</v>
      </c>
      <c r="H41" s="298">
        <v>61814</v>
      </c>
      <c r="I41" s="298">
        <v>47035</v>
      </c>
      <c r="J41" s="313">
        <v>-23.908823243925326</v>
      </c>
      <c r="K41" s="303" t="s">
        <v>169</v>
      </c>
      <c r="L41" s="303" t="s">
        <v>169</v>
      </c>
      <c r="M41" s="300">
        <v>-23.908823243925326</v>
      </c>
    </row>
    <row r="42" spans="1:13" x14ac:dyDescent="0.25">
      <c r="A42" s="262" t="s">
        <v>1128</v>
      </c>
      <c r="B42" s="293">
        <v>1985</v>
      </c>
      <c r="C42" s="294">
        <v>2198</v>
      </c>
      <c r="D42" s="301" t="s">
        <v>169</v>
      </c>
      <c r="E42" s="302" t="s">
        <v>169</v>
      </c>
      <c r="F42" s="301" t="s">
        <v>169</v>
      </c>
      <c r="G42" s="302" t="s">
        <v>169</v>
      </c>
      <c r="H42" s="298">
        <v>1985</v>
      </c>
      <c r="I42" s="298">
        <v>2198</v>
      </c>
      <c r="J42" s="313">
        <v>10.730478589420645</v>
      </c>
      <c r="K42" s="303" t="s">
        <v>169</v>
      </c>
      <c r="L42" s="303" t="s">
        <v>169</v>
      </c>
      <c r="M42" s="300">
        <v>10.730478589420645</v>
      </c>
    </row>
    <row r="43" spans="1:13" x14ac:dyDescent="0.25">
      <c r="A43" s="262" t="s">
        <v>1129</v>
      </c>
      <c r="B43" s="293">
        <v>6167</v>
      </c>
      <c r="C43" s="294">
        <v>6743</v>
      </c>
      <c r="D43" s="301" t="s">
        <v>169</v>
      </c>
      <c r="E43" s="302" t="s">
        <v>169</v>
      </c>
      <c r="F43" s="301" t="s">
        <v>169</v>
      </c>
      <c r="G43" s="302" t="s">
        <v>169</v>
      </c>
      <c r="H43" s="298">
        <v>6167</v>
      </c>
      <c r="I43" s="298">
        <v>6743</v>
      </c>
      <c r="J43" s="313">
        <v>9.3400356737473711</v>
      </c>
      <c r="K43" s="303" t="s">
        <v>169</v>
      </c>
      <c r="L43" s="303" t="s">
        <v>169</v>
      </c>
      <c r="M43" s="300">
        <v>9.3400356737473711</v>
      </c>
    </row>
    <row r="44" spans="1:13" x14ac:dyDescent="0.25">
      <c r="A44" s="262" t="s">
        <v>1130</v>
      </c>
      <c r="B44" s="293">
        <v>24366</v>
      </c>
      <c r="C44" s="294">
        <v>27187</v>
      </c>
      <c r="D44" s="301" t="s">
        <v>169</v>
      </c>
      <c r="E44" s="302" t="s">
        <v>169</v>
      </c>
      <c r="F44" s="301" t="s">
        <v>169</v>
      </c>
      <c r="G44" s="302" t="s">
        <v>169</v>
      </c>
      <c r="H44" s="298">
        <v>24366</v>
      </c>
      <c r="I44" s="298">
        <v>27187</v>
      </c>
      <c r="J44" s="313">
        <v>11.577608142493645</v>
      </c>
      <c r="K44" s="303" t="s">
        <v>169</v>
      </c>
      <c r="L44" s="303" t="s">
        <v>169</v>
      </c>
      <c r="M44" s="300">
        <v>11.577608142493645</v>
      </c>
    </row>
    <row r="45" spans="1:13" x14ac:dyDescent="0.25">
      <c r="A45" s="262" t="s">
        <v>1131</v>
      </c>
      <c r="B45" s="293">
        <v>12428</v>
      </c>
      <c r="C45" s="294">
        <v>4577</v>
      </c>
      <c r="D45" s="301" t="s">
        <v>169</v>
      </c>
      <c r="E45" s="302" t="s">
        <v>169</v>
      </c>
      <c r="F45" s="301" t="s">
        <v>169</v>
      </c>
      <c r="G45" s="302" t="s">
        <v>169</v>
      </c>
      <c r="H45" s="298">
        <v>12428</v>
      </c>
      <c r="I45" s="298">
        <v>4577</v>
      </c>
      <c r="J45" s="313">
        <v>-63.171869971033146</v>
      </c>
      <c r="K45" s="303" t="s">
        <v>169</v>
      </c>
      <c r="L45" s="303" t="s">
        <v>169</v>
      </c>
      <c r="M45" s="300">
        <v>-63.171869971033146</v>
      </c>
    </row>
    <row r="46" spans="1:13" x14ac:dyDescent="0.25">
      <c r="A46" s="262" t="s">
        <v>1132</v>
      </c>
      <c r="B46" s="293">
        <v>8679</v>
      </c>
      <c r="C46" s="294">
        <v>9095</v>
      </c>
      <c r="D46" s="301" t="s">
        <v>169</v>
      </c>
      <c r="E46" s="302" t="s">
        <v>169</v>
      </c>
      <c r="F46" s="301" t="s">
        <v>169</v>
      </c>
      <c r="G46" s="302" t="s">
        <v>169</v>
      </c>
      <c r="H46" s="298">
        <v>8679</v>
      </c>
      <c r="I46" s="298">
        <v>9095</v>
      </c>
      <c r="J46" s="313">
        <v>4.7931789376656209</v>
      </c>
      <c r="K46" s="303" t="s">
        <v>169</v>
      </c>
      <c r="L46" s="303" t="s">
        <v>169</v>
      </c>
      <c r="M46" s="300">
        <v>4.7931789376656209</v>
      </c>
    </row>
    <row r="47" spans="1:13" ht="32.25" customHeight="1" x14ac:dyDescent="0.25">
      <c r="A47" s="262" t="s">
        <v>1133</v>
      </c>
      <c r="B47" s="293">
        <v>2268</v>
      </c>
      <c r="C47" s="294">
        <v>5483</v>
      </c>
      <c r="D47" s="301" t="s">
        <v>169</v>
      </c>
      <c r="E47" s="302" t="s">
        <v>169</v>
      </c>
      <c r="F47" s="301" t="s">
        <v>169</v>
      </c>
      <c r="G47" s="302" t="s">
        <v>169</v>
      </c>
      <c r="H47" s="298">
        <v>2268</v>
      </c>
      <c r="I47" s="298">
        <v>5483</v>
      </c>
      <c r="J47" s="296">
        <v>141.75485008818342</v>
      </c>
      <c r="K47" s="303" t="s">
        <v>169</v>
      </c>
      <c r="L47" s="303" t="s">
        <v>169</v>
      </c>
      <c r="M47" s="300">
        <v>141.75485008818342</v>
      </c>
    </row>
    <row r="48" spans="1:13" ht="15.75" x14ac:dyDescent="0.25">
      <c r="A48" s="284" t="s">
        <v>1134</v>
      </c>
      <c r="B48" s="285">
        <v>1230</v>
      </c>
      <c r="C48" s="286">
        <v>1291</v>
      </c>
      <c r="D48" s="305" t="s">
        <v>169</v>
      </c>
      <c r="E48" s="306" t="s">
        <v>169</v>
      </c>
      <c r="F48" s="305" t="s">
        <v>169</v>
      </c>
      <c r="G48" s="306" t="s">
        <v>169</v>
      </c>
      <c r="H48" s="285">
        <v>1230</v>
      </c>
      <c r="I48" s="285">
        <v>1291</v>
      </c>
      <c r="J48" s="307">
        <v>4.959349593495932</v>
      </c>
      <c r="K48" s="308" t="s">
        <v>169</v>
      </c>
      <c r="L48" s="308" t="s">
        <v>169</v>
      </c>
      <c r="M48" s="311">
        <v>4.959349593495932</v>
      </c>
    </row>
    <row r="49" spans="1:13" x14ac:dyDescent="0.25">
      <c r="A49" s="262" t="s">
        <v>1135</v>
      </c>
      <c r="B49" s="293">
        <v>1044</v>
      </c>
      <c r="C49" s="294">
        <v>1112</v>
      </c>
      <c r="D49" s="301" t="s">
        <v>169</v>
      </c>
      <c r="E49" s="302" t="s">
        <v>169</v>
      </c>
      <c r="F49" s="301" t="s">
        <v>169</v>
      </c>
      <c r="G49" s="302" t="s">
        <v>169</v>
      </c>
      <c r="H49" s="293">
        <v>1044</v>
      </c>
      <c r="I49" s="293">
        <v>1112</v>
      </c>
      <c r="J49" s="299">
        <v>6.5134099616858343</v>
      </c>
      <c r="K49" s="303" t="s">
        <v>169</v>
      </c>
      <c r="L49" s="303" t="s">
        <v>169</v>
      </c>
      <c r="M49" s="300">
        <v>6.5134099616858343</v>
      </c>
    </row>
    <row r="50" spans="1:13" ht="33" customHeight="1" x14ac:dyDescent="0.25">
      <c r="A50" s="262" t="s">
        <v>1136</v>
      </c>
      <c r="B50" s="293">
        <v>186</v>
      </c>
      <c r="C50" s="294">
        <v>179</v>
      </c>
      <c r="D50" s="301" t="s">
        <v>169</v>
      </c>
      <c r="E50" s="302" t="s">
        <v>169</v>
      </c>
      <c r="F50" s="301" t="s">
        <v>169</v>
      </c>
      <c r="G50" s="302" t="s">
        <v>169</v>
      </c>
      <c r="H50" s="293">
        <v>186</v>
      </c>
      <c r="I50" s="293">
        <v>179</v>
      </c>
      <c r="J50" s="299">
        <v>-3.7634408602150504</v>
      </c>
      <c r="K50" s="303" t="s">
        <v>169</v>
      </c>
      <c r="L50" s="303" t="s">
        <v>169</v>
      </c>
      <c r="M50" s="300">
        <v>-3.7634408602150504</v>
      </c>
    </row>
    <row r="51" spans="1:13" ht="15.75" x14ac:dyDescent="0.25">
      <c r="A51" s="284" t="s">
        <v>1137</v>
      </c>
      <c r="B51" s="285">
        <v>401</v>
      </c>
      <c r="C51" s="286">
        <v>399</v>
      </c>
      <c r="D51" s="305" t="s">
        <v>169</v>
      </c>
      <c r="E51" s="306" t="s">
        <v>169</v>
      </c>
      <c r="F51" s="305" t="s">
        <v>169</v>
      </c>
      <c r="G51" s="306" t="s">
        <v>169</v>
      </c>
      <c r="H51" s="285">
        <v>401</v>
      </c>
      <c r="I51" s="285">
        <v>399</v>
      </c>
      <c r="J51" s="288">
        <v>-0.49875311720698479</v>
      </c>
      <c r="K51" s="308" t="s">
        <v>169</v>
      </c>
      <c r="L51" s="308" t="s">
        <v>169</v>
      </c>
      <c r="M51" s="285">
        <v>-0.49875311720698479</v>
      </c>
    </row>
    <row r="52" spans="1:13" x14ac:dyDescent="0.25">
      <c r="A52" s="262" t="s">
        <v>1138</v>
      </c>
      <c r="B52" s="293">
        <v>4</v>
      </c>
      <c r="C52" s="294">
        <v>2</v>
      </c>
      <c r="D52" s="301" t="s">
        <v>169</v>
      </c>
      <c r="E52" s="302" t="s">
        <v>169</v>
      </c>
      <c r="F52" s="301" t="s">
        <v>169</v>
      </c>
      <c r="G52" s="302" t="s">
        <v>169</v>
      </c>
      <c r="H52" s="293">
        <v>4</v>
      </c>
      <c r="I52" s="293">
        <v>2</v>
      </c>
      <c r="J52" s="299" t="s">
        <v>403</v>
      </c>
      <c r="K52" s="303" t="s">
        <v>169</v>
      </c>
      <c r="L52" s="303" t="s">
        <v>169</v>
      </c>
      <c r="M52" s="293" t="s">
        <v>403</v>
      </c>
    </row>
    <row r="53" spans="1:13" x14ac:dyDescent="0.25">
      <c r="A53" s="262" t="s">
        <v>1139</v>
      </c>
      <c r="B53" s="293">
        <v>161</v>
      </c>
      <c r="C53" s="294">
        <v>145</v>
      </c>
      <c r="D53" s="301" t="s">
        <v>169</v>
      </c>
      <c r="E53" s="302" t="s">
        <v>169</v>
      </c>
      <c r="F53" s="301" t="s">
        <v>169</v>
      </c>
      <c r="G53" s="302" t="s">
        <v>169</v>
      </c>
      <c r="H53" s="293">
        <v>161</v>
      </c>
      <c r="I53" s="293">
        <v>145</v>
      </c>
      <c r="J53" s="296">
        <v>-9.9378881987577614</v>
      </c>
      <c r="K53" s="303" t="s">
        <v>169</v>
      </c>
      <c r="L53" s="303" t="s">
        <v>169</v>
      </c>
      <c r="M53" s="293">
        <v>-9.9378881987577614</v>
      </c>
    </row>
    <row r="54" spans="1:13" ht="33" customHeight="1" x14ac:dyDescent="0.25">
      <c r="A54" s="262" t="s">
        <v>1140</v>
      </c>
      <c r="B54" s="293">
        <v>236</v>
      </c>
      <c r="C54" s="294">
        <v>252</v>
      </c>
      <c r="D54" s="301" t="s">
        <v>169</v>
      </c>
      <c r="E54" s="302" t="s">
        <v>169</v>
      </c>
      <c r="F54" s="301" t="s">
        <v>169</v>
      </c>
      <c r="G54" s="302" t="s">
        <v>169</v>
      </c>
      <c r="H54" s="293">
        <v>236</v>
      </c>
      <c r="I54" s="293">
        <v>252</v>
      </c>
      <c r="J54" s="296">
        <v>6.7796610169491567</v>
      </c>
      <c r="K54" s="303" t="s">
        <v>169</v>
      </c>
      <c r="L54" s="303" t="s">
        <v>169</v>
      </c>
      <c r="M54" s="293">
        <v>6.7796610169491567</v>
      </c>
    </row>
    <row r="55" spans="1:13" x14ac:dyDescent="0.25">
      <c r="A55" s="317" t="s">
        <v>1141</v>
      </c>
      <c r="B55" s="293">
        <v>55</v>
      </c>
      <c r="C55" s="294">
        <v>49</v>
      </c>
      <c r="D55" s="301" t="s">
        <v>169</v>
      </c>
      <c r="E55" s="302" t="s">
        <v>169</v>
      </c>
      <c r="F55" s="301" t="s">
        <v>169</v>
      </c>
      <c r="G55" s="302" t="s">
        <v>169</v>
      </c>
      <c r="H55" s="293">
        <v>55</v>
      </c>
      <c r="I55" s="293">
        <v>49</v>
      </c>
      <c r="J55" s="296" t="s">
        <v>403</v>
      </c>
      <c r="K55" s="303" t="s">
        <v>169</v>
      </c>
      <c r="L55" s="303" t="s">
        <v>169</v>
      </c>
      <c r="M55" s="293" t="s">
        <v>403</v>
      </c>
    </row>
    <row r="56" spans="1:13" x14ac:dyDescent="0.25">
      <c r="A56" s="317" t="s">
        <v>1142</v>
      </c>
      <c r="B56" s="293">
        <v>8</v>
      </c>
      <c r="C56" s="294">
        <v>9</v>
      </c>
      <c r="D56" s="301" t="s">
        <v>169</v>
      </c>
      <c r="E56" s="302" t="s">
        <v>169</v>
      </c>
      <c r="F56" s="301" t="s">
        <v>169</v>
      </c>
      <c r="G56" s="302" t="s">
        <v>169</v>
      </c>
      <c r="H56" s="293">
        <v>8</v>
      </c>
      <c r="I56" s="293">
        <v>9</v>
      </c>
      <c r="J56" s="296" t="s">
        <v>403</v>
      </c>
      <c r="K56" s="303" t="s">
        <v>169</v>
      </c>
      <c r="L56" s="303" t="s">
        <v>169</v>
      </c>
      <c r="M56" s="293" t="s">
        <v>403</v>
      </c>
    </row>
    <row r="57" spans="1:13" x14ac:dyDescent="0.25">
      <c r="A57" s="317" t="s">
        <v>1143</v>
      </c>
      <c r="B57" s="293">
        <v>9</v>
      </c>
      <c r="C57" s="294">
        <v>11</v>
      </c>
      <c r="D57" s="301" t="s">
        <v>169</v>
      </c>
      <c r="E57" s="302" t="s">
        <v>169</v>
      </c>
      <c r="F57" s="301" t="s">
        <v>169</v>
      </c>
      <c r="G57" s="302" t="s">
        <v>169</v>
      </c>
      <c r="H57" s="293">
        <v>9</v>
      </c>
      <c r="I57" s="293">
        <v>11</v>
      </c>
      <c r="J57" s="296" t="s">
        <v>403</v>
      </c>
      <c r="K57" s="303" t="s">
        <v>169</v>
      </c>
      <c r="L57" s="303" t="s">
        <v>169</v>
      </c>
      <c r="M57" s="293" t="s">
        <v>403</v>
      </c>
    </row>
    <row r="58" spans="1:13" x14ac:dyDescent="0.25">
      <c r="A58" s="317" t="s">
        <v>1144</v>
      </c>
      <c r="B58" s="293">
        <v>61</v>
      </c>
      <c r="C58" s="294">
        <v>45</v>
      </c>
      <c r="D58" s="301" t="s">
        <v>169</v>
      </c>
      <c r="E58" s="302" t="s">
        <v>169</v>
      </c>
      <c r="F58" s="301" t="s">
        <v>169</v>
      </c>
      <c r="G58" s="302" t="s">
        <v>169</v>
      </c>
      <c r="H58" s="293">
        <v>61</v>
      </c>
      <c r="I58" s="293">
        <v>45</v>
      </c>
      <c r="J58" s="296" t="s">
        <v>403</v>
      </c>
      <c r="K58" s="303" t="s">
        <v>169</v>
      </c>
      <c r="L58" s="303" t="s">
        <v>169</v>
      </c>
      <c r="M58" s="293" t="s">
        <v>403</v>
      </c>
    </row>
    <row r="59" spans="1:13" x14ac:dyDescent="0.25">
      <c r="A59" s="317" t="s">
        <v>1145</v>
      </c>
      <c r="B59" s="293">
        <v>83</v>
      </c>
      <c r="C59" s="294">
        <v>150</v>
      </c>
      <c r="D59" s="301" t="s">
        <v>169</v>
      </c>
      <c r="E59" s="302" t="s">
        <v>169</v>
      </c>
      <c r="F59" s="301" t="s">
        <v>169</v>
      </c>
      <c r="G59" s="302" t="s">
        <v>169</v>
      </c>
      <c r="H59" s="293">
        <v>83</v>
      </c>
      <c r="I59" s="293">
        <v>150</v>
      </c>
      <c r="J59" s="296">
        <v>80.722891566265062</v>
      </c>
      <c r="K59" s="303" t="s">
        <v>169</v>
      </c>
      <c r="L59" s="303" t="s">
        <v>169</v>
      </c>
      <c r="M59" s="293">
        <v>80.722891566265062</v>
      </c>
    </row>
    <row r="60" spans="1:13" x14ac:dyDescent="0.25">
      <c r="A60" s="317" t="s">
        <v>1146</v>
      </c>
      <c r="B60" s="293">
        <v>22</v>
      </c>
      <c r="C60" s="294">
        <v>19</v>
      </c>
      <c r="D60" s="301" t="s">
        <v>169</v>
      </c>
      <c r="E60" s="302" t="s">
        <v>169</v>
      </c>
      <c r="F60" s="301" t="s">
        <v>169</v>
      </c>
      <c r="G60" s="302" t="s">
        <v>169</v>
      </c>
      <c r="H60" s="293">
        <v>22</v>
      </c>
      <c r="I60" s="293">
        <v>19</v>
      </c>
      <c r="J60" s="296" t="s">
        <v>403</v>
      </c>
      <c r="K60" s="303" t="s">
        <v>169</v>
      </c>
      <c r="L60" s="303" t="s">
        <v>169</v>
      </c>
      <c r="M60" s="293" t="s">
        <v>403</v>
      </c>
    </row>
    <row r="61" spans="1:13" x14ac:dyDescent="0.25">
      <c r="A61" s="317" t="s">
        <v>1147</v>
      </c>
      <c r="B61" s="293">
        <v>185</v>
      </c>
      <c r="C61" s="294">
        <v>94</v>
      </c>
      <c r="D61" s="301" t="s">
        <v>169</v>
      </c>
      <c r="E61" s="302" t="s">
        <v>169</v>
      </c>
      <c r="F61" s="301" t="s">
        <v>169</v>
      </c>
      <c r="G61" s="302" t="s">
        <v>169</v>
      </c>
      <c r="H61" s="293">
        <v>185</v>
      </c>
      <c r="I61" s="293">
        <v>94</v>
      </c>
      <c r="J61" s="296">
        <v>-49.189189189189186</v>
      </c>
      <c r="K61" s="303" t="s">
        <v>169</v>
      </c>
      <c r="L61" s="303" t="s">
        <v>169</v>
      </c>
      <c r="M61" s="293">
        <v>-49.189189189189186</v>
      </c>
    </row>
    <row r="62" spans="1:13" x14ac:dyDescent="0.25">
      <c r="A62" s="317" t="s">
        <v>1148</v>
      </c>
      <c r="B62" s="293">
        <v>189</v>
      </c>
      <c r="C62" s="294">
        <v>144</v>
      </c>
      <c r="D62" s="301" t="s">
        <v>169</v>
      </c>
      <c r="E62" s="302" t="s">
        <v>169</v>
      </c>
      <c r="F62" s="301" t="s">
        <v>169</v>
      </c>
      <c r="G62" s="302" t="s">
        <v>169</v>
      </c>
      <c r="H62" s="293">
        <v>189</v>
      </c>
      <c r="I62" s="293">
        <v>144</v>
      </c>
      <c r="J62" s="296">
        <v>-23.809523809523814</v>
      </c>
      <c r="K62" s="303" t="s">
        <v>169</v>
      </c>
      <c r="L62" s="303" t="s">
        <v>169</v>
      </c>
      <c r="M62" s="293">
        <v>-23.809523809523814</v>
      </c>
    </row>
    <row r="63" spans="1:13" x14ac:dyDescent="0.25">
      <c r="A63" s="317" t="s">
        <v>1149</v>
      </c>
      <c r="B63" s="293">
        <v>3762</v>
      </c>
      <c r="C63" s="294">
        <v>3866</v>
      </c>
      <c r="D63" s="301" t="s">
        <v>169</v>
      </c>
      <c r="E63" s="302" t="s">
        <v>169</v>
      </c>
      <c r="F63" s="301" t="s">
        <v>169</v>
      </c>
      <c r="G63" s="302" t="s">
        <v>169</v>
      </c>
      <c r="H63" s="293">
        <v>3762</v>
      </c>
      <c r="I63" s="293">
        <v>3866</v>
      </c>
      <c r="J63" s="296">
        <v>2.7644869750132806</v>
      </c>
      <c r="K63" s="303" t="s">
        <v>169</v>
      </c>
      <c r="L63" s="303" t="s">
        <v>169</v>
      </c>
      <c r="M63" s="293">
        <v>2.7644869750132806</v>
      </c>
    </row>
    <row r="64" spans="1:13" x14ac:dyDescent="0.25">
      <c r="A64" s="317" t="s">
        <v>1150</v>
      </c>
      <c r="B64" s="293">
        <v>58</v>
      </c>
      <c r="C64" s="294">
        <v>50</v>
      </c>
      <c r="D64" s="301" t="s">
        <v>169</v>
      </c>
      <c r="E64" s="302" t="s">
        <v>169</v>
      </c>
      <c r="F64" s="301" t="s">
        <v>169</v>
      </c>
      <c r="G64" s="302" t="s">
        <v>169</v>
      </c>
      <c r="H64" s="293">
        <v>58</v>
      </c>
      <c r="I64" s="298">
        <v>50</v>
      </c>
      <c r="J64" s="296">
        <v>-13.793103448275868</v>
      </c>
      <c r="K64" s="303" t="s">
        <v>169</v>
      </c>
      <c r="L64" s="303" t="s">
        <v>169</v>
      </c>
      <c r="M64" s="293">
        <v>-13.793103448275868</v>
      </c>
    </row>
    <row r="65" spans="1:13" ht="32.25" customHeight="1" x14ac:dyDescent="0.25">
      <c r="A65" s="317" t="s">
        <v>1151</v>
      </c>
      <c r="B65" s="293">
        <v>84532</v>
      </c>
      <c r="C65" s="294">
        <v>85331</v>
      </c>
      <c r="D65" s="301" t="s">
        <v>169</v>
      </c>
      <c r="E65" s="302" t="s">
        <v>169</v>
      </c>
      <c r="F65" s="301" t="s">
        <v>169</v>
      </c>
      <c r="G65" s="302" t="s">
        <v>169</v>
      </c>
      <c r="H65" s="295">
        <v>84532</v>
      </c>
      <c r="I65" s="295">
        <v>85331</v>
      </c>
      <c r="J65" s="296">
        <v>0.94520418303127851</v>
      </c>
      <c r="K65" s="303" t="s">
        <v>169</v>
      </c>
      <c r="L65" s="303" t="s">
        <v>169</v>
      </c>
      <c r="M65" s="300">
        <v>0.94520418303127851</v>
      </c>
    </row>
    <row r="66" spans="1:13" ht="27.75" customHeight="1" x14ac:dyDescent="0.25">
      <c r="A66" s="318" t="s">
        <v>1152</v>
      </c>
      <c r="B66" s="285">
        <v>317332</v>
      </c>
      <c r="C66" s="286">
        <v>302280</v>
      </c>
      <c r="D66" s="288">
        <v>364684</v>
      </c>
      <c r="E66" s="286">
        <v>376234</v>
      </c>
      <c r="F66" s="285">
        <v>569933</v>
      </c>
      <c r="G66" s="286">
        <v>568887</v>
      </c>
      <c r="H66" s="290">
        <v>1251949</v>
      </c>
      <c r="I66" s="290">
        <v>1247401</v>
      </c>
      <c r="J66" s="288">
        <v>-4.7432972407447043</v>
      </c>
      <c r="K66" s="285">
        <v>3.1671255114016583</v>
      </c>
      <c r="L66" s="310">
        <v>-0.18353034479491326</v>
      </c>
      <c r="M66" s="285">
        <v>-0.36327358382809427</v>
      </c>
    </row>
    <row r="67" spans="1:13" ht="20.25" customHeight="1" x14ac:dyDescent="0.25">
      <c r="A67" s="262" t="s">
        <v>1153</v>
      </c>
      <c r="B67" s="293">
        <v>3452</v>
      </c>
      <c r="C67" s="294">
        <v>5281</v>
      </c>
      <c r="D67" s="301" t="s">
        <v>169</v>
      </c>
      <c r="E67" s="302" t="s">
        <v>169</v>
      </c>
      <c r="F67" s="319" t="s">
        <v>169</v>
      </c>
      <c r="G67" s="302" t="s">
        <v>169</v>
      </c>
      <c r="H67" s="293">
        <v>3452</v>
      </c>
      <c r="I67" s="293">
        <v>5281</v>
      </c>
      <c r="J67" s="296">
        <v>52.983777520278096</v>
      </c>
      <c r="K67" s="303" t="s">
        <v>169</v>
      </c>
      <c r="L67" s="303" t="s">
        <v>169</v>
      </c>
      <c r="M67" s="293">
        <v>52.983777520278096</v>
      </c>
    </row>
    <row r="68" spans="1:13" x14ac:dyDescent="0.25">
      <c r="A68" s="262" t="s">
        <v>1154</v>
      </c>
      <c r="B68" s="293">
        <v>83</v>
      </c>
      <c r="C68" s="294">
        <v>79</v>
      </c>
      <c r="D68" s="301" t="s">
        <v>169</v>
      </c>
      <c r="E68" s="302" t="s">
        <v>169</v>
      </c>
      <c r="F68" s="319" t="s">
        <v>169</v>
      </c>
      <c r="G68" s="302" t="s">
        <v>169</v>
      </c>
      <c r="H68" s="293">
        <v>83</v>
      </c>
      <c r="I68" s="293">
        <v>79</v>
      </c>
      <c r="J68" s="296">
        <v>-4.8192771084337398</v>
      </c>
      <c r="K68" s="303" t="s">
        <v>169</v>
      </c>
      <c r="L68" s="303" t="s">
        <v>169</v>
      </c>
      <c r="M68" s="293">
        <v>-4.8192771084337398</v>
      </c>
    </row>
    <row r="69" spans="1:13" x14ac:dyDescent="0.25">
      <c r="A69" s="262" t="s">
        <v>1155</v>
      </c>
      <c r="B69" s="293">
        <v>30</v>
      </c>
      <c r="C69" s="294">
        <v>19</v>
      </c>
      <c r="D69" s="301" t="s">
        <v>169</v>
      </c>
      <c r="E69" s="302" t="s">
        <v>169</v>
      </c>
      <c r="F69" s="319" t="s">
        <v>169</v>
      </c>
      <c r="G69" s="302" t="s">
        <v>169</v>
      </c>
      <c r="H69" s="293">
        <v>30</v>
      </c>
      <c r="I69" s="293">
        <v>19</v>
      </c>
      <c r="J69" s="296" t="s">
        <v>403</v>
      </c>
      <c r="K69" s="303" t="s">
        <v>169</v>
      </c>
      <c r="L69" s="303" t="s">
        <v>169</v>
      </c>
      <c r="M69" s="293" t="s">
        <v>403</v>
      </c>
    </row>
    <row r="70" spans="1:13" x14ac:dyDescent="0.25">
      <c r="A70" s="262" t="s">
        <v>1156</v>
      </c>
      <c r="B70" s="293">
        <v>312</v>
      </c>
      <c r="C70" s="294">
        <v>254</v>
      </c>
      <c r="D70" s="301" t="s">
        <v>169</v>
      </c>
      <c r="E70" s="302" t="s">
        <v>169</v>
      </c>
      <c r="F70" s="319" t="s">
        <v>169</v>
      </c>
      <c r="G70" s="302" t="s">
        <v>169</v>
      </c>
      <c r="H70" s="293">
        <v>312</v>
      </c>
      <c r="I70" s="293">
        <v>254</v>
      </c>
      <c r="J70" s="296">
        <v>-18.589743589743591</v>
      </c>
      <c r="K70" s="303" t="s">
        <v>169</v>
      </c>
      <c r="L70" s="303" t="s">
        <v>169</v>
      </c>
      <c r="M70" s="293">
        <v>-18.589743589743591</v>
      </c>
    </row>
    <row r="71" spans="1:13" x14ac:dyDescent="0.25">
      <c r="A71" s="262" t="s">
        <v>1157</v>
      </c>
      <c r="B71" s="293">
        <v>8341</v>
      </c>
      <c r="C71" s="294">
        <v>9401</v>
      </c>
      <c r="D71" s="301" t="s">
        <v>169</v>
      </c>
      <c r="E71" s="302" t="s">
        <v>169</v>
      </c>
      <c r="F71" s="319" t="s">
        <v>169</v>
      </c>
      <c r="G71" s="302" t="s">
        <v>169</v>
      </c>
      <c r="H71" s="293">
        <v>8341</v>
      </c>
      <c r="I71" s="293">
        <v>9401</v>
      </c>
      <c r="J71" s="296">
        <v>12.708308356312203</v>
      </c>
      <c r="K71" s="303" t="s">
        <v>169</v>
      </c>
      <c r="L71" s="303" t="s">
        <v>169</v>
      </c>
      <c r="M71" s="293">
        <v>12.708308356312203</v>
      </c>
    </row>
    <row r="72" spans="1:13" x14ac:dyDescent="0.25">
      <c r="A72" s="262" t="s">
        <v>1158</v>
      </c>
      <c r="B72" s="293">
        <v>29703</v>
      </c>
      <c r="C72" s="294">
        <v>38945</v>
      </c>
      <c r="D72" s="301" t="s">
        <v>169</v>
      </c>
      <c r="E72" s="302" t="s">
        <v>169</v>
      </c>
      <c r="F72" s="319" t="s">
        <v>169</v>
      </c>
      <c r="G72" s="302" t="s">
        <v>169</v>
      </c>
      <c r="H72" s="293">
        <v>29703</v>
      </c>
      <c r="I72" s="293">
        <v>38945</v>
      </c>
      <c r="J72" s="296">
        <v>31.114702218631109</v>
      </c>
      <c r="K72" s="303" t="s">
        <v>169</v>
      </c>
      <c r="L72" s="303" t="s">
        <v>169</v>
      </c>
      <c r="M72" s="293">
        <v>31.114702218631109</v>
      </c>
    </row>
    <row r="73" spans="1:13" x14ac:dyDescent="0.25">
      <c r="A73" s="262" t="s">
        <v>1159</v>
      </c>
      <c r="B73" s="293">
        <v>72</v>
      </c>
      <c r="C73" s="294">
        <v>44</v>
      </c>
      <c r="D73" s="301" t="s">
        <v>169</v>
      </c>
      <c r="E73" s="302" t="s">
        <v>169</v>
      </c>
      <c r="F73" s="319" t="s">
        <v>169</v>
      </c>
      <c r="G73" s="302" t="s">
        <v>169</v>
      </c>
      <c r="H73" s="293">
        <v>72</v>
      </c>
      <c r="I73" s="293">
        <v>44</v>
      </c>
      <c r="J73" s="296" t="s">
        <v>403</v>
      </c>
      <c r="K73" s="303" t="s">
        <v>169</v>
      </c>
      <c r="L73" s="303" t="s">
        <v>169</v>
      </c>
      <c r="M73" s="293" t="s">
        <v>403</v>
      </c>
    </row>
    <row r="74" spans="1:13" ht="25.5" customHeight="1" x14ac:dyDescent="0.25">
      <c r="A74" s="262" t="s">
        <v>1160</v>
      </c>
      <c r="B74" s="293">
        <v>3352</v>
      </c>
      <c r="C74" s="294">
        <v>3222</v>
      </c>
      <c r="D74" s="301" t="s">
        <v>169</v>
      </c>
      <c r="E74" s="302" t="s">
        <v>169</v>
      </c>
      <c r="F74" s="319" t="s">
        <v>169</v>
      </c>
      <c r="G74" s="302" t="s">
        <v>169</v>
      </c>
      <c r="H74" s="293">
        <v>3352</v>
      </c>
      <c r="I74" s="293">
        <v>3222</v>
      </c>
      <c r="J74" s="296">
        <v>-3.8782816229116945</v>
      </c>
      <c r="K74" s="303" t="s">
        <v>169</v>
      </c>
      <c r="L74" s="303" t="s">
        <v>169</v>
      </c>
      <c r="M74" s="293">
        <v>-3.8782816229116945</v>
      </c>
    </row>
    <row r="75" spans="1:13" ht="24" customHeight="1" x14ac:dyDescent="0.25">
      <c r="A75" s="318" t="s">
        <v>1161</v>
      </c>
      <c r="B75" s="285">
        <v>45345</v>
      </c>
      <c r="C75" s="286">
        <v>57245</v>
      </c>
      <c r="D75" s="305" t="s">
        <v>169</v>
      </c>
      <c r="E75" s="306" t="s">
        <v>169</v>
      </c>
      <c r="F75" s="310" t="s">
        <v>169</v>
      </c>
      <c r="G75" s="306" t="s">
        <v>169</v>
      </c>
      <c r="H75" s="285">
        <v>45345</v>
      </c>
      <c r="I75" s="290">
        <v>57245</v>
      </c>
      <c r="J75" s="288">
        <v>26.243246223398398</v>
      </c>
      <c r="K75" s="308" t="s">
        <v>169</v>
      </c>
      <c r="L75" s="308" t="s">
        <v>169</v>
      </c>
      <c r="M75" s="285">
        <v>26.243246223398398</v>
      </c>
    </row>
    <row r="76" spans="1:13" ht="27" customHeight="1" x14ac:dyDescent="0.25">
      <c r="A76" s="284" t="s">
        <v>1162</v>
      </c>
      <c r="B76" s="285">
        <v>362677</v>
      </c>
      <c r="C76" s="286">
        <v>359525</v>
      </c>
      <c r="D76" s="288">
        <v>364684</v>
      </c>
      <c r="E76" s="286">
        <v>376234</v>
      </c>
      <c r="F76" s="285">
        <v>569933</v>
      </c>
      <c r="G76" s="285">
        <v>568887</v>
      </c>
      <c r="H76" s="288">
        <v>1297294</v>
      </c>
      <c r="I76" s="290">
        <v>1304646</v>
      </c>
      <c r="J76" s="288">
        <v>-0.86909288430201403</v>
      </c>
      <c r="K76" s="285">
        <v>3.1671255114016583</v>
      </c>
      <c r="L76" s="285">
        <v>-0.18353034479491326</v>
      </c>
      <c r="M76" s="285">
        <v>0.56671810707518144</v>
      </c>
    </row>
  </sheetData>
  <hyperlinks>
    <hyperlink ref="A6" location="'Notes_C1 to C5'!A1" display="Link to Notes" xr:uid="{AF2D0DD1-9DF3-4F38-82B0-867CD8207445}"/>
    <hyperlink ref="A4" location="'Table of contents'!A1" display="Link to Table of contents" xr:uid="{E49DD9DA-51D4-4652-AED7-50529AC9D7AC}"/>
  </hyperlinks>
  <pageMargins left="0.7" right="0.7" top="0.75" bottom="0.75" header="0.3" footer="0.3"/>
  <pageSetup paperSize="9" orientation="portrait" r:id="rId1"/>
  <tableParts count="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11776-5EA1-45FF-99BA-1A9A312E2905}">
  <dimension ref="A1:Q20"/>
  <sheetViews>
    <sheetView showGridLines="0" workbookViewId="0"/>
  </sheetViews>
  <sheetFormatPr defaultColWidth="12.140625" defaultRowHeight="15" customHeight="1" x14ac:dyDescent="0.25"/>
  <cols>
    <col min="1" max="1" width="62.42578125" customWidth="1"/>
    <col min="2" max="15" width="19.85546875" customWidth="1"/>
    <col min="16" max="16" width="17.28515625" customWidth="1"/>
    <col min="17" max="17" width="20.28515625" customWidth="1"/>
  </cols>
  <sheetData>
    <row r="1" spans="1:17" ht="18" customHeight="1" x14ac:dyDescent="0.25">
      <c r="A1" s="862" t="s">
        <v>1502</v>
      </c>
      <c r="B1" s="320"/>
      <c r="C1" s="320"/>
      <c r="D1" s="320"/>
      <c r="E1" s="320"/>
      <c r="F1" s="320"/>
      <c r="G1" s="320"/>
      <c r="H1" s="320"/>
      <c r="I1" s="320"/>
      <c r="J1" s="320"/>
      <c r="K1" s="320"/>
      <c r="L1" s="320"/>
      <c r="M1" s="320"/>
      <c r="N1" s="320"/>
      <c r="O1" s="321"/>
      <c r="P1" s="199"/>
    </row>
    <row r="2" spans="1:17" ht="18" customHeight="1" x14ac:dyDescent="0.25">
      <c r="A2" s="322" t="s">
        <v>1163</v>
      </c>
      <c r="B2" s="323"/>
      <c r="C2" s="323"/>
      <c r="D2" s="323"/>
      <c r="E2" s="323"/>
      <c r="F2" s="323"/>
      <c r="G2" s="323"/>
      <c r="H2" s="323"/>
      <c r="I2" s="323"/>
      <c r="J2" s="323"/>
      <c r="K2" s="323"/>
      <c r="L2" s="323"/>
      <c r="M2" s="323"/>
      <c r="N2" s="323"/>
      <c r="O2" s="321"/>
      <c r="P2" s="199"/>
    </row>
    <row r="3" spans="1:17" ht="18" customHeight="1" x14ac:dyDescent="0.25">
      <c r="A3" s="326" t="s">
        <v>1164</v>
      </c>
      <c r="B3" s="325"/>
      <c r="C3" s="325"/>
      <c r="D3" s="325"/>
      <c r="E3" s="325"/>
      <c r="F3" s="325"/>
      <c r="G3" s="325"/>
      <c r="H3" s="325"/>
      <c r="I3" s="325"/>
      <c r="J3" s="325"/>
      <c r="K3" s="325"/>
      <c r="L3" s="325"/>
      <c r="M3" s="325"/>
      <c r="N3" s="325"/>
      <c r="O3" s="321"/>
      <c r="P3" s="199"/>
    </row>
    <row r="4" spans="1:17" ht="18" customHeight="1" x14ac:dyDescent="0.25">
      <c r="A4" s="327" t="s">
        <v>1452</v>
      </c>
      <c r="B4" s="328"/>
      <c r="C4" s="328"/>
      <c r="D4" s="328"/>
      <c r="E4" s="328"/>
      <c r="F4" s="737"/>
      <c r="G4" s="737"/>
      <c r="H4" s="737"/>
      <c r="I4" s="737"/>
      <c r="J4" s="737"/>
      <c r="K4" s="737"/>
      <c r="L4" s="737"/>
      <c r="M4" s="737"/>
      <c r="N4" s="737"/>
      <c r="O4" s="321"/>
      <c r="P4" s="199"/>
    </row>
    <row r="5" spans="1:17" ht="18" customHeight="1" x14ac:dyDescent="0.25">
      <c r="A5" s="324" t="s">
        <v>369</v>
      </c>
      <c r="B5" s="325"/>
      <c r="C5" s="325"/>
      <c r="D5" s="325"/>
      <c r="E5" s="325"/>
      <c r="F5" s="325"/>
      <c r="G5" s="325"/>
      <c r="H5" s="325"/>
      <c r="I5" s="325"/>
      <c r="J5" s="325"/>
      <c r="K5" s="325"/>
      <c r="L5" s="325"/>
      <c r="M5" s="325"/>
      <c r="N5" s="325"/>
      <c r="O5" s="321"/>
      <c r="P5" s="199"/>
    </row>
    <row r="6" spans="1:17" ht="18" customHeight="1" x14ac:dyDescent="0.25">
      <c r="A6" s="327" t="s">
        <v>1449</v>
      </c>
      <c r="B6" s="325"/>
      <c r="C6" s="325"/>
      <c r="D6" s="325"/>
      <c r="E6" s="325"/>
      <c r="F6" s="325"/>
      <c r="G6" s="325"/>
      <c r="H6" s="325"/>
      <c r="I6" s="325"/>
      <c r="J6" s="325"/>
      <c r="K6" s="325"/>
      <c r="L6" s="325"/>
      <c r="M6" s="325"/>
      <c r="N6" s="325"/>
      <c r="O6" s="321"/>
      <c r="P6" s="199"/>
    </row>
    <row r="7" spans="1:17" ht="18" customHeight="1" x14ac:dyDescent="0.25">
      <c r="A7" s="175" t="s">
        <v>1080</v>
      </c>
      <c r="B7" s="323"/>
      <c r="C7" s="323"/>
      <c r="D7" s="323"/>
      <c r="E7" s="323"/>
      <c r="F7" s="323"/>
      <c r="G7" s="323"/>
      <c r="H7" s="323"/>
      <c r="I7" s="323"/>
      <c r="J7" s="323"/>
      <c r="K7" s="323"/>
      <c r="L7" s="323"/>
      <c r="M7" s="323"/>
      <c r="N7" s="323"/>
      <c r="O7" s="321"/>
      <c r="P7" s="199"/>
    </row>
    <row r="8" spans="1:17" ht="18" customHeight="1" x14ac:dyDescent="0.25">
      <c r="A8" s="325" t="s">
        <v>1165</v>
      </c>
      <c r="B8" s="325"/>
      <c r="C8" s="325"/>
      <c r="D8" s="329"/>
      <c r="E8" s="329"/>
      <c r="F8" s="329"/>
      <c r="G8" s="329"/>
      <c r="H8" s="329"/>
      <c r="I8" s="329"/>
      <c r="J8" s="329"/>
      <c r="K8" s="329"/>
      <c r="L8" s="329"/>
      <c r="M8" s="329"/>
      <c r="N8" s="330"/>
      <c r="O8" s="331"/>
      <c r="P8" s="332"/>
      <c r="Q8" s="260"/>
    </row>
    <row r="9" spans="1:17" ht="63" x14ac:dyDescent="0.25">
      <c r="A9" s="333" t="s">
        <v>1166</v>
      </c>
      <c r="B9" s="334" t="s">
        <v>925</v>
      </c>
      <c r="C9" s="334" t="s">
        <v>878</v>
      </c>
      <c r="D9" s="334" t="s">
        <v>879</v>
      </c>
      <c r="E9" s="334" t="s">
        <v>880</v>
      </c>
      <c r="F9" s="334" t="s">
        <v>1167</v>
      </c>
      <c r="G9" s="334" t="s">
        <v>1168</v>
      </c>
      <c r="H9" s="335" t="s">
        <v>883</v>
      </c>
      <c r="I9" s="335" t="s">
        <v>884</v>
      </c>
      <c r="J9" s="335" t="s">
        <v>766</v>
      </c>
      <c r="K9" s="335" t="s">
        <v>903</v>
      </c>
      <c r="L9" s="335" t="s">
        <v>904</v>
      </c>
      <c r="M9" s="335" t="s">
        <v>905</v>
      </c>
      <c r="N9" s="336" t="s">
        <v>889</v>
      </c>
      <c r="O9" s="337" t="s">
        <v>861</v>
      </c>
      <c r="P9" s="337" t="s">
        <v>862</v>
      </c>
      <c r="Q9" s="337" t="s">
        <v>890</v>
      </c>
    </row>
    <row r="10" spans="1:17" ht="18.75" customHeight="1" x14ac:dyDescent="0.25">
      <c r="A10" s="338" t="s">
        <v>1169</v>
      </c>
      <c r="B10" s="339">
        <v>976112</v>
      </c>
      <c r="C10" s="339">
        <v>866488</v>
      </c>
      <c r="D10" s="339">
        <v>1048151</v>
      </c>
      <c r="E10" s="339">
        <v>1296705</v>
      </c>
      <c r="F10" s="339">
        <v>1236095</v>
      </c>
      <c r="G10" s="339">
        <v>1551694</v>
      </c>
      <c r="H10" s="339">
        <v>1817039</v>
      </c>
      <c r="I10" s="339">
        <v>1979225</v>
      </c>
      <c r="J10" s="339">
        <v>2773725</v>
      </c>
      <c r="K10" s="339">
        <v>2718956</v>
      </c>
      <c r="L10" s="339">
        <v>2877382</v>
      </c>
      <c r="M10" s="339">
        <v>2782799</v>
      </c>
      <c r="N10" s="339">
        <v>2681391</v>
      </c>
      <c r="O10" s="339">
        <v>3076238</v>
      </c>
      <c r="P10" s="340">
        <v>3713727</v>
      </c>
      <c r="Q10" s="341">
        <v>20.723006477392193</v>
      </c>
    </row>
    <row r="11" spans="1:17" ht="18.75" customHeight="1" x14ac:dyDescent="0.25">
      <c r="A11" s="342" t="s">
        <v>1170</v>
      </c>
      <c r="B11" s="343">
        <v>105494</v>
      </c>
      <c r="C11" s="343">
        <v>104144</v>
      </c>
      <c r="D11" s="343">
        <v>116992</v>
      </c>
      <c r="E11" s="343">
        <v>141549</v>
      </c>
      <c r="F11" s="343">
        <v>129133</v>
      </c>
      <c r="G11" s="343">
        <v>166860</v>
      </c>
      <c r="H11" s="343">
        <v>246503</v>
      </c>
      <c r="I11" s="343">
        <v>382706</v>
      </c>
      <c r="J11" s="343">
        <v>454458</v>
      </c>
      <c r="K11" s="343">
        <v>441217</v>
      </c>
      <c r="L11" s="343">
        <v>287875</v>
      </c>
      <c r="M11" s="343">
        <v>344172</v>
      </c>
      <c r="N11" s="343">
        <v>412392</v>
      </c>
      <c r="O11" s="343">
        <v>418267</v>
      </c>
      <c r="P11" s="344">
        <v>451973</v>
      </c>
      <c r="Q11" s="345">
        <v>8.0584889556192572</v>
      </c>
    </row>
    <row r="12" spans="1:17" ht="18.75" customHeight="1" x14ac:dyDescent="0.25">
      <c r="A12" s="342" t="s">
        <v>1171</v>
      </c>
      <c r="B12" s="343">
        <v>7150</v>
      </c>
      <c r="C12" s="343">
        <v>8477</v>
      </c>
      <c r="D12" s="343">
        <v>8841</v>
      </c>
      <c r="E12" s="343">
        <v>9350</v>
      </c>
      <c r="F12" s="343">
        <v>9464</v>
      </c>
      <c r="G12" s="343">
        <v>11225</v>
      </c>
      <c r="H12" s="343">
        <v>11192</v>
      </c>
      <c r="I12" s="343">
        <v>10459</v>
      </c>
      <c r="J12" s="343">
        <v>9832</v>
      </c>
      <c r="K12" s="343">
        <v>8114</v>
      </c>
      <c r="L12" s="343">
        <v>8188</v>
      </c>
      <c r="M12" s="343">
        <v>9395</v>
      </c>
      <c r="N12" s="343">
        <v>7760</v>
      </c>
      <c r="O12" s="343">
        <v>6600</v>
      </c>
      <c r="P12" s="344">
        <v>7771</v>
      </c>
      <c r="Q12" s="345">
        <v>17.742424242424242</v>
      </c>
    </row>
    <row r="13" spans="1:17" ht="18.75" customHeight="1" x14ac:dyDescent="0.25">
      <c r="A13" s="342" t="s">
        <v>1172</v>
      </c>
      <c r="B13" s="343">
        <v>89807</v>
      </c>
      <c r="C13" s="343">
        <v>79796</v>
      </c>
      <c r="D13" s="343">
        <v>105749</v>
      </c>
      <c r="E13" s="343">
        <v>96744</v>
      </c>
      <c r="F13" s="343">
        <v>95773</v>
      </c>
      <c r="G13" s="343">
        <v>94118</v>
      </c>
      <c r="H13" s="343">
        <v>103132</v>
      </c>
      <c r="I13" s="343">
        <v>75562</v>
      </c>
      <c r="J13" s="343">
        <v>60239</v>
      </c>
      <c r="K13" s="343">
        <v>65491</v>
      </c>
      <c r="L13" s="343">
        <v>44522</v>
      </c>
      <c r="M13" s="343">
        <v>21968</v>
      </c>
      <c r="N13" s="343">
        <v>19414</v>
      </c>
      <c r="O13" s="343">
        <v>17042</v>
      </c>
      <c r="P13" s="344">
        <v>15917</v>
      </c>
      <c r="Q13" s="345">
        <v>-6.6013378711418849</v>
      </c>
    </row>
    <row r="14" spans="1:17" ht="18.75" customHeight="1" x14ac:dyDescent="0.25">
      <c r="A14" s="342" t="s">
        <v>1173</v>
      </c>
      <c r="B14" s="343">
        <v>755173</v>
      </c>
      <c r="C14" s="343">
        <v>657690</v>
      </c>
      <c r="D14" s="343">
        <v>790723</v>
      </c>
      <c r="E14" s="343">
        <v>1017092</v>
      </c>
      <c r="F14" s="343">
        <v>975781</v>
      </c>
      <c r="G14" s="343">
        <v>1245321</v>
      </c>
      <c r="H14" s="343">
        <v>1423783</v>
      </c>
      <c r="I14" s="343">
        <v>1479441</v>
      </c>
      <c r="J14" s="343">
        <v>2180303</v>
      </c>
      <c r="K14" s="343">
        <v>2153617</v>
      </c>
      <c r="L14" s="343">
        <v>2506020</v>
      </c>
      <c r="M14" s="343">
        <v>2359877</v>
      </c>
      <c r="N14" s="343">
        <v>2146597</v>
      </c>
      <c r="O14" s="343">
        <v>2498196</v>
      </c>
      <c r="P14" s="344">
        <v>3125399</v>
      </c>
      <c r="Q14" s="345">
        <v>25.106236660374126</v>
      </c>
    </row>
    <row r="15" spans="1:17" ht="18.75" customHeight="1" x14ac:dyDescent="0.25">
      <c r="A15" s="342" t="s">
        <v>1174</v>
      </c>
      <c r="B15" s="343">
        <v>18488</v>
      </c>
      <c r="C15" s="343">
        <v>16381</v>
      </c>
      <c r="D15" s="343">
        <v>25846</v>
      </c>
      <c r="E15" s="343">
        <v>31970</v>
      </c>
      <c r="F15" s="343">
        <v>25944</v>
      </c>
      <c r="G15" s="343">
        <v>34170</v>
      </c>
      <c r="H15" s="343">
        <v>32429</v>
      </c>
      <c r="I15" s="343">
        <v>31057</v>
      </c>
      <c r="J15" s="343">
        <v>68893</v>
      </c>
      <c r="K15" s="343">
        <v>50517</v>
      </c>
      <c r="L15" s="343">
        <v>30777</v>
      </c>
      <c r="M15" s="343">
        <v>47387</v>
      </c>
      <c r="N15" s="343">
        <v>95228</v>
      </c>
      <c r="O15" s="343">
        <v>136133</v>
      </c>
      <c r="P15" s="344">
        <v>112667</v>
      </c>
      <c r="Q15" s="345">
        <v>-17.237554450427155</v>
      </c>
    </row>
    <row r="16" spans="1:17" ht="18.75" customHeight="1" x14ac:dyDescent="0.25">
      <c r="A16" s="325" t="s">
        <v>1175</v>
      </c>
      <c r="B16" s="343">
        <v>12289</v>
      </c>
      <c r="C16" s="343">
        <v>16372</v>
      </c>
      <c r="D16" s="343">
        <v>14180</v>
      </c>
      <c r="E16" s="343">
        <v>9759</v>
      </c>
      <c r="F16" s="343">
        <v>7318</v>
      </c>
      <c r="G16" s="343">
        <v>5382</v>
      </c>
      <c r="H16" s="343">
        <v>2763</v>
      </c>
      <c r="I16" s="343">
        <v>1541</v>
      </c>
      <c r="J16" s="343">
        <v>2370</v>
      </c>
      <c r="K16" s="343">
        <v>2610</v>
      </c>
      <c r="L16" s="343">
        <v>997</v>
      </c>
      <c r="M16" s="343">
        <v>813</v>
      </c>
      <c r="N16" s="343">
        <v>1065</v>
      </c>
      <c r="O16" s="343">
        <v>1274</v>
      </c>
      <c r="P16" s="344">
        <v>805</v>
      </c>
      <c r="Q16" s="345">
        <v>-36.813186813186817</v>
      </c>
    </row>
    <row r="17" spans="1:17" ht="18.75" customHeight="1" x14ac:dyDescent="0.25">
      <c r="A17" s="325" t="s">
        <v>1176</v>
      </c>
      <c r="B17" s="343">
        <v>52500</v>
      </c>
      <c r="C17" s="343">
        <v>35072</v>
      </c>
      <c r="D17" s="343">
        <v>21639</v>
      </c>
      <c r="E17" s="343">
        <v>19266</v>
      </c>
      <c r="F17" s="343">
        <v>24010</v>
      </c>
      <c r="G17" s="343">
        <v>34992</v>
      </c>
      <c r="H17" s="343">
        <v>33767</v>
      </c>
      <c r="I17" s="343">
        <v>32457</v>
      </c>
      <c r="J17" s="343">
        <v>33692</v>
      </c>
      <c r="K17" s="343">
        <v>50128</v>
      </c>
      <c r="L17" s="343">
        <v>88470</v>
      </c>
      <c r="M17" s="343">
        <v>74039</v>
      </c>
      <c r="N17" s="343">
        <v>40977</v>
      </c>
      <c r="O17" s="343">
        <v>58498</v>
      </c>
      <c r="P17" s="344">
        <v>80393</v>
      </c>
      <c r="Q17" s="345">
        <v>37.428630038633798</v>
      </c>
    </row>
    <row r="18" spans="1:17" ht="18.75" customHeight="1" x14ac:dyDescent="0.25">
      <c r="A18" s="325" t="s">
        <v>1177</v>
      </c>
      <c r="B18" s="343" t="s">
        <v>169</v>
      </c>
      <c r="C18" s="343" t="s">
        <v>169</v>
      </c>
      <c r="D18" s="343" t="s">
        <v>169</v>
      </c>
      <c r="E18" s="343" t="s">
        <v>169</v>
      </c>
      <c r="F18" s="343" t="s">
        <v>169</v>
      </c>
      <c r="G18" s="343" t="s">
        <v>169</v>
      </c>
      <c r="H18" s="343" t="s">
        <v>169</v>
      </c>
      <c r="I18" s="343" t="s">
        <v>169</v>
      </c>
      <c r="J18" s="343" t="s">
        <v>169</v>
      </c>
      <c r="K18" s="343">
        <v>31606</v>
      </c>
      <c r="L18" s="343">
        <v>172867</v>
      </c>
      <c r="M18" s="343">
        <v>193950</v>
      </c>
      <c r="N18" s="343">
        <v>217132</v>
      </c>
      <c r="O18" s="343">
        <v>231181</v>
      </c>
      <c r="P18" s="344">
        <v>222037</v>
      </c>
      <c r="Q18" s="345">
        <v>-3.9553423507987246</v>
      </c>
    </row>
    <row r="19" spans="1:17" ht="18.75" customHeight="1" x14ac:dyDescent="0.25">
      <c r="A19" s="320" t="s">
        <v>1178</v>
      </c>
      <c r="B19" s="339">
        <v>1040901</v>
      </c>
      <c r="C19" s="339">
        <v>917932</v>
      </c>
      <c r="D19" s="339">
        <v>1083970</v>
      </c>
      <c r="E19" s="339">
        <v>1325730</v>
      </c>
      <c r="F19" s="339">
        <v>1267423</v>
      </c>
      <c r="G19" s="339">
        <v>1592068</v>
      </c>
      <c r="H19" s="339">
        <v>1853569</v>
      </c>
      <c r="I19" s="339">
        <v>2013223</v>
      </c>
      <c r="J19" s="339">
        <v>2809787</v>
      </c>
      <c r="K19" s="339">
        <v>2771694</v>
      </c>
      <c r="L19" s="339">
        <v>2966849</v>
      </c>
      <c r="M19" s="339">
        <v>2857651</v>
      </c>
      <c r="N19" s="339">
        <v>2723433</v>
      </c>
      <c r="O19" s="339">
        <v>3136010</v>
      </c>
      <c r="P19" s="340">
        <v>3794925</v>
      </c>
      <c r="Q19" s="341">
        <v>21.011253152891733</v>
      </c>
    </row>
    <row r="20" spans="1:17" ht="18.75" customHeight="1" x14ac:dyDescent="0.25">
      <c r="A20" s="320" t="s">
        <v>1179</v>
      </c>
      <c r="B20" s="346" t="s">
        <v>169</v>
      </c>
      <c r="C20" s="346" t="s">
        <v>169</v>
      </c>
      <c r="D20" s="346" t="s">
        <v>169</v>
      </c>
      <c r="E20" s="346" t="s">
        <v>169</v>
      </c>
      <c r="F20" s="346" t="s">
        <v>169</v>
      </c>
      <c r="G20" s="346" t="s">
        <v>169</v>
      </c>
      <c r="H20" s="346" t="s">
        <v>169</v>
      </c>
      <c r="I20" s="346" t="s">
        <v>169</v>
      </c>
      <c r="J20" s="346" t="s">
        <v>169</v>
      </c>
      <c r="K20" s="346">
        <v>2803300</v>
      </c>
      <c r="L20" s="346">
        <v>3139716</v>
      </c>
      <c r="M20" s="346">
        <v>3051601</v>
      </c>
      <c r="N20" s="346">
        <v>2940565</v>
      </c>
      <c r="O20" s="346">
        <v>3367191</v>
      </c>
      <c r="P20" s="347">
        <v>4016962</v>
      </c>
      <c r="Q20" s="341">
        <v>19.297123329208233</v>
      </c>
    </row>
  </sheetData>
  <hyperlinks>
    <hyperlink ref="A4" location="'Table of contents'!A1" display="Link to Table of Contents" xr:uid="{0C651369-BC5B-42E9-A6CD-74A16ACCA356}"/>
    <hyperlink ref="A6" location="'Notes_C1 to C5'!A1" display="Link to Notes" xr:uid="{601E4F5F-B51E-4A93-9118-62825CE29C4C}"/>
  </hyperlinks>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DFC21-43A8-4303-BB8A-9005042D2E69}">
  <dimension ref="A1:D17"/>
  <sheetViews>
    <sheetView showGridLines="0" workbookViewId="0"/>
  </sheetViews>
  <sheetFormatPr defaultColWidth="12.7109375" defaultRowHeight="15" customHeight="1" x14ac:dyDescent="0.25"/>
  <cols>
    <col min="1" max="1" width="84" customWidth="1"/>
    <col min="2" max="2" width="49.85546875" customWidth="1"/>
    <col min="3" max="3" width="53" customWidth="1"/>
    <col min="4" max="4" width="62.85546875" customWidth="1"/>
  </cols>
  <sheetData>
    <row r="1" spans="1:4" ht="17.25" customHeight="1" x14ac:dyDescent="0.25">
      <c r="A1" s="861" t="s">
        <v>1503</v>
      </c>
      <c r="B1" s="348"/>
      <c r="C1" s="348"/>
      <c r="D1" s="348"/>
    </row>
    <row r="2" spans="1:4" ht="17.25" customHeight="1" x14ac:dyDescent="0.25">
      <c r="A2" s="352" t="s">
        <v>368</v>
      </c>
      <c r="B2" s="353"/>
      <c r="C2" s="353"/>
      <c r="D2" s="353"/>
    </row>
    <row r="3" spans="1:4" ht="17.25" customHeight="1" x14ac:dyDescent="0.25">
      <c r="A3" s="350" t="s">
        <v>369</v>
      </c>
      <c r="B3" s="351"/>
      <c r="C3" s="351"/>
      <c r="D3" s="351"/>
    </row>
    <row r="4" spans="1:4" ht="17.25" customHeight="1" x14ac:dyDescent="0.25">
      <c r="A4" s="352" t="s">
        <v>1449</v>
      </c>
      <c r="B4" s="351"/>
      <c r="C4" s="351"/>
      <c r="D4" s="351"/>
    </row>
    <row r="5" spans="1:4" ht="17.25" customHeight="1" x14ac:dyDescent="0.25">
      <c r="A5" s="175" t="s">
        <v>371</v>
      </c>
      <c r="B5" s="349"/>
      <c r="C5" s="349"/>
      <c r="D5" s="349"/>
    </row>
    <row r="6" spans="1:4" ht="17.25" customHeight="1" x14ac:dyDescent="0.25">
      <c r="A6" s="134" t="s">
        <v>372</v>
      </c>
      <c r="B6" s="354"/>
      <c r="C6" s="355"/>
      <c r="D6" s="355"/>
    </row>
    <row r="7" spans="1:4" ht="15.75" x14ac:dyDescent="0.25">
      <c r="A7" s="356" t="s">
        <v>1180</v>
      </c>
      <c r="B7" s="356" t="s">
        <v>1181</v>
      </c>
      <c r="C7" s="357" t="s">
        <v>1182</v>
      </c>
      <c r="D7" s="357" t="s">
        <v>1183</v>
      </c>
    </row>
    <row r="8" spans="1:4" ht="15.75" x14ac:dyDescent="0.25">
      <c r="A8" s="358" t="s">
        <v>1184</v>
      </c>
      <c r="B8" s="359" t="s">
        <v>1185</v>
      </c>
      <c r="C8" s="360">
        <v>166726</v>
      </c>
      <c r="D8" s="361">
        <v>30.128772737622384</v>
      </c>
    </row>
    <row r="9" spans="1:4" ht="15.75" x14ac:dyDescent="0.25">
      <c r="A9" s="738">
        <v>86</v>
      </c>
      <c r="B9" s="359" t="s">
        <v>1186</v>
      </c>
      <c r="C9" s="360">
        <v>32465</v>
      </c>
      <c r="D9" s="361">
        <v>75.959288722508191</v>
      </c>
    </row>
    <row r="10" spans="1:4" ht="15.75" x14ac:dyDescent="0.25">
      <c r="A10" s="739" t="s">
        <v>1187</v>
      </c>
      <c r="B10" s="359" t="s">
        <v>1188</v>
      </c>
      <c r="C10" s="360">
        <v>14550</v>
      </c>
      <c r="D10" s="361">
        <v>23.618212807401999</v>
      </c>
    </row>
    <row r="11" spans="1:4" ht="15.75" x14ac:dyDescent="0.25">
      <c r="A11" s="739">
        <v>35</v>
      </c>
      <c r="B11" s="359" t="s">
        <v>1189</v>
      </c>
      <c r="C11" s="360">
        <v>19640</v>
      </c>
      <c r="D11" s="361">
        <v>64.681860097483863</v>
      </c>
    </row>
    <row r="12" spans="1:4" ht="30.75" x14ac:dyDescent="0.25">
      <c r="A12" s="362" t="s">
        <v>1190</v>
      </c>
      <c r="B12" s="359" t="s">
        <v>1191</v>
      </c>
      <c r="C12" s="360">
        <v>10972</v>
      </c>
      <c r="D12" s="361">
        <v>0.7885299507707787</v>
      </c>
    </row>
    <row r="13" spans="1:4" ht="15.75" x14ac:dyDescent="0.25">
      <c r="A13" s="740" t="s">
        <v>1192</v>
      </c>
      <c r="B13" s="359" t="s">
        <v>759</v>
      </c>
      <c r="C13" s="360">
        <v>10071</v>
      </c>
      <c r="D13" s="361">
        <v>2.2250600397245353</v>
      </c>
    </row>
    <row r="14" spans="1:4" ht="15.75" x14ac:dyDescent="0.25">
      <c r="A14" s="740" t="s">
        <v>1193</v>
      </c>
      <c r="B14" s="359" t="s">
        <v>1194</v>
      </c>
      <c r="C14" s="360">
        <v>11050</v>
      </c>
      <c r="D14" s="361">
        <v>7.3853762865927015</v>
      </c>
    </row>
    <row r="15" spans="1:4" ht="15.75" x14ac:dyDescent="0.25">
      <c r="A15" s="741" t="s">
        <v>1195</v>
      </c>
      <c r="B15" s="359" t="s">
        <v>1196</v>
      </c>
      <c r="C15" s="363">
        <v>963</v>
      </c>
      <c r="D15" s="361">
        <v>0.20945391905030156</v>
      </c>
    </row>
    <row r="16" spans="1:4" ht="15.75" x14ac:dyDescent="0.25">
      <c r="A16" s="740" t="s">
        <v>1197</v>
      </c>
      <c r="B16" s="359" t="s">
        <v>1198</v>
      </c>
      <c r="C16" s="360">
        <v>10034</v>
      </c>
      <c r="D16" s="361">
        <v>0.46761746710156865</v>
      </c>
    </row>
    <row r="17" spans="1:4" ht="15.75" x14ac:dyDescent="0.25">
      <c r="A17" s="739"/>
      <c r="B17" s="359" t="s">
        <v>975</v>
      </c>
      <c r="C17" s="360">
        <v>276471</v>
      </c>
      <c r="D17" s="361">
        <v>5.2289518757357234</v>
      </c>
    </row>
  </sheetData>
  <hyperlinks>
    <hyperlink ref="A2" location="'Table of contents'!A1" display="Link to Table of Contents" xr:uid="{1C60B359-4625-4B9D-ABA8-D03F6D5273EF}"/>
    <hyperlink ref="A4" location="'Notes_C1 to C5'!A1" display="Link to Notes" xr:uid="{25EAFDD7-DA3E-4390-9104-DC4CE96D22E2}"/>
  </hyperlinks>
  <pageMargins left="0.7" right="0.7" top="0.75" bottom="0.75" header="0.3" footer="0.3"/>
  <pageSetup paperSize="9" orientation="portrait"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25694-AF1C-4E17-95FE-13CA05827BC0}">
  <sheetPr>
    <tabColor rgb="FF0070C0"/>
  </sheetPr>
  <dimension ref="A1:C43"/>
  <sheetViews>
    <sheetView showGridLines="0" workbookViewId="0"/>
  </sheetViews>
  <sheetFormatPr defaultRowHeight="15" customHeight="1" x14ac:dyDescent="0.25"/>
  <cols>
    <col min="1" max="1" width="15.5703125" customWidth="1"/>
    <col min="2" max="2" width="135.85546875" customWidth="1"/>
    <col min="3" max="3" width="55.28515625" customWidth="1"/>
  </cols>
  <sheetData>
    <row r="1" spans="1:3" ht="30" customHeight="1" x14ac:dyDescent="0.25">
      <c r="A1" s="38" t="s">
        <v>1199</v>
      </c>
      <c r="B1" s="39"/>
      <c r="C1" s="39"/>
    </row>
    <row r="2" spans="1:3" ht="34.5" customHeight="1" x14ac:dyDescent="0.25">
      <c r="A2" s="36" t="s">
        <v>1004</v>
      </c>
      <c r="B2" s="39"/>
      <c r="C2" s="39"/>
    </row>
    <row r="3" spans="1:3" ht="26.25" customHeight="1" x14ac:dyDescent="0.25">
      <c r="A3" s="40" t="s">
        <v>1200</v>
      </c>
      <c r="B3" s="39"/>
      <c r="C3" s="39"/>
    </row>
    <row r="4" spans="1:3" ht="29.25" customHeight="1" x14ac:dyDescent="0.25">
      <c r="A4" s="41" t="s">
        <v>71</v>
      </c>
      <c r="B4" s="41" t="s">
        <v>72</v>
      </c>
      <c r="C4" s="42" t="s">
        <v>2</v>
      </c>
    </row>
    <row r="5" spans="1:3" ht="30" x14ac:dyDescent="0.25">
      <c r="A5" s="37">
        <v>1</v>
      </c>
      <c r="B5" s="826" t="s">
        <v>1201</v>
      </c>
      <c r="C5" s="47"/>
    </row>
    <row r="6" spans="1:3" ht="35.25" customHeight="1" x14ac:dyDescent="0.25">
      <c r="A6" s="37">
        <v>2</v>
      </c>
      <c r="B6" s="827" t="s">
        <v>1433</v>
      </c>
      <c r="C6" s="43"/>
    </row>
    <row r="7" spans="1:3" ht="21" customHeight="1" x14ac:dyDescent="0.25">
      <c r="A7" s="37">
        <v>3</v>
      </c>
      <c r="B7" s="828" t="s">
        <v>1202</v>
      </c>
      <c r="C7" s="43"/>
    </row>
    <row r="8" spans="1:3" ht="30" x14ac:dyDescent="0.25">
      <c r="A8" s="37">
        <v>4</v>
      </c>
      <c r="B8" s="828" t="s">
        <v>1203</v>
      </c>
      <c r="C8" s="43"/>
    </row>
    <row r="9" spans="1:3" x14ac:dyDescent="0.25">
      <c r="A9" s="37"/>
      <c r="B9" s="44"/>
      <c r="C9" s="43"/>
    </row>
    <row r="10" spans="1:3" x14ac:dyDescent="0.25">
      <c r="A10" s="37"/>
      <c r="B10" s="44"/>
      <c r="C10" s="43"/>
    </row>
    <row r="11" spans="1:3" x14ac:dyDescent="0.25">
      <c r="A11" s="39"/>
      <c r="B11" s="39"/>
      <c r="C11" s="39"/>
    </row>
    <row r="12" spans="1:3" ht="25.5" customHeight="1" x14ac:dyDescent="0.25">
      <c r="A12" s="45" t="s">
        <v>1204</v>
      </c>
      <c r="B12" s="39"/>
      <c r="C12" s="39"/>
    </row>
    <row r="13" spans="1:3" ht="27.75" customHeight="1" x14ac:dyDescent="0.25">
      <c r="A13" s="41" t="s">
        <v>71</v>
      </c>
      <c r="B13" s="41" t="s">
        <v>72</v>
      </c>
      <c r="C13" s="42" t="s">
        <v>2</v>
      </c>
    </row>
    <row r="14" spans="1:3" ht="39.75" customHeight="1" x14ac:dyDescent="0.25">
      <c r="A14" s="37">
        <v>1</v>
      </c>
      <c r="B14" s="831" t="s">
        <v>1211</v>
      </c>
      <c r="C14" s="39"/>
    </row>
    <row r="15" spans="1:3" ht="32.25" customHeight="1" x14ac:dyDescent="0.25">
      <c r="A15" s="37">
        <v>2</v>
      </c>
      <c r="B15" s="832" t="s">
        <v>1205</v>
      </c>
      <c r="C15" s="39"/>
    </row>
    <row r="16" spans="1:3" ht="42.75" customHeight="1" x14ac:dyDescent="0.25">
      <c r="A16" s="37">
        <v>3</v>
      </c>
      <c r="B16" s="832" t="s">
        <v>1206</v>
      </c>
      <c r="C16" s="46" t="s">
        <v>1007</v>
      </c>
    </row>
    <row r="17" spans="1:3" ht="37.5" customHeight="1" x14ac:dyDescent="0.25">
      <c r="A17" s="37">
        <v>4</v>
      </c>
      <c r="B17" s="832" t="s">
        <v>1207</v>
      </c>
      <c r="C17" s="46" t="s">
        <v>1007</v>
      </c>
    </row>
    <row r="18" spans="1:3" ht="42" customHeight="1" x14ac:dyDescent="0.25">
      <c r="A18" s="37">
        <v>5</v>
      </c>
      <c r="B18" s="794" t="s">
        <v>1208</v>
      </c>
      <c r="C18" s="39"/>
    </row>
    <row r="19" spans="1:3" x14ac:dyDescent="0.25">
      <c r="A19" s="37">
        <v>6</v>
      </c>
      <c r="B19" s="833" t="s">
        <v>1434</v>
      </c>
      <c r="C19" s="39"/>
    </row>
    <row r="20" spans="1:3" ht="39" customHeight="1" x14ac:dyDescent="0.25">
      <c r="A20" s="37">
        <v>7</v>
      </c>
      <c r="B20" s="794" t="s">
        <v>1435</v>
      </c>
      <c r="C20" s="39"/>
    </row>
    <row r="21" spans="1:3" ht="37.5" customHeight="1" x14ac:dyDescent="0.25">
      <c r="A21" s="37">
        <v>8</v>
      </c>
      <c r="B21" s="832" t="s">
        <v>1209</v>
      </c>
      <c r="C21" s="39"/>
    </row>
    <row r="22" spans="1:3" ht="17.25" customHeight="1" x14ac:dyDescent="0.25">
      <c r="A22" s="37"/>
      <c r="B22" s="44"/>
      <c r="C22" s="39"/>
    </row>
    <row r="23" spans="1:3" ht="21.75" customHeight="1" x14ac:dyDescent="0.25">
      <c r="A23" s="98" t="s">
        <v>1210</v>
      </c>
      <c r="B23" s="97"/>
      <c r="C23" s="714"/>
    </row>
    <row r="24" spans="1:3" ht="21.6" customHeight="1" x14ac:dyDescent="0.25">
      <c r="A24" s="95" t="s">
        <v>71</v>
      </c>
      <c r="B24" s="96" t="s">
        <v>72</v>
      </c>
      <c r="C24" s="95" t="s">
        <v>2</v>
      </c>
    </row>
    <row r="25" spans="1:3" ht="34.5" customHeight="1" x14ac:dyDescent="0.25">
      <c r="A25" s="92">
        <v>1</v>
      </c>
      <c r="B25" s="93" t="s">
        <v>1211</v>
      </c>
      <c r="C25" s="94"/>
    </row>
    <row r="26" spans="1:3" x14ac:dyDescent="0.25">
      <c r="A26" s="92">
        <v>2</v>
      </c>
      <c r="B26" s="93" t="s">
        <v>1212</v>
      </c>
      <c r="C26" s="46" t="s">
        <v>1007</v>
      </c>
    </row>
    <row r="27" spans="1:3" x14ac:dyDescent="0.25">
      <c r="A27" s="39"/>
      <c r="B27" s="39"/>
      <c r="C27" s="39"/>
    </row>
    <row r="28" spans="1:3" ht="26.25" customHeight="1" x14ac:dyDescent="0.25">
      <c r="A28" s="91" t="s">
        <v>1213</v>
      </c>
      <c r="B28" s="742"/>
      <c r="C28" s="743"/>
    </row>
    <row r="29" spans="1:3" ht="15.75" x14ac:dyDescent="0.25">
      <c r="A29" s="64" t="s">
        <v>71</v>
      </c>
      <c r="B29" s="81" t="s">
        <v>72</v>
      </c>
      <c r="C29" s="64" t="s">
        <v>2</v>
      </c>
    </row>
    <row r="30" spans="1:3" ht="39" customHeight="1" x14ac:dyDescent="0.25">
      <c r="A30" s="719">
        <v>1</v>
      </c>
      <c r="B30" s="195" t="s">
        <v>1214</v>
      </c>
      <c r="C30" s="196" t="s">
        <v>1007</v>
      </c>
    </row>
    <row r="31" spans="1:3" ht="26.25" customHeight="1" x14ac:dyDescent="0.25">
      <c r="A31" s="719">
        <v>2</v>
      </c>
      <c r="B31" s="73" t="s">
        <v>1215</v>
      </c>
      <c r="C31" s="744"/>
    </row>
    <row r="32" spans="1:3" ht="26.25" customHeight="1" x14ac:dyDescent="0.25">
      <c r="A32" s="719">
        <v>3</v>
      </c>
      <c r="B32" s="65" t="s">
        <v>1216</v>
      </c>
      <c r="C32" s="197"/>
    </row>
    <row r="33" spans="1:3" ht="26.25" customHeight="1" x14ac:dyDescent="0.25">
      <c r="A33" s="78">
        <v>4</v>
      </c>
      <c r="B33" s="198" t="s">
        <v>1217</v>
      </c>
      <c r="C33" s="199"/>
    </row>
    <row r="34" spans="1:3" ht="20.25" customHeight="1" x14ac:dyDescent="0.25">
      <c r="A34" s="91"/>
      <c r="B34" s="199"/>
      <c r="C34" s="103"/>
    </row>
    <row r="35" spans="1:3" ht="20.25" customHeight="1" x14ac:dyDescent="0.25">
      <c r="A35" s="91" t="s">
        <v>1453</v>
      </c>
      <c r="B35" s="199"/>
      <c r="C35" s="103"/>
    </row>
    <row r="36" spans="1:3" ht="25.5" customHeight="1" x14ac:dyDescent="0.25">
      <c r="A36" s="95" t="s">
        <v>71</v>
      </c>
      <c r="B36" s="96" t="s">
        <v>72</v>
      </c>
      <c r="C36" s="95" t="s">
        <v>2</v>
      </c>
    </row>
    <row r="37" spans="1:3" ht="30.75" x14ac:dyDescent="0.25">
      <c r="A37" s="866">
        <v>1</v>
      </c>
      <c r="B37" s="867" t="s">
        <v>1454</v>
      </c>
      <c r="C37" s="868"/>
    </row>
    <row r="38" spans="1:3" ht="23.25" customHeight="1" x14ac:dyDescent="0.25">
      <c r="A38" s="866">
        <v>2</v>
      </c>
      <c r="B38" s="867" t="s">
        <v>1455</v>
      </c>
      <c r="C38" s="868"/>
    </row>
    <row r="39" spans="1:3" ht="23.25" customHeight="1" x14ac:dyDescent="0.25">
      <c r="A39" s="866">
        <v>3</v>
      </c>
      <c r="B39" s="867" t="s">
        <v>1456</v>
      </c>
      <c r="C39" s="868"/>
    </row>
    <row r="40" spans="1:3" ht="21" customHeight="1" x14ac:dyDescent="0.25">
      <c r="A40" s="866">
        <v>4</v>
      </c>
      <c r="B40" s="867" t="s">
        <v>1457</v>
      </c>
      <c r="C40" s="868"/>
    </row>
    <row r="41" spans="1:3" ht="38.25" customHeight="1" x14ac:dyDescent="0.25">
      <c r="A41" s="866">
        <v>5</v>
      </c>
      <c r="B41" s="867" t="s">
        <v>1458</v>
      </c>
      <c r="C41" s="868"/>
    </row>
    <row r="42" spans="1:3" ht="36.75" customHeight="1" x14ac:dyDescent="0.25">
      <c r="A42" s="78">
        <v>6</v>
      </c>
      <c r="B42" s="867" t="s">
        <v>1459</v>
      </c>
      <c r="C42" s="869"/>
    </row>
    <row r="43" spans="1:3" ht="23.25" customHeight="1" x14ac:dyDescent="0.25">
      <c r="A43" s="78">
        <v>7</v>
      </c>
      <c r="B43" s="867" t="s">
        <v>1460</v>
      </c>
      <c r="C43" s="869"/>
    </row>
  </sheetData>
  <hyperlinks>
    <hyperlink ref="C16" r:id="rId1" xr:uid="{49A7FF3C-6452-4235-9A1F-D9A269368DED}"/>
    <hyperlink ref="C17" r:id="rId2" xr:uid="{C8AD7039-BF3E-4E95-83E6-6FF175514157}"/>
    <hyperlink ref="C26" r:id="rId3" xr:uid="{FDDD35AE-642A-4403-B791-13E25758ADAE}"/>
    <hyperlink ref="C30" r:id="rId4" xr:uid="{1B6680B8-B819-4214-B46C-809CECB0BD68}"/>
  </hyperlinks>
  <pageMargins left="0.7" right="0.7" top="0.75" bottom="0.75" header="0.3" footer="0.3"/>
  <pageSetup paperSize="9" orientation="portrait" r:id="rId5"/>
  <tableParts count="5">
    <tablePart r:id="rId6"/>
    <tablePart r:id="rId7"/>
    <tablePart r:id="rId8"/>
    <tablePart r:id="rId9"/>
    <tablePart r:id="rId10"/>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4A8D9-C308-4924-8BF6-6D872AA38E86}">
  <dimension ref="A1:I24"/>
  <sheetViews>
    <sheetView showGridLines="0" workbookViewId="0"/>
  </sheetViews>
  <sheetFormatPr defaultRowHeight="15" customHeight="1" x14ac:dyDescent="0.25"/>
  <cols>
    <col min="1" max="1" width="55.7109375" customWidth="1"/>
    <col min="2" max="3" width="15.7109375" customWidth="1"/>
    <col min="4" max="4" width="28.28515625" customWidth="1"/>
    <col min="6" max="6" width="55.7109375" customWidth="1"/>
    <col min="7" max="7" width="14" customWidth="1"/>
    <col min="8" max="8" width="13.28515625" customWidth="1"/>
    <col min="9" max="9" width="28.28515625" customWidth="1"/>
  </cols>
  <sheetData>
    <row r="1" spans="1:9" ht="18.75" customHeight="1" x14ac:dyDescent="0.25">
      <c r="A1" s="836" t="s">
        <v>1436</v>
      </c>
      <c r="B1" s="124"/>
      <c r="C1" s="124"/>
      <c r="D1" s="124"/>
      <c r="G1" s="124"/>
      <c r="H1" s="124"/>
      <c r="I1" s="124"/>
    </row>
    <row r="2" spans="1:9" ht="18.75" customHeight="1" x14ac:dyDescent="0.25">
      <c r="A2" s="1" t="s">
        <v>1218</v>
      </c>
      <c r="B2" s="124"/>
      <c r="C2" s="124"/>
      <c r="D2" s="124"/>
      <c r="G2" s="124"/>
      <c r="H2" s="124"/>
      <c r="I2" s="124"/>
    </row>
    <row r="3" spans="1:9" ht="18.75" customHeight="1" x14ac:dyDescent="0.25">
      <c r="A3" s="2" t="s">
        <v>97</v>
      </c>
      <c r="B3" s="124"/>
      <c r="C3" s="124"/>
      <c r="D3" s="124"/>
      <c r="G3" s="124"/>
      <c r="H3" s="124"/>
      <c r="I3" s="124"/>
    </row>
    <row r="4" spans="1:9" ht="18.75" customHeight="1" x14ac:dyDescent="0.25">
      <c r="A4" s="1" t="s">
        <v>1219</v>
      </c>
      <c r="B4" s="124"/>
      <c r="C4" s="124"/>
      <c r="D4" s="124"/>
      <c r="G4" s="124"/>
      <c r="H4" s="124"/>
      <c r="I4" s="124"/>
    </row>
    <row r="5" spans="1:9" ht="18.75" customHeight="1" x14ac:dyDescent="0.25">
      <c r="A5" s="2" t="s">
        <v>99</v>
      </c>
      <c r="B5" s="124"/>
      <c r="C5" s="124"/>
      <c r="D5" s="124"/>
      <c r="G5" s="124"/>
      <c r="H5" s="124"/>
      <c r="I5" s="124"/>
    </row>
    <row r="6" spans="1:9" ht="18.75" customHeight="1" x14ac:dyDescent="0.25">
      <c r="A6" s="1" t="s">
        <v>1051</v>
      </c>
      <c r="B6" s="124"/>
      <c r="C6" s="124"/>
      <c r="D6" s="124"/>
      <c r="G6" s="124"/>
      <c r="H6" s="124"/>
      <c r="I6" s="124"/>
    </row>
    <row r="7" spans="1:9" ht="18.75" customHeight="1" x14ac:dyDescent="0.25">
      <c r="A7" s="1" t="s">
        <v>1220</v>
      </c>
      <c r="B7" s="124"/>
      <c r="C7" s="124"/>
      <c r="D7" s="124"/>
      <c r="F7" s="1" t="s">
        <v>1221</v>
      </c>
      <c r="G7" s="124"/>
      <c r="H7" s="124"/>
      <c r="I7" s="124"/>
    </row>
    <row r="8" spans="1:9" ht="78.75" x14ac:dyDescent="0.25">
      <c r="A8" s="31" t="s">
        <v>1437</v>
      </c>
      <c r="B8" s="99" t="s">
        <v>132</v>
      </c>
      <c r="C8" s="99" t="s">
        <v>133</v>
      </c>
      <c r="D8" s="99" t="s">
        <v>1438</v>
      </c>
      <c r="F8" s="31" t="s">
        <v>1222</v>
      </c>
      <c r="G8" s="99" t="s">
        <v>132</v>
      </c>
      <c r="H8" s="99" t="s">
        <v>133</v>
      </c>
      <c r="I8" s="99" t="s">
        <v>1438</v>
      </c>
    </row>
    <row r="9" spans="1:9" ht="30.75" x14ac:dyDescent="0.25">
      <c r="A9" s="7" t="s">
        <v>1223</v>
      </c>
      <c r="B9" s="15">
        <v>35.893845060423743</v>
      </c>
      <c r="C9" s="15">
        <v>36.677350830854131</v>
      </c>
      <c r="D9" s="8" t="s">
        <v>1224</v>
      </c>
      <c r="F9" s="7" t="s">
        <v>1223</v>
      </c>
      <c r="G9" s="15">
        <v>35.966959352214943</v>
      </c>
      <c r="H9" s="15">
        <v>36.849431647301152</v>
      </c>
      <c r="I9" s="8" t="s">
        <v>1224</v>
      </c>
    </row>
    <row r="10" spans="1:9" ht="15.75" x14ac:dyDescent="0.25">
      <c r="A10" s="7" t="s">
        <v>1225</v>
      </c>
      <c r="B10" s="15">
        <v>12.681960900970649</v>
      </c>
      <c r="C10" s="15">
        <v>12.08119969187865</v>
      </c>
      <c r="D10" s="8" t="s">
        <v>1224</v>
      </c>
      <c r="F10" s="7" t="s">
        <v>1225</v>
      </c>
      <c r="G10" s="15">
        <v>12.792862336385641</v>
      </c>
      <c r="H10" s="15">
        <v>12.076741428762951</v>
      </c>
      <c r="I10" s="8" t="s">
        <v>1224</v>
      </c>
    </row>
    <row r="11" spans="1:9" ht="15.75" x14ac:dyDescent="0.25">
      <c r="A11" s="834" t="s">
        <v>1439</v>
      </c>
      <c r="B11" s="15">
        <v>10.93031954615523</v>
      </c>
      <c r="C11" s="15">
        <v>11.467198892553711</v>
      </c>
      <c r="D11" s="8" t="s">
        <v>1224</v>
      </c>
      <c r="F11" s="834" t="s">
        <v>1439</v>
      </c>
      <c r="G11" s="15">
        <v>11.0314803353514</v>
      </c>
      <c r="H11" s="15">
        <v>11.57869353864319</v>
      </c>
      <c r="I11" s="8" t="s">
        <v>1224</v>
      </c>
    </row>
    <row r="12" spans="1:9" ht="15.75" x14ac:dyDescent="0.25">
      <c r="A12" s="834" t="s">
        <v>1226</v>
      </c>
      <c r="B12" s="15">
        <v>10.5247474154064</v>
      </c>
      <c r="C12" s="15">
        <v>10.59546111208596</v>
      </c>
      <c r="D12" s="8" t="s">
        <v>1224</v>
      </c>
      <c r="F12" s="834" t="s">
        <v>1226</v>
      </c>
      <c r="G12" s="15">
        <v>10.6768339764839</v>
      </c>
      <c r="H12" s="15">
        <v>10.75366042707763</v>
      </c>
      <c r="I12" s="8" t="s">
        <v>1224</v>
      </c>
    </row>
    <row r="13" spans="1:9" ht="15.75" x14ac:dyDescent="0.25">
      <c r="A13" s="834" t="s">
        <v>1440</v>
      </c>
      <c r="B13" s="15">
        <v>9.2863405961572862</v>
      </c>
      <c r="C13" s="15">
        <v>10.142754931501431</v>
      </c>
      <c r="D13" s="8" t="s">
        <v>226</v>
      </c>
      <c r="F13" s="834" t="s">
        <v>1440</v>
      </c>
      <c r="G13" s="15">
        <v>9.3079004135868271</v>
      </c>
      <c r="H13" s="15">
        <v>10.19199876144266</v>
      </c>
      <c r="I13" s="8" t="s">
        <v>226</v>
      </c>
    </row>
    <row r="14" spans="1:9" ht="15.75" x14ac:dyDescent="0.25">
      <c r="A14" s="7" t="s">
        <v>1227</v>
      </c>
      <c r="B14" s="15">
        <v>9.6692016872943238</v>
      </c>
      <c r="C14" s="15">
        <v>9.6736643686763575</v>
      </c>
      <c r="D14" s="8" t="s">
        <v>1224</v>
      </c>
      <c r="F14" s="7" t="s">
        <v>1227</v>
      </c>
      <c r="G14" s="15">
        <v>9.6880384710156555</v>
      </c>
      <c r="H14" s="15">
        <v>9.691003937923556</v>
      </c>
      <c r="I14" s="8" t="s">
        <v>1224</v>
      </c>
    </row>
    <row r="15" spans="1:9" ht="15.75" x14ac:dyDescent="0.25">
      <c r="A15" s="7" t="s">
        <v>1228</v>
      </c>
      <c r="B15" s="15">
        <v>8.8853036594534256</v>
      </c>
      <c r="C15" s="15">
        <v>9.1063940692266065</v>
      </c>
      <c r="D15" s="8" t="s">
        <v>1224</v>
      </c>
      <c r="F15" s="7" t="s">
        <v>1228</v>
      </c>
      <c r="G15" s="15">
        <v>9.0351530381332452</v>
      </c>
      <c r="H15" s="15">
        <v>9.2525023143308864</v>
      </c>
      <c r="I15" s="8" t="s">
        <v>1224</v>
      </c>
    </row>
    <row r="16" spans="1:9" ht="15.75" x14ac:dyDescent="0.25">
      <c r="A16" s="7" t="s">
        <v>1229</v>
      </c>
      <c r="B16" s="15">
        <v>7.0195408280393439</v>
      </c>
      <c r="C16" s="15">
        <v>7.6628069292126844</v>
      </c>
      <c r="D16" s="8" t="s">
        <v>1224</v>
      </c>
      <c r="F16" s="7" t="s">
        <v>1229</v>
      </c>
      <c r="G16" s="15">
        <v>7.145418673159015</v>
      </c>
      <c r="H16" s="15">
        <v>7.7747509634097121</v>
      </c>
      <c r="I16" s="8" t="s">
        <v>1224</v>
      </c>
    </row>
    <row r="17" spans="1:9" ht="30.75" x14ac:dyDescent="0.25">
      <c r="A17" s="7" t="s">
        <v>1230</v>
      </c>
      <c r="B17" s="15">
        <v>5.6731578069010578</v>
      </c>
      <c r="C17" s="15">
        <v>6.3914806766216934</v>
      </c>
      <c r="D17" s="8" t="s">
        <v>226</v>
      </c>
      <c r="F17" s="7" t="s">
        <v>1230</v>
      </c>
      <c r="G17" s="15">
        <v>5.7075458534588908</v>
      </c>
      <c r="H17" s="15">
        <v>6.4686191455211768</v>
      </c>
      <c r="I17" s="8" t="s">
        <v>226</v>
      </c>
    </row>
    <row r="18" spans="1:9" ht="15.75" x14ac:dyDescent="0.25">
      <c r="A18" s="7" t="s">
        <v>1231</v>
      </c>
      <c r="B18" s="15">
        <v>5.7161272391145381</v>
      </c>
      <c r="C18" s="15">
        <v>5.7114827202895651</v>
      </c>
      <c r="D18" s="8" t="s">
        <v>1224</v>
      </c>
      <c r="F18" s="7" t="s">
        <v>1231</v>
      </c>
      <c r="G18" s="15">
        <v>5.7185510396319357</v>
      </c>
      <c r="H18" s="15">
        <v>5.8119409263910553</v>
      </c>
      <c r="I18" s="8" t="s">
        <v>1224</v>
      </c>
    </row>
    <row r="19" spans="1:9" ht="15.75" x14ac:dyDescent="0.25">
      <c r="A19" s="7" t="s">
        <v>1232</v>
      </c>
      <c r="B19" s="15">
        <v>3.6741089288710311</v>
      </c>
      <c r="C19" s="15">
        <v>3.5596993588346741</v>
      </c>
      <c r="D19" s="8" t="s">
        <v>1224</v>
      </c>
      <c r="F19" s="7" t="s">
        <v>1232</v>
      </c>
      <c r="G19" s="15">
        <v>3.688103477394117</v>
      </c>
      <c r="H19" s="15">
        <v>3.5813433801915808</v>
      </c>
      <c r="I19" s="8" t="s">
        <v>1224</v>
      </c>
    </row>
    <row r="20" spans="1:9" ht="15.75" x14ac:dyDescent="0.25">
      <c r="A20" s="7" t="s">
        <v>1233</v>
      </c>
      <c r="B20" s="15">
        <v>2.8318216230101649</v>
      </c>
      <c r="C20" s="15">
        <v>2.9275316133936431</v>
      </c>
      <c r="D20" s="8" t="s">
        <v>1224</v>
      </c>
      <c r="F20" s="7" t="s">
        <v>1233</v>
      </c>
      <c r="G20" s="15">
        <v>2.9066879920066642</v>
      </c>
      <c r="H20" s="15">
        <v>2.9996468308008661</v>
      </c>
      <c r="I20" s="8" t="s">
        <v>1224</v>
      </c>
    </row>
    <row r="21" spans="1:9" ht="15.75" x14ac:dyDescent="0.25">
      <c r="A21" s="7" t="s">
        <v>1234</v>
      </c>
      <c r="B21" s="15">
        <v>1.044016118825319</v>
      </c>
      <c r="C21" s="15">
        <v>1.1831409695903481</v>
      </c>
      <c r="D21" s="8" t="s">
        <v>1224</v>
      </c>
      <c r="F21" s="7" t="s">
        <v>1234</v>
      </c>
      <c r="G21" s="15">
        <v>1.044321185258968</v>
      </c>
      <c r="H21" s="15">
        <v>1.207820273370386</v>
      </c>
      <c r="I21" s="8" t="s">
        <v>1224</v>
      </c>
    </row>
    <row r="22" spans="1:9" ht="15.75" x14ac:dyDescent="0.25">
      <c r="A22" s="7" t="s">
        <v>1235</v>
      </c>
      <c r="B22" s="15">
        <v>1.1672348820080931</v>
      </c>
      <c r="C22" s="15">
        <v>1.1385138954240961</v>
      </c>
      <c r="D22" s="8" t="s">
        <v>1224</v>
      </c>
      <c r="F22" s="7" t="s">
        <v>1235</v>
      </c>
      <c r="G22" s="15">
        <v>1.1459607783454679</v>
      </c>
      <c r="H22" s="15">
        <v>1.1723875000109321</v>
      </c>
      <c r="I22" s="8" t="s">
        <v>1224</v>
      </c>
    </row>
    <row r="23" spans="1:9" ht="30.75" x14ac:dyDescent="0.25">
      <c r="A23" s="7" t="s">
        <v>1236</v>
      </c>
      <c r="B23" s="15">
        <v>0.41723069220779607</v>
      </c>
      <c r="C23" s="15">
        <v>0.33676800157923731</v>
      </c>
      <c r="D23" s="8" t="s">
        <v>1224</v>
      </c>
      <c r="F23" s="7" t="s">
        <v>1236</v>
      </c>
      <c r="G23" s="15">
        <v>0.41568432399270899</v>
      </c>
      <c r="H23" s="15">
        <v>0.35561484396027992</v>
      </c>
      <c r="I23" s="8" t="s">
        <v>1224</v>
      </c>
    </row>
    <row r="24" spans="1:9" ht="30.75" x14ac:dyDescent="0.25">
      <c r="A24" s="10" t="s">
        <v>1237</v>
      </c>
      <c r="B24" s="11">
        <v>31702</v>
      </c>
      <c r="C24" s="11">
        <v>31723</v>
      </c>
      <c r="D24" s="11"/>
      <c r="F24" s="10" t="s">
        <v>1237</v>
      </c>
      <c r="G24" s="11">
        <v>29621</v>
      </c>
      <c r="H24" s="11">
        <v>29402</v>
      </c>
      <c r="I24" s="11"/>
    </row>
  </sheetData>
  <hyperlinks>
    <hyperlink ref="A5" location="'Notes_D1 to D6'!A1" display="Link to notes page." xr:uid="{E92525DA-9589-4FEB-84A0-709E57C20514}"/>
    <hyperlink ref="A3" location=" 'Table of contents'!A1" display="Link to Table of contents." xr:uid="{BDCA486D-9E99-4ACC-8027-4D6A18E0DBF5}"/>
  </hyperlinks>
  <pageMargins left="0.7" right="0.7" top="0.75" bottom="0.75" header="0.3" footer="0.3"/>
  <pageSetup paperSize="9" orientation="portrait" r:id="rId1"/>
  <tableParts count="2">
    <tablePart r:id="rId2"/>
    <tablePart r:id="rId3"/>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80F0E-8ADC-4655-A3D3-1208E25A89F3}">
  <dimension ref="A1:O18"/>
  <sheetViews>
    <sheetView showGridLines="0" workbookViewId="0">
      <selection activeCell="A4" sqref="A4"/>
    </sheetView>
  </sheetViews>
  <sheetFormatPr defaultRowHeight="15" customHeight="1" x14ac:dyDescent="0.25"/>
  <cols>
    <col min="1" max="1" width="64.42578125" customWidth="1"/>
    <col min="2" max="6" width="15.7109375" customWidth="1"/>
    <col min="7" max="7" width="30.7109375" customWidth="1"/>
    <col min="9" max="9" width="58.7109375" customWidth="1"/>
    <col min="10" max="14" width="15.7109375" customWidth="1"/>
    <col min="15" max="15" width="28" customWidth="1"/>
  </cols>
  <sheetData>
    <row r="1" spans="1:15" ht="19.5" customHeight="1" x14ac:dyDescent="0.25">
      <c r="A1" s="836" t="s">
        <v>1504</v>
      </c>
      <c r="B1" s="124"/>
      <c r="C1" s="124"/>
      <c r="D1" s="124"/>
      <c r="E1" s="124"/>
      <c r="F1" s="124"/>
      <c r="J1" s="124"/>
      <c r="K1" s="124"/>
      <c r="L1" s="124"/>
      <c r="M1" s="124"/>
      <c r="N1" s="124"/>
    </row>
    <row r="2" spans="1:15" ht="19.5" customHeight="1" x14ac:dyDescent="0.25">
      <c r="A2" s="1" t="s">
        <v>1238</v>
      </c>
      <c r="B2" s="124"/>
      <c r="C2" s="124"/>
      <c r="D2" s="124"/>
      <c r="E2" s="124"/>
      <c r="F2" s="124"/>
      <c r="J2" s="124"/>
      <c r="K2" s="124"/>
      <c r="L2" s="124"/>
      <c r="M2" s="124"/>
      <c r="N2" s="124"/>
    </row>
    <row r="3" spans="1:15" ht="19.5" customHeight="1" x14ac:dyDescent="0.25">
      <c r="A3" s="1" t="s">
        <v>1431</v>
      </c>
      <c r="B3" s="124"/>
      <c r="C3" s="124"/>
      <c r="D3" s="124"/>
      <c r="E3" s="124"/>
      <c r="F3" s="124"/>
      <c r="J3" s="124"/>
      <c r="K3" s="124"/>
      <c r="L3" s="124"/>
      <c r="M3" s="124"/>
      <c r="N3" s="124"/>
    </row>
    <row r="4" spans="1:15" ht="19.5" customHeight="1" x14ac:dyDescent="0.25">
      <c r="A4" s="2" t="s">
        <v>97</v>
      </c>
      <c r="B4" s="124"/>
      <c r="C4" s="124"/>
      <c r="D4" s="124"/>
      <c r="E4" s="124"/>
      <c r="F4" s="124"/>
      <c r="J4" s="124"/>
      <c r="K4" s="124"/>
      <c r="L4" s="124"/>
      <c r="M4" s="124"/>
      <c r="N4" s="124"/>
    </row>
    <row r="5" spans="1:15" ht="19.5" customHeight="1" x14ac:dyDescent="0.25">
      <c r="A5" s="1" t="s">
        <v>1219</v>
      </c>
      <c r="B5" s="124"/>
      <c r="C5" s="124"/>
      <c r="D5" s="124"/>
      <c r="E5" s="124"/>
      <c r="F5" s="124"/>
      <c r="J5" s="124"/>
      <c r="K5" s="124"/>
      <c r="L5" s="124"/>
      <c r="M5" s="124"/>
      <c r="N5" s="124"/>
    </row>
    <row r="6" spans="1:15" ht="19.5" customHeight="1" x14ac:dyDescent="0.25">
      <c r="A6" s="2" t="s">
        <v>99</v>
      </c>
      <c r="B6" s="124"/>
      <c r="C6" s="124"/>
      <c r="D6" s="124"/>
      <c r="E6" s="124"/>
      <c r="F6" s="124"/>
      <c r="J6" s="124"/>
      <c r="K6" s="124"/>
      <c r="L6" s="124"/>
      <c r="M6" s="124"/>
      <c r="N6" s="124"/>
    </row>
    <row r="7" spans="1:15" ht="19.5" customHeight="1" x14ac:dyDescent="0.25">
      <c r="A7" s="1" t="s">
        <v>1051</v>
      </c>
      <c r="B7" s="124"/>
      <c r="C7" s="124"/>
      <c r="D7" s="124"/>
      <c r="E7" s="124"/>
      <c r="F7" s="124"/>
      <c r="J7" s="124"/>
      <c r="K7" s="124"/>
      <c r="L7" s="124"/>
      <c r="M7" s="124"/>
      <c r="N7" s="124"/>
    </row>
    <row r="8" spans="1:15" ht="26.25" customHeight="1" x14ac:dyDescent="0.25">
      <c r="A8" s="1" t="s">
        <v>1239</v>
      </c>
      <c r="B8" s="124"/>
      <c r="C8" s="124"/>
      <c r="D8" s="124"/>
      <c r="E8" s="124"/>
      <c r="F8" s="124"/>
      <c r="I8" s="1" t="s">
        <v>1240</v>
      </c>
      <c r="J8" s="124"/>
      <c r="K8" s="124"/>
      <c r="L8" s="124"/>
      <c r="M8" s="124"/>
      <c r="N8" s="124"/>
    </row>
    <row r="9" spans="1:15" ht="78.75" x14ac:dyDescent="0.25">
      <c r="A9" s="31" t="s">
        <v>1441</v>
      </c>
      <c r="B9" s="99" t="s">
        <v>1241</v>
      </c>
      <c r="C9" s="99" t="s">
        <v>1242</v>
      </c>
      <c r="D9" s="99" t="s">
        <v>930</v>
      </c>
      <c r="E9" s="99" t="s">
        <v>132</v>
      </c>
      <c r="F9" s="99" t="s">
        <v>133</v>
      </c>
      <c r="G9" s="99" t="s">
        <v>1448</v>
      </c>
      <c r="I9" s="3" t="s">
        <v>1441</v>
      </c>
      <c r="J9" s="125" t="s">
        <v>1241</v>
      </c>
      <c r="K9" s="125" t="s">
        <v>1242</v>
      </c>
      <c r="L9" s="125" t="s">
        <v>930</v>
      </c>
      <c r="M9" s="125" t="s">
        <v>132</v>
      </c>
      <c r="N9" s="125" t="s">
        <v>133</v>
      </c>
      <c r="O9" s="125" t="s">
        <v>1448</v>
      </c>
    </row>
    <row r="10" spans="1:15" ht="15.75" x14ac:dyDescent="0.25">
      <c r="A10" s="835" t="s">
        <v>1505</v>
      </c>
      <c r="B10" s="8" t="s">
        <v>169</v>
      </c>
      <c r="C10" s="8">
        <v>10.910575687192001</v>
      </c>
      <c r="D10" s="8">
        <v>7.1434919601039999</v>
      </c>
      <c r="E10" s="8">
        <v>8.1576381008799999</v>
      </c>
      <c r="F10" s="8">
        <v>8.4057312166779994</v>
      </c>
      <c r="G10" s="35" t="s">
        <v>1224</v>
      </c>
      <c r="I10" s="835" t="s">
        <v>1505</v>
      </c>
      <c r="J10" s="8" t="s">
        <v>169</v>
      </c>
      <c r="K10" s="8">
        <v>10.884197883249</v>
      </c>
      <c r="L10" s="8">
        <v>7.1711972299489997</v>
      </c>
      <c r="M10" s="8">
        <v>8.2341917900630008</v>
      </c>
      <c r="N10" s="8">
        <v>8.5120643450429991</v>
      </c>
      <c r="O10" s="35" t="s">
        <v>1224</v>
      </c>
    </row>
    <row r="11" spans="1:15" ht="15.75" x14ac:dyDescent="0.25">
      <c r="A11" s="7" t="s">
        <v>1243</v>
      </c>
      <c r="B11" s="8">
        <v>25.715998048113001</v>
      </c>
      <c r="C11" s="8">
        <v>28.602842623360001</v>
      </c>
      <c r="D11" s="8">
        <v>27.404625107733999</v>
      </c>
      <c r="E11" s="8">
        <v>28.850012338313999</v>
      </c>
      <c r="F11" s="8">
        <v>28.467437375797001</v>
      </c>
      <c r="G11" s="35" t="s">
        <v>1224</v>
      </c>
      <c r="I11" s="7" t="s">
        <v>1243</v>
      </c>
      <c r="J11" s="8">
        <v>25.567617629575</v>
      </c>
      <c r="K11" s="8">
        <v>28.483105076929</v>
      </c>
      <c r="L11" s="8">
        <v>27.455356999433999</v>
      </c>
      <c r="M11" s="8">
        <v>28.494761813762999</v>
      </c>
      <c r="N11" s="8">
        <v>28.455791974819999</v>
      </c>
      <c r="O11" s="35" t="s">
        <v>1224</v>
      </c>
    </row>
    <row r="12" spans="1:15" ht="15.75" x14ac:dyDescent="0.25">
      <c r="A12" s="7" t="s">
        <v>1226</v>
      </c>
      <c r="B12" s="8">
        <v>20.912032075467</v>
      </c>
      <c r="C12" s="8">
        <v>24.101169669649</v>
      </c>
      <c r="D12" s="8">
        <v>22.417540846127</v>
      </c>
      <c r="E12" s="8">
        <v>22.730932431286</v>
      </c>
      <c r="F12" s="8">
        <v>22.427405623633</v>
      </c>
      <c r="G12" s="35" t="s">
        <v>1224</v>
      </c>
      <c r="I12" s="7" t="s">
        <v>1226</v>
      </c>
      <c r="J12" s="8">
        <v>20.110717211701999</v>
      </c>
      <c r="K12" s="8">
        <v>23.738574835782</v>
      </c>
      <c r="L12" s="8">
        <v>22.313110050841001</v>
      </c>
      <c r="M12" s="8">
        <v>22.521234270072</v>
      </c>
      <c r="N12" s="8">
        <v>22.510841830716</v>
      </c>
      <c r="O12" s="35" t="s">
        <v>1224</v>
      </c>
    </row>
    <row r="13" spans="1:15" ht="15.75" x14ac:dyDescent="0.25">
      <c r="A13" s="7" t="s">
        <v>1244</v>
      </c>
      <c r="B13" s="8">
        <v>23.327466520771999</v>
      </c>
      <c r="C13" s="8">
        <v>17.225927721626999</v>
      </c>
      <c r="D13" s="8">
        <v>14.183396535595</v>
      </c>
      <c r="E13" s="8">
        <v>13.875620542684</v>
      </c>
      <c r="F13" s="8">
        <v>13.648795857536999</v>
      </c>
      <c r="G13" s="35" t="s">
        <v>1224</v>
      </c>
      <c r="I13" s="7" t="s">
        <v>1244</v>
      </c>
      <c r="J13" s="8">
        <v>23.207464416981999</v>
      </c>
      <c r="K13" s="8">
        <v>17.119697592443</v>
      </c>
      <c r="L13" s="8">
        <v>14.293157962716</v>
      </c>
      <c r="M13" s="8">
        <v>14.038303420092999</v>
      </c>
      <c r="N13" s="8">
        <v>13.785067355298001</v>
      </c>
      <c r="O13" s="35" t="s">
        <v>1224</v>
      </c>
    </row>
    <row r="14" spans="1:15" ht="30.75" x14ac:dyDescent="0.25">
      <c r="A14" s="7" t="s">
        <v>1442</v>
      </c>
      <c r="B14" s="8" t="s">
        <v>169</v>
      </c>
      <c r="C14" s="8">
        <v>18.159274186274001</v>
      </c>
      <c r="D14" s="8">
        <v>12.633380634842</v>
      </c>
      <c r="E14" s="8">
        <v>11.714490298655001</v>
      </c>
      <c r="F14" s="8">
        <v>12.473077304124001</v>
      </c>
      <c r="G14" s="35" t="s">
        <v>1224</v>
      </c>
      <c r="I14" s="7" t="s">
        <v>1245</v>
      </c>
      <c r="J14" s="8">
        <v>24.221397491800001</v>
      </c>
      <c r="K14" s="8">
        <v>15.890669641428</v>
      </c>
      <c r="L14" s="8">
        <v>13.163607792422001</v>
      </c>
      <c r="M14" s="8">
        <v>12.63914317725</v>
      </c>
      <c r="N14" s="8">
        <v>12.715988584202</v>
      </c>
      <c r="O14" s="35" t="s">
        <v>1224</v>
      </c>
    </row>
    <row r="15" spans="1:15" ht="15.75" x14ac:dyDescent="0.25">
      <c r="A15" s="7" t="s">
        <v>1245</v>
      </c>
      <c r="B15" s="8">
        <v>24.289370941904</v>
      </c>
      <c r="C15" s="8">
        <v>15.877223907179999</v>
      </c>
      <c r="D15" s="8">
        <v>12.856168531259</v>
      </c>
      <c r="E15" s="8">
        <v>12.4082208772</v>
      </c>
      <c r="F15" s="8">
        <v>12.413491424978</v>
      </c>
      <c r="G15" s="35" t="s">
        <v>1224</v>
      </c>
      <c r="I15" s="7" t="s">
        <v>1445</v>
      </c>
      <c r="J15" s="8" t="s">
        <v>169</v>
      </c>
      <c r="K15" s="8">
        <v>18.150466650511</v>
      </c>
      <c r="L15" s="8">
        <v>12.658426878959</v>
      </c>
      <c r="M15" s="8">
        <v>11.852338176318</v>
      </c>
      <c r="N15" s="8">
        <v>12.633623011087</v>
      </c>
      <c r="O15" s="35" t="s">
        <v>1224</v>
      </c>
    </row>
    <row r="16" spans="1:15" ht="15.75" x14ac:dyDescent="0.25">
      <c r="A16" s="7" t="s">
        <v>1246</v>
      </c>
      <c r="B16" s="8">
        <v>7.6349262321099998</v>
      </c>
      <c r="C16" s="8">
        <v>11.691437752239001</v>
      </c>
      <c r="D16" s="8">
        <v>7.8497701271929996</v>
      </c>
      <c r="E16" s="8">
        <v>8.2516724802999999</v>
      </c>
      <c r="F16" s="8">
        <v>8.6377555627370004</v>
      </c>
      <c r="G16" s="35" t="s">
        <v>1224</v>
      </c>
      <c r="I16" s="7" t="s">
        <v>1246</v>
      </c>
      <c r="J16" s="8">
        <v>7.8037348376809996</v>
      </c>
      <c r="K16" s="8">
        <v>11.771885875134</v>
      </c>
      <c r="L16" s="8">
        <v>7.8564210109320003</v>
      </c>
      <c r="M16" s="8">
        <v>8.2611021506619995</v>
      </c>
      <c r="N16" s="8">
        <v>8.7899644771880006</v>
      </c>
      <c r="O16" s="35" t="s">
        <v>1224</v>
      </c>
    </row>
    <row r="17" spans="1:15" ht="15.75" x14ac:dyDescent="0.25">
      <c r="A17" s="7" t="s">
        <v>1443</v>
      </c>
      <c r="B17" s="8" t="s">
        <v>169</v>
      </c>
      <c r="C17" s="8">
        <v>2.4160948216440001</v>
      </c>
      <c r="D17" s="8">
        <v>2.4905948210819999</v>
      </c>
      <c r="E17" s="8">
        <v>2.2868509938020001</v>
      </c>
      <c r="F17" s="8">
        <v>3.0019638738259999</v>
      </c>
      <c r="G17" s="35" t="s">
        <v>226</v>
      </c>
      <c r="I17" s="7" t="s">
        <v>1446</v>
      </c>
      <c r="J17" s="8" t="s">
        <v>169</v>
      </c>
      <c r="K17" s="8">
        <v>2.4272454229110001</v>
      </c>
      <c r="L17" s="8">
        <v>2.545191795414</v>
      </c>
      <c r="M17" s="8">
        <v>2.3817381094650001</v>
      </c>
      <c r="N17" s="8">
        <v>3.033390421509</v>
      </c>
      <c r="O17" s="35" t="s">
        <v>1224</v>
      </c>
    </row>
    <row r="18" spans="1:15" ht="30.75" x14ac:dyDescent="0.25">
      <c r="A18" s="10" t="s">
        <v>1444</v>
      </c>
      <c r="B18" s="11">
        <v>7624</v>
      </c>
      <c r="C18" s="11">
        <v>8145</v>
      </c>
      <c r="D18" s="11">
        <v>8550</v>
      </c>
      <c r="E18" s="11">
        <v>8056</v>
      </c>
      <c r="F18" s="11">
        <v>7750</v>
      </c>
      <c r="G18" s="48"/>
      <c r="I18" s="10" t="s">
        <v>1447</v>
      </c>
      <c r="J18" s="11">
        <v>7215</v>
      </c>
      <c r="K18" s="11">
        <v>7509</v>
      </c>
      <c r="L18" s="11">
        <v>7935</v>
      </c>
      <c r="M18" s="11">
        <v>7517</v>
      </c>
      <c r="N18" s="11">
        <v>7180</v>
      </c>
      <c r="O18" s="48"/>
    </row>
  </sheetData>
  <hyperlinks>
    <hyperlink ref="A6" location="'Notes_D1 to D6'!A1" display="Link to notes page." xr:uid="{6485F8EF-43F0-4C66-A723-CCC47808FAEB}"/>
    <hyperlink ref="A4" location=" 'Table of contents'!A1" display="Link to Table of contents." xr:uid="{6174D3B3-2D76-4884-9A78-2C887B9A3109}"/>
  </hyperlinks>
  <pageMargins left="0.7" right="0.7" top="0.75" bottom="0.75" header="0.3" footer="0.3"/>
  <pageSetup paperSize="9" orientation="portrait" r:id="rId1"/>
  <tableParts count="2">
    <tablePart r:id="rId2"/>
    <tablePart r:id="rId3"/>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59E91-DDFC-4FFC-BE0F-66570B896EAC}">
  <dimension ref="A1:O10"/>
  <sheetViews>
    <sheetView showGridLines="0" workbookViewId="0"/>
  </sheetViews>
  <sheetFormatPr defaultRowHeight="15" customHeight="1" x14ac:dyDescent="0.25"/>
  <cols>
    <col min="1" max="1" width="58.85546875" customWidth="1"/>
    <col min="2" max="13" width="13.5703125" customWidth="1"/>
    <col min="14" max="14" width="19.7109375" customWidth="1"/>
    <col min="15" max="15" width="18" customWidth="1"/>
  </cols>
  <sheetData>
    <row r="1" spans="1:15" ht="19.5" customHeight="1" x14ac:dyDescent="0.25">
      <c r="A1" s="873" t="s">
        <v>1247</v>
      </c>
      <c r="B1" s="126"/>
      <c r="C1" s="126"/>
      <c r="D1" s="124"/>
      <c r="E1" s="124"/>
      <c r="F1" s="124"/>
      <c r="G1" s="124"/>
      <c r="H1" s="124"/>
      <c r="I1" s="124"/>
      <c r="J1" s="124"/>
      <c r="K1" s="124"/>
      <c r="L1" s="124"/>
      <c r="M1" s="124"/>
      <c r="N1" s="124"/>
      <c r="O1" s="124"/>
    </row>
    <row r="2" spans="1:15" ht="16.5" customHeight="1" x14ac:dyDescent="0.25">
      <c r="A2" s="83" t="s">
        <v>1248</v>
      </c>
      <c r="B2" s="126"/>
      <c r="C2" s="126"/>
      <c r="D2" s="124"/>
      <c r="E2" s="124"/>
      <c r="F2" s="124"/>
      <c r="G2" s="124"/>
      <c r="H2" s="124"/>
      <c r="I2" s="124"/>
      <c r="J2" s="124"/>
      <c r="K2" s="124"/>
      <c r="L2" s="124"/>
      <c r="M2" s="124"/>
      <c r="N2" s="124"/>
      <c r="O2" s="124"/>
    </row>
    <row r="3" spans="1:15" ht="18.75" customHeight="1" x14ac:dyDescent="0.25">
      <c r="A3" s="84" t="s">
        <v>1249</v>
      </c>
      <c r="B3" s="127"/>
      <c r="C3" s="127"/>
      <c r="D3" s="127"/>
      <c r="E3" s="127"/>
      <c r="F3" s="127"/>
      <c r="G3" s="127"/>
      <c r="H3" s="127"/>
      <c r="I3" s="127"/>
      <c r="J3" s="127"/>
      <c r="K3" s="127"/>
      <c r="L3" s="127"/>
      <c r="M3" s="127"/>
      <c r="N3" s="127"/>
      <c r="O3" s="127"/>
    </row>
    <row r="4" spans="1:15" ht="18.75" customHeight="1" x14ac:dyDescent="0.25">
      <c r="A4" s="85" t="s">
        <v>368</v>
      </c>
      <c r="B4" s="127"/>
      <c r="C4" s="127"/>
      <c r="D4" s="127"/>
      <c r="E4" s="127"/>
      <c r="F4" s="127"/>
      <c r="G4" s="127"/>
      <c r="H4" s="127"/>
      <c r="I4" s="127"/>
      <c r="J4" s="127"/>
      <c r="K4" s="127"/>
      <c r="L4" s="127"/>
      <c r="M4" s="127"/>
      <c r="N4" s="127"/>
      <c r="O4" s="127"/>
    </row>
    <row r="5" spans="1:15" ht="18.75" customHeight="1" x14ac:dyDescent="0.25">
      <c r="A5" s="84" t="s">
        <v>369</v>
      </c>
      <c r="B5" s="127"/>
      <c r="C5" s="127"/>
      <c r="D5" s="127"/>
      <c r="E5" s="127"/>
      <c r="F5" s="127"/>
      <c r="G5" s="127"/>
      <c r="H5" s="127"/>
      <c r="I5" s="127"/>
      <c r="J5" s="127"/>
      <c r="K5" s="127"/>
      <c r="L5" s="127"/>
      <c r="M5" s="127"/>
      <c r="N5" s="127"/>
      <c r="O5" s="127"/>
    </row>
    <row r="6" spans="1:15" ht="18.75" customHeight="1" x14ac:dyDescent="0.25">
      <c r="A6" s="85" t="s">
        <v>899</v>
      </c>
      <c r="B6" s="127"/>
      <c r="C6" s="127"/>
      <c r="D6" s="127"/>
      <c r="E6" s="127"/>
      <c r="F6" s="127"/>
      <c r="G6" s="127"/>
      <c r="H6" s="127"/>
      <c r="I6" s="127"/>
      <c r="J6" s="127"/>
      <c r="K6" s="127"/>
      <c r="L6" s="127"/>
      <c r="M6" s="127"/>
      <c r="N6" s="127"/>
      <c r="O6" s="127"/>
    </row>
    <row r="7" spans="1:15" ht="18.75" customHeight="1" x14ac:dyDescent="0.25">
      <c r="A7" s="84" t="s">
        <v>1250</v>
      </c>
      <c r="B7" s="127"/>
      <c r="C7" s="127"/>
      <c r="D7" s="127"/>
      <c r="E7" s="127"/>
      <c r="F7" s="127"/>
      <c r="G7" s="127"/>
      <c r="H7" s="127"/>
      <c r="I7" s="127"/>
      <c r="J7" s="127"/>
      <c r="K7" s="127"/>
      <c r="L7" s="127"/>
      <c r="M7" s="127"/>
      <c r="N7" s="127"/>
      <c r="O7" s="127"/>
    </row>
    <row r="8" spans="1:15" ht="87.75" customHeight="1" x14ac:dyDescent="0.25">
      <c r="A8" s="86" t="s">
        <v>1251</v>
      </c>
      <c r="B8" s="87" t="s">
        <v>1252</v>
      </c>
      <c r="C8" s="87" t="s">
        <v>1253</v>
      </c>
      <c r="D8" s="87" t="s">
        <v>1254</v>
      </c>
      <c r="E8" s="87" t="s">
        <v>1255</v>
      </c>
      <c r="F8" s="87" t="s">
        <v>1256</v>
      </c>
      <c r="G8" s="87" t="s">
        <v>1257</v>
      </c>
      <c r="H8" s="87" t="s">
        <v>1258</v>
      </c>
      <c r="I8" s="87" t="s">
        <v>1259</v>
      </c>
      <c r="J8" s="88" t="s">
        <v>1506</v>
      </c>
      <c r="K8" s="88" t="s">
        <v>1507</v>
      </c>
      <c r="L8" s="88" t="s">
        <v>913</v>
      </c>
      <c r="M8" s="88" t="s">
        <v>914</v>
      </c>
      <c r="N8" s="88" t="s">
        <v>1508</v>
      </c>
      <c r="O8" s="88" t="s">
        <v>1509</v>
      </c>
    </row>
    <row r="9" spans="1:15" ht="20.25" customHeight="1" x14ac:dyDescent="0.25">
      <c r="A9" s="89" t="s">
        <v>1260</v>
      </c>
      <c r="B9" s="745">
        <v>20.906219505368487</v>
      </c>
      <c r="C9" s="745">
        <v>19.323554471536269</v>
      </c>
      <c r="D9" s="745">
        <v>19.707432168160917</v>
      </c>
      <c r="E9" s="745">
        <v>17.924203481763016</v>
      </c>
      <c r="F9" s="745">
        <v>18.434778167476221</v>
      </c>
      <c r="G9" s="745">
        <v>21.658256113264262</v>
      </c>
      <c r="H9" s="745">
        <v>21.824999812884446</v>
      </c>
      <c r="I9" s="745">
        <v>23.3951105462797</v>
      </c>
      <c r="J9" s="745">
        <v>25.116974326847373</v>
      </c>
      <c r="K9" s="745">
        <v>23.5566276563037</v>
      </c>
      <c r="L9" s="745">
        <v>25.070780457619946</v>
      </c>
      <c r="M9" s="745">
        <v>23.851721403965183</v>
      </c>
      <c r="N9" s="709" t="s">
        <v>226</v>
      </c>
      <c r="O9" s="709" t="s">
        <v>1224</v>
      </c>
    </row>
    <row r="10" spans="1:15" ht="20.25" customHeight="1" x14ac:dyDescent="0.25">
      <c r="A10" s="90" t="s">
        <v>146</v>
      </c>
      <c r="B10" s="746">
        <v>8743</v>
      </c>
      <c r="C10" s="746">
        <v>9128</v>
      </c>
      <c r="D10" s="746">
        <v>8573</v>
      </c>
      <c r="E10" s="746">
        <v>8996</v>
      </c>
      <c r="F10" s="746">
        <v>9033</v>
      </c>
      <c r="G10" s="746">
        <v>8921</v>
      </c>
      <c r="H10" s="746">
        <v>8811</v>
      </c>
      <c r="I10" s="746">
        <v>8789</v>
      </c>
      <c r="J10" s="746">
        <v>8018</v>
      </c>
      <c r="K10" s="746">
        <v>7903</v>
      </c>
      <c r="L10" s="746">
        <v>8284</v>
      </c>
      <c r="M10" s="746">
        <v>7912</v>
      </c>
      <c r="N10" s="746"/>
      <c r="O10" s="746"/>
    </row>
  </sheetData>
  <hyperlinks>
    <hyperlink ref="A4" location="'Table of Contents'!A1" display="Link to table of contents" xr:uid="{53FE814E-6E45-4139-9E3B-C2FF2BD7BD89}"/>
    <hyperlink ref="A6" location="'Notes_D1 to D6'!A1" display="Link to Notes" xr:uid="{27568317-9AD0-451C-801B-9995426C186B}"/>
  </hyperlinks>
  <pageMargins left="0.7" right="0.7" top="0.75" bottom="0.75" header="0.3" footer="0.3"/>
  <pageSetup paperSize="9" orientation="portrait" r:id="rId1"/>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60225-D65A-4859-A5BE-7A5A914CD215}">
  <dimension ref="A1:T29"/>
  <sheetViews>
    <sheetView showGridLines="0" workbookViewId="0"/>
  </sheetViews>
  <sheetFormatPr defaultColWidth="10.5703125" defaultRowHeight="15" customHeight="1" x14ac:dyDescent="0.25"/>
  <cols>
    <col min="1" max="1" width="59.7109375" customWidth="1"/>
    <col min="2" max="16" width="14.7109375" customWidth="1"/>
    <col min="17" max="18" width="15.5703125" customWidth="1"/>
    <col min="19" max="19" width="16" customWidth="1"/>
    <col min="20" max="20" width="25.140625" customWidth="1"/>
  </cols>
  <sheetData>
    <row r="1" spans="1:20" ht="16.5" x14ac:dyDescent="0.25">
      <c r="A1" s="872" t="s">
        <v>1510</v>
      </c>
      <c r="B1" s="747"/>
      <c r="C1" s="747"/>
      <c r="D1" s="747"/>
      <c r="E1" s="747"/>
      <c r="F1" s="747"/>
      <c r="G1" s="747"/>
      <c r="H1" s="747"/>
      <c r="I1" s="747"/>
      <c r="J1" s="747"/>
      <c r="K1" s="747"/>
      <c r="L1" s="747"/>
      <c r="M1" s="747"/>
      <c r="N1" s="747"/>
      <c r="O1" s="747"/>
      <c r="P1" s="747"/>
      <c r="Q1" s="747"/>
      <c r="R1" s="747"/>
      <c r="S1" s="365"/>
      <c r="T1" s="365"/>
    </row>
    <row r="2" spans="1:20" ht="16.5" x14ac:dyDescent="0.25">
      <c r="A2" s="364" t="s">
        <v>1261</v>
      </c>
      <c r="B2" s="747"/>
      <c r="C2" s="747"/>
      <c r="D2" s="747"/>
      <c r="E2" s="747"/>
      <c r="F2" s="747"/>
      <c r="G2" s="747"/>
      <c r="H2" s="747"/>
      <c r="I2" s="747"/>
      <c r="J2" s="747"/>
      <c r="K2" s="747"/>
      <c r="L2" s="747"/>
      <c r="M2" s="747"/>
      <c r="N2" s="747"/>
      <c r="O2" s="747"/>
      <c r="P2" s="747"/>
      <c r="Q2" s="747"/>
      <c r="R2" s="747"/>
      <c r="S2" s="365"/>
      <c r="T2" s="365"/>
    </row>
    <row r="3" spans="1:20" ht="18" customHeight="1" x14ac:dyDescent="0.25">
      <c r="A3" s="737" t="s">
        <v>1164</v>
      </c>
      <c r="B3" s="747"/>
      <c r="C3" s="747"/>
      <c r="D3" s="747"/>
      <c r="E3" s="747"/>
      <c r="F3" s="747"/>
      <c r="G3" s="747"/>
      <c r="H3" s="747"/>
      <c r="I3" s="747"/>
      <c r="J3" s="747"/>
      <c r="K3" s="747"/>
      <c r="L3" s="747"/>
      <c r="M3" s="747"/>
      <c r="N3" s="747"/>
      <c r="O3" s="747"/>
      <c r="P3" s="747"/>
      <c r="Q3" s="747"/>
      <c r="R3" s="747"/>
      <c r="S3" s="365"/>
      <c r="T3" s="365"/>
    </row>
    <row r="4" spans="1:20" ht="15.75" x14ac:dyDescent="0.25">
      <c r="A4" s="180" t="s">
        <v>1263</v>
      </c>
      <c r="B4" s="748"/>
      <c r="C4" s="748"/>
      <c r="D4" s="748"/>
      <c r="E4" s="748"/>
      <c r="F4" s="748"/>
      <c r="G4" s="748"/>
      <c r="H4" s="748"/>
      <c r="I4" s="748"/>
      <c r="J4" s="748"/>
      <c r="K4" s="748"/>
      <c r="L4" s="748"/>
      <c r="M4" s="367"/>
      <c r="N4" s="367"/>
      <c r="O4" s="748"/>
      <c r="P4" s="748"/>
      <c r="Q4" s="748"/>
      <c r="R4" s="748"/>
      <c r="S4" s="365"/>
      <c r="T4" s="365"/>
    </row>
    <row r="5" spans="1:20" ht="21" customHeight="1" x14ac:dyDescent="0.25">
      <c r="A5" s="366" t="s">
        <v>369</v>
      </c>
      <c r="B5" s="747"/>
      <c r="C5" s="747"/>
      <c r="D5" s="747"/>
      <c r="E5" s="747"/>
      <c r="F5" s="747"/>
      <c r="G5" s="747"/>
      <c r="H5" s="747"/>
      <c r="I5" s="747"/>
      <c r="J5" s="747"/>
      <c r="K5" s="747"/>
      <c r="L5" s="747"/>
      <c r="M5" s="747"/>
      <c r="N5" s="747"/>
      <c r="O5" s="747"/>
      <c r="P5" s="747"/>
      <c r="Q5" s="747"/>
      <c r="R5" s="747"/>
      <c r="S5" s="365"/>
      <c r="T5" s="365"/>
    </row>
    <row r="6" spans="1:20" ht="15.75" x14ac:dyDescent="0.25">
      <c r="A6" s="180" t="s">
        <v>899</v>
      </c>
      <c r="B6" s="748"/>
      <c r="C6" s="748"/>
      <c r="D6" s="748"/>
      <c r="E6" s="748"/>
      <c r="F6" s="748"/>
      <c r="G6" s="748"/>
      <c r="H6" s="748"/>
      <c r="I6" s="748"/>
      <c r="J6" s="748"/>
      <c r="K6" s="748"/>
      <c r="L6" s="748"/>
      <c r="M6" s="367"/>
      <c r="N6" s="367"/>
      <c r="O6" s="748"/>
      <c r="P6" s="748"/>
      <c r="Q6" s="748"/>
      <c r="R6" s="748"/>
      <c r="S6" s="365"/>
      <c r="T6" s="365"/>
    </row>
    <row r="7" spans="1:20" ht="19.5" customHeight="1" x14ac:dyDescent="0.25">
      <c r="A7" s="737" t="s">
        <v>1262</v>
      </c>
      <c r="B7" s="747"/>
      <c r="C7" s="747"/>
      <c r="D7" s="747"/>
      <c r="E7" s="747"/>
      <c r="F7" s="747"/>
      <c r="G7" s="747"/>
      <c r="H7" s="747"/>
      <c r="I7" s="747"/>
      <c r="J7" s="747"/>
      <c r="K7" s="747"/>
      <c r="L7" s="747"/>
      <c r="M7" s="747"/>
      <c r="N7" s="747"/>
      <c r="O7" s="747"/>
      <c r="P7" s="747"/>
      <c r="Q7" s="747"/>
      <c r="R7" s="747"/>
      <c r="S7" s="365"/>
      <c r="T7" s="365"/>
    </row>
    <row r="8" spans="1:20" ht="20.25" customHeight="1" x14ac:dyDescent="0.25">
      <c r="A8" s="749" t="s">
        <v>1264</v>
      </c>
      <c r="B8" s="748"/>
      <c r="C8" s="748"/>
      <c r="D8" s="748"/>
      <c r="E8" s="748"/>
      <c r="F8" s="748"/>
      <c r="G8" s="748"/>
      <c r="H8" s="748"/>
      <c r="I8" s="748"/>
      <c r="J8" s="748"/>
      <c r="K8" s="748"/>
      <c r="L8" s="748"/>
      <c r="M8" s="367"/>
      <c r="N8" s="367"/>
      <c r="O8" s="748"/>
      <c r="P8" s="748"/>
      <c r="Q8" s="750"/>
      <c r="R8" s="750"/>
      <c r="S8" s="368"/>
      <c r="T8" s="365"/>
    </row>
    <row r="9" spans="1:20" ht="63" x14ac:dyDescent="0.25">
      <c r="A9" s="369" t="s">
        <v>1265</v>
      </c>
      <c r="B9" s="370" t="s">
        <v>1266</v>
      </c>
      <c r="C9" s="370" t="s">
        <v>1267</v>
      </c>
      <c r="D9" s="370" t="s">
        <v>1268</v>
      </c>
      <c r="E9" s="370" t="s">
        <v>925</v>
      </c>
      <c r="F9" s="371" t="s">
        <v>926</v>
      </c>
      <c r="G9" s="371" t="s">
        <v>927</v>
      </c>
      <c r="H9" s="174" t="s">
        <v>928</v>
      </c>
      <c r="I9" s="174" t="s">
        <v>859</v>
      </c>
      <c r="J9" s="174" t="s">
        <v>882</v>
      </c>
      <c r="K9" s="174" t="s">
        <v>883</v>
      </c>
      <c r="L9" s="174" t="s">
        <v>884</v>
      </c>
      <c r="M9" s="174" t="s">
        <v>766</v>
      </c>
      <c r="N9" s="174" t="s">
        <v>903</v>
      </c>
      <c r="O9" s="174" t="s">
        <v>904</v>
      </c>
      <c r="P9" s="174" t="s">
        <v>905</v>
      </c>
      <c r="Q9" s="174" t="s">
        <v>1269</v>
      </c>
      <c r="R9" s="174" t="s">
        <v>861</v>
      </c>
      <c r="S9" s="174" t="s">
        <v>862</v>
      </c>
      <c r="T9" s="174" t="s">
        <v>890</v>
      </c>
    </row>
    <row r="10" spans="1:20" ht="15.75" x14ac:dyDescent="0.25">
      <c r="A10" s="751" t="s">
        <v>1270</v>
      </c>
      <c r="B10" s="372">
        <v>4952277</v>
      </c>
      <c r="C10" s="372">
        <v>4702697</v>
      </c>
      <c r="D10" s="372">
        <v>4338295</v>
      </c>
      <c r="E10" s="372">
        <v>4150916</v>
      </c>
      <c r="F10" s="752">
        <v>4379984</v>
      </c>
      <c r="G10" s="752">
        <v>4063571</v>
      </c>
      <c r="H10" s="752">
        <v>4028463</v>
      </c>
      <c r="I10" s="752">
        <v>4167619</v>
      </c>
      <c r="J10" s="752">
        <v>4517823</v>
      </c>
      <c r="K10" s="752">
        <v>4974078</v>
      </c>
      <c r="L10" s="753">
        <v>5528775</v>
      </c>
      <c r="M10" s="754">
        <v>5959575</v>
      </c>
      <c r="N10" s="373">
        <v>6079645</v>
      </c>
      <c r="O10" s="373">
        <v>5433550</v>
      </c>
      <c r="P10" s="752">
        <v>6341537</v>
      </c>
      <c r="Q10" s="755">
        <v>6737214</v>
      </c>
      <c r="R10" s="755">
        <v>6662811</v>
      </c>
      <c r="S10" s="374">
        <v>6591958</v>
      </c>
      <c r="T10" s="375">
        <f>Tablef20[[#This Row],[Jul 2024 to
 Jun 2025]]/Tablef20[[#This Row],[Jul 2023 to
 Jun 2024]]-1</f>
        <v>-1.0634100231869059E-2</v>
      </c>
    </row>
    <row r="11" spans="1:20" ht="15.75" x14ac:dyDescent="0.25">
      <c r="A11" s="751" t="s">
        <v>1271</v>
      </c>
      <c r="B11" s="376">
        <v>3873916</v>
      </c>
      <c r="C11" s="376">
        <v>3673523</v>
      </c>
      <c r="D11" s="376">
        <v>3532250</v>
      </c>
      <c r="E11" s="377">
        <v>3217817</v>
      </c>
      <c r="F11" s="376">
        <v>2722663</v>
      </c>
      <c r="G11" s="376">
        <v>2258805</v>
      </c>
      <c r="H11" s="376">
        <v>2065877</v>
      </c>
      <c r="I11" s="376">
        <v>1941885</v>
      </c>
      <c r="J11" s="376">
        <v>1796936</v>
      </c>
      <c r="K11" s="376">
        <v>1793428</v>
      </c>
      <c r="L11" s="376">
        <v>1634408</v>
      </c>
      <c r="M11" s="376">
        <v>1422695</v>
      </c>
      <c r="N11" s="376">
        <v>1349011</v>
      </c>
      <c r="O11" s="376">
        <v>2026298</v>
      </c>
      <c r="P11" s="376">
        <v>1268312</v>
      </c>
      <c r="Q11" s="376">
        <v>1007473</v>
      </c>
      <c r="R11" s="376">
        <v>1007046</v>
      </c>
      <c r="S11" s="376">
        <v>999087</v>
      </c>
      <c r="T11" s="375">
        <f>Tablef20[[#This Row],[Jul 2024 to
 Jun 2025]]/Tablef20[[#This Row],[Jul 2023 to
 Jun 2024]]-1</f>
        <v>-7.9033132548066432E-3</v>
      </c>
    </row>
    <row r="12" spans="1:20" ht="15.75" x14ac:dyDescent="0.25">
      <c r="A12" s="751" t="s">
        <v>1272</v>
      </c>
      <c r="B12" s="756" t="s">
        <v>169</v>
      </c>
      <c r="C12" s="756" t="s">
        <v>169</v>
      </c>
      <c r="D12" s="756" t="s">
        <v>169</v>
      </c>
      <c r="E12" s="757" t="s">
        <v>169</v>
      </c>
      <c r="F12" s="378" t="s">
        <v>169</v>
      </c>
      <c r="G12" s="378">
        <v>2292726</v>
      </c>
      <c r="H12" s="378">
        <v>2103528</v>
      </c>
      <c r="I12" s="378">
        <v>1980933</v>
      </c>
      <c r="J12" s="376">
        <v>1840592</v>
      </c>
      <c r="K12" s="376">
        <v>1823352</v>
      </c>
      <c r="L12" s="376">
        <v>1663315</v>
      </c>
      <c r="M12" s="376">
        <v>1454103</v>
      </c>
      <c r="N12" s="376">
        <v>1382691</v>
      </c>
      <c r="O12" s="376">
        <v>2051984</v>
      </c>
      <c r="P12" s="376">
        <v>1295735</v>
      </c>
      <c r="Q12" s="376">
        <v>1034864</v>
      </c>
      <c r="R12" s="376">
        <v>1037062</v>
      </c>
      <c r="S12" s="376">
        <v>1038332</v>
      </c>
      <c r="T12" s="375">
        <f>Tablef20[[#This Row],[Jul 2024 to
 Jun 2025]]/Tablef20[[#This Row],[Jul 2023 to
 Jun 2024]]-1</f>
        <v>1.2246133789493019E-3</v>
      </c>
    </row>
    <row r="13" spans="1:20" ht="15.75" x14ac:dyDescent="0.25">
      <c r="A13" s="747"/>
      <c r="B13" s="747"/>
      <c r="C13" s="747"/>
      <c r="D13" s="747"/>
      <c r="E13" s="747"/>
      <c r="F13" s="747"/>
      <c r="G13" s="747"/>
      <c r="H13" s="747"/>
      <c r="I13" s="747"/>
      <c r="J13" s="747"/>
      <c r="K13" s="747"/>
      <c r="L13" s="747"/>
      <c r="M13" s="747"/>
      <c r="N13" s="747"/>
      <c r="O13" s="747"/>
      <c r="P13" s="747"/>
      <c r="Q13" s="747"/>
      <c r="R13" s="747"/>
      <c r="S13" s="365"/>
      <c r="T13" s="365"/>
    </row>
    <row r="14" spans="1:20" ht="15.75" x14ac:dyDescent="0.25">
      <c r="A14" s="747"/>
      <c r="B14" s="747"/>
      <c r="C14" s="747"/>
      <c r="D14" s="747"/>
      <c r="E14" s="747"/>
      <c r="F14" s="747"/>
      <c r="G14" s="747"/>
      <c r="H14" s="747"/>
      <c r="I14" s="747"/>
      <c r="J14" s="747"/>
      <c r="K14" s="747"/>
      <c r="L14" s="747"/>
      <c r="M14" s="747"/>
      <c r="N14" s="747"/>
      <c r="O14" s="747"/>
      <c r="P14" s="747"/>
      <c r="Q14" s="747"/>
      <c r="R14" s="747"/>
      <c r="S14" s="365"/>
      <c r="T14" s="365"/>
    </row>
    <row r="15" spans="1:20" ht="15.75" x14ac:dyDescent="0.25">
      <c r="A15" s="747"/>
      <c r="B15" s="747"/>
      <c r="C15" s="747"/>
      <c r="D15" s="747"/>
      <c r="E15" s="747"/>
      <c r="F15" s="747"/>
      <c r="G15" s="747"/>
      <c r="H15" s="747"/>
      <c r="I15" s="747"/>
      <c r="J15" s="747"/>
      <c r="K15" s="747"/>
      <c r="L15" s="747"/>
      <c r="M15" s="747"/>
      <c r="N15" s="747"/>
      <c r="O15" s="747"/>
      <c r="P15" s="747"/>
      <c r="Q15" s="747"/>
      <c r="R15" s="747"/>
      <c r="S15" s="365"/>
      <c r="T15" s="365"/>
    </row>
    <row r="16" spans="1:20" ht="15.75" x14ac:dyDescent="0.25">
      <c r="A16" s="747"/>
      <c r="B16" s="747"/>
      <c r="C16" s="747"/>
      <c r="D16" s="747"/>
      <c r="E16" s="747"/>
      <c r="F16" s="747"/>
      <c r="G16" s="747"/>
      <c r="H16" s="747"/>
      <c r="I16" s="747"/>
      <c r="J16" s="747"/>
      <c r="K16" s="747"/>
      <c r="L16" s="747"/>
      <c r="M16" s="747"/>
      <c r="N16" s="747"/>
      <c r="O16" s="747"/>
      <c r="P16" s="747"/>
      <c r="Q16" s="747"/>
      <c r="R16" s="747"/>
      <c r="S16" s="365"/>
      <c r="T16" s="365"/>
    </row>
    <row r="17" spans="1:20" ht="15.75" x14ac:dyDescent="0.25">
      <c r="A17" s="747"/>
      <c r="B17" s="747"/>
      <c r="C17" s="747"/>
      <c r="D17" s="747"/>
      <c r="E17" s="747"/>
      <c r="F17" s="747"/>
      <c r="G17" s="747"/>
      <c r="H17" s="747"/>
      <c r="I17" s="747"/>
      <c r="J17" s="747"/>
      <c r="K17" s="747"/>
      <c r="L17" s="747"/>
      <c r="M17" s="747"/>
      <c r="N17" s="758"/>
      <c r="O17" s="758"/>
      <c r="P17" s="758"/>
      <c r="Q17" s="747"/>
      <c r="R17" s="747"/>
      <c r="S17" s="365"/>
      <c r="T17" s="365"/>
    </row>
    <row r="18" spans="1:20" ht="15.75" x14ac:dyDescent="0.25">
      <c r="A18" s="747"/>
      <c r="B18" s="747"/>
      <c r="C18" s="747"/>
      <c r="D18" s="747"/>
      <c r="E18" s="747"/>
      <c r="F18" s="747"/>
      <c r="G18" s="747"/>
      <c r="H18" s="747"/>
      <c r="I18" s="747"/>
      <c r="J18" s="747"/>
      <c r="K18" s="747"/>
      <c r="L18" s="747"/>
      <c r="M18" s="747"/>
      <c r="N18" s="747"/>
      <c r="O18" s="747"/>
      <c r="P18" s="747"/>
      <c r="Q18" s="747"/>
      <c r="R18" s="747"/>
      <c r="S18" s="365"/>
      <c r="T18" s="365"/>
    </row>
    <row r="19" spans="1:20" ht="15.75" x14ac:dyDescent="0.25">
      <c r="A19" s="747"/>
      <c r="B19" s="747"/>
      <c r="C19" s="747"/>
      <c r="D19" s="747"/>
      <c r="E19" s="747"/>
      <c r="F19" s="747"/>
      <c r="G19" s="747"/>
      <c r="H19" s="747"/>
      <c r="I19" s="747"/>
      <c r="J19" s="747"/>
      <c r="K19" s="747"/>
      <c r="L19" s="747"/>
      <c r="M19" s="747"/>
      <c r="N19" s="747"/>
      <c r="O19" s="747"/>
      <c r="P19" s="747"/>
      <c r="Q19" s="747"/>
      <c r="R19" s="747"/>
      <c r="S19" s="365"/>
      <c r="T19" s="365"/>
    </row>
    <row r="20" spans="1:20" ht="15.75" x14ac:dyDescent="0.25">
      <c r="A20" s="747"/>
      <c r="B20" s="747"/>
      <c r="C20" s="747"/>
      <c r="D20" s="747"/>
      <c r="E20" s="747"/>
      <c r="F20" s="747"/>
      <c r="G20" s="747"/>
      <c r="H20" s="747"/>
      <c r="I20" s="747"/>
      <c r="J20" s="747"/>
      <c r="K20" s="747"/>
      <c r="L20" s="747"/>
      <c r="M20" s="747"/>
      <c r="N20" s="747"/>
      <c r="O20" s="747"/>
      <c r="P20" s="747"/>
      <c r="Q20" s="747"/>
      <c r="R20" s="747"/>
      <c r="S20" s="365"/>
      <c r="T20" s="365"/>
    </row>
    <row r="21" spans="1:20" ht="15.75" x14ac:dyDescent="0.25">
      <c r="A21" s="747"/>
      <c r="B21" s="747"/>
      <c r="C21" s="747"/>
      <c r="D21" s="747"/>
      <c r="E21" s="747"/>
      <c r="F21" s="747"/>
      <c r="G21" s="747"/>
      <c r="H21" s="747"/>
      <c r="I21" s="747"/>
      <c r="J21" s="747"/>
      <c r="K21" s="747"/>
      <c r="L21" s="747"/>
      <c r="M21" s="747"/>
      <c r="N21" s="747"/>
      <c r="O21" s="747"/>
      <c r="P21" s="747"/>
      <c r="Q21" s="747"/>
      <c r="R21" s="747"/>
      <c r="S21" s="365"/>
      <c r="T21" s="365"/>
    </row>
    <row r="22" spans="1:20" ht="15.75" x14ac:dyDescent="0.25">
      <c r="A22" s="747"/>
      <c r="B22" s="747"/>
      <c r="C22" s="747"/>
      <c r="D22" s="747"/>
      <c r="E22" s="747"/>
      <c r="F22" s="747"/>
      <c r="G22" s="747"/>
      <c r="H22" s="747"/>
      <c r="I22" s="747"/>
      <c r="J22" s="747"/>
      <c r="K22" s="747"/>
      <c r="L22" s="747"/>
      <c r="M22" s="747"/>
      <c r="N22" s="747"/>
      <c r="O22" s="747"/>
      <c r="P22" s="747"/>
      <c r="Q22" s="747"/>
      <c r="R22" s="747"/>
      <c r="S22" s="365"/>
      <c r="T22" s="365"/>
    </row>
    <row r="23" spans="1:20" ht="15.75" x14ac:dyDescent="0.25">
      <c r="A23" s="747"/>
      <c r="B23" s="747"/>
      <c r="C23" s="747"/>
      <c r="D23" s="747"/>
      <c r="E23" s="747"/>
      <c r="F23" s="747"/>
      <c r="G23" s="747"/>
      <c r="H23" s="747"/>
      <c r="I23" s="747"/>
      <c r="J23" s="747"/>
      <c r="K23" s="747"/>
      <c r="L23" s="747"/>
      <c r="M23" s="747"/>
      <c r="N23" s="747"/>
      <c r="O23" s="747"/>
      <c r="P23" s="747"/>
      <c r="Q23" s="747"/>
      <c r="R23" s="747"/>
      <c r="S23" s="365"/>
      <c r="T23" s="365"/>
    </row>
    <row r="24" spans="1:20" ht="15.75" x14ac:dyDescent="0.25">
      <c r="A24" s="747"/>
      <c r="B24" s="747"/>
      <c r="C24" s="747"/>
      <c r="D24" s="747"/>
      <c r="E24" s="747"/>
      <c r="F24" s="747"/>
      <c r="G24" s="747"/>
      <c r="H24" s="747"/>
      <c r="I24" s="747"/>
      <c r="J24" s="747"/>
      <c r="K24" s="747"/>
      <c r="L24" s="747"/>
      <c r="M24" s="747"/>
      <c r="N24" s="747"/>
      <c r="O24" s="747"/>
      <c r="P24" s="747"/>
      <c r="Q24" s="747"/>
      <c r="R24" s="747"/>
      <c r="S24" s="365"/>
      <c r="T24" s="365"/>
    </row>
    <row r="25" spans="1:20" ht="15.75" x14ac:dyDescent="0.25">
      <c r="A25" s="747"/>
      <c r="B25" s="747"/>
      <c r="C25" s="747"/>
      <c r="D25" s="747"/>
      <c r="E25" s="747"/>
      <c r="F25" s="747"/>
      <c r="G25" s="747"/>
      <c r="H25" s="747"/>
      <c r="I25" s="747"/>
      <c r="J25" s="747"/>
      <c r="K25" s="747"/>
      <c r="L25" s="747"/>
      <c r="M25" s="747"/>
      <c r="N25" s="747"/>
      <c r="O25" s="747"/>
      <c r="P25" s="747"/>
      <c r="Q25" s="747"/>
      <c r="R25" s="747"/>
      <c r="S25" s="365"/>
      <c r="T25" s="365"/>
    </row>
    <row r="26" spans="1:20" ht="15.75" x14ac:dyDescent="0.25">
      <c r="A26" s="747"/>
      <c r="B26" s="747"/>
      <c r="C26" s="747"/>
      <c r="D26" s="747"/>
      <c r="E26" s="747"/>
      <c r="F26" s="747"/>
      <c r="G26" s="747"/>
      <c r="H26" s="747"/>
      <c r="I26" s="747"/>
      <c r="J26" s="747"/>
      <c r="K26" s="747"/>
      <c r="L26" s="747"/>
      <c r="M26" s="747"/>
      <c r="N26" s="747"/>
      <c r="O26" s="747"/>
      <c r="P26" s="747"/>
      <c r="Q26" s="747"/>
      <c r="R26" s="747"/>
      <c r="S26" s="365"/>
      <c r="T26" s="365"/>
    </row>
    <row r="27" spans="1:20" ht="15.75" x14ac:dyDescent="0.25">
      <c r="A27" s="747"/>
      <c r="B27" s="747"/>
      <c r="C27" s="747"/>
      <c r="D27" s="747"/>
      <c r="E27" s="747"/>
      <c r="F27" s="747"/>
      <c r="G27" s="747"/>
      <c r="H27" s="747"/>
      <c r="I27" s="747"/>
      <c r="J27" s="747"/>
      <c r="K27" s="747"/>
      <c r="L27" s="747"/>
      <c r="M27" s="747"/>
      <c r="N27" s="747"/>
      <c r="O27" s="747"/>
      <c r="P27" s="747"/>
      <c r="Q27" s="747"/>
      <c r="R27" s="747"/>
      <c r="S27" s="365"/>
      <c r="T27" s="365"/>
    </row>
    <row r="28" spans="1:20" ht="15.75" x14ac:dyDescent="0.25">
      <c r="A28" s="379"/>
      <c r="B28" s="379"/>
      <c r="C28" s="379"/>
      <c r="D28" s="379"/>
      <c r="E28" s="379"/>
      <c r="F28" s="379"/>
      <c r="G28" s="379"/>
      <c r="H28" s="379"/>
      <c r="I28" s="379"/>
      <c r="J28" s="379"/>
      <c r="K28" s="379"/>
      <c r="L28" s="379"/>
      <c r="M28" s="379"/>
      <c r="N28" s="379"/>
      <c r="O28" s="379"/>
      <c r="P28" s="379"/>
      <c r="Q28" s="747"/>
      <c r="R28" s="747"/>
      <c r="S28" s="365"/>
      <c r="T28" s="365"/>
    </row>
    <row r="29" spans="1:20" ht="15.75" x14ac:dyDescent="0.25">
      <c r="A29" s="182"/>
      <c r="B29" s="182"/>
      <c r="C29" s="182"/>
      <c r="D29" s="182"/>
      <c r="E29" s="182"/>
      <c r="F29" s="182"/>
      <c r="G29" s="182"/>
      <c r="H29" s="182"/>
      <c r="I29" s="182"/>
      <c r="J29" s="182"/>
      <c r="K29" s="182"/>
      <c r="L29" s="182"/>
      <c r="M29" s="182"/>
      <c r="N29" s="182"/>
      <c r="O29" s="182"/>
      <c r="P29" s="182"/>
      <c r="Q29" s="747"/>
      <c r="R29" s="747"/>
      <c r="S29" s="365"/>
      <c r="T29" s="365"/>
    </row>
  </sheetData>
  <hyperlinks>
    <hyperlink ref="A6" location="'Notes_D1 to D6'!A1" display="Link to Notes" xr:uid="{86B60C74-BFB9-457E-8EE2-5BDD120AE45F}"/>
    <hyperlink ref="A4" location="'Table of contents'!A1" display="Link to content page" xr:uid="{7EAABC81-3D76-4B67-9B54-897432812E1B}"/>
  </hyperlinks>
  <pageMargins left="0.7" right="0.7" top="0.75" bottom="0.75" header="0.3" footer="0.3"/>
  <pageSetup paperSize="9" orientation="portrait" r:id="rId1"/>
  <drawing r:id="rId2"/>
  <tableParts count="1">
    <tablePart r:id="rId3"/>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70F44-085E-40CB-848B-6D996DAE50A9}">
  <dimension ref="A1:K18"/>
  <sheetViews>
    <sheetView showGridLines="0" workbookViewId="0"/>
  </sheetViews>
  <sheetFormatPr defaultColWidth="10.85546875" defaultRowHeight="15" customHeight="1" x14ac:dyDescent="0.25"/>
  <cols>
    <col min="1" max="1" width="15.85546875" customWidth="1"/>
    <col min="2" max="2" width="34.85546875" customWidth="1"/>
  </cols>
  <sheetData>
    <row r="1" spans="1:11" ht="22.5" customHeight="1" x14ac:dyDescent="0.25">
      <c r="A1" s="871" t="s">
        <v>1273</v>
      </c>
      <c r="B1" s="181"/>
      <c r="C1" s="747"/>
      <c r="D1" s="747"/>
      <c r="E1" s="747"/>
      <c r="F1" s="747"/>
      <c r="G1" s="747"/>
      <c r="H1" s="747"/>
      <c r="I1" s="747"/>
      <c r="J1" s="747"/>
      <c r="K1" s="747"/>
    </row>
    <row r="2" spans="1:11" ht="22.5" customHeight="1" x14ac:dyDescent="0.25">
      <c r="A2" s="180" t="s">
        <v>1263</v>
      </c>
      <c r="B2" s="747"/>
      <c r="C2" s="747"/>
      <c r="D2" s="747"/>
      <c r="E2" s="747"/>
      <c r="F2" s="747"/>
      <c r="G2" s="747"/>
      <c r="H2" s="747"/>
      <c r="I2" s="747"/>
      <c r="J2" s="747"/>
      <c r="K2" s="747"/>
    </row>
    <row r="3" spans="1:11" ht="22.5" customHeight="1" x14ac:dyDescent="0.25">
      <c r="A3" s="183" t="s">
        <v>369</v>
      </c>
      <c r="B3" s="747"/>
      <c r="C3" s="747"/>
      <c r="D3" s="747"/>
      <c r="E3" s="747"/>
      <c r="F3" s="747"/>
      <c r="G3" s="747"/>
      <c r="H3" s="747"/>
      <c r="I3" s="747"/>
      <c r="J3" s="747"/>
      <c r="K3" s="747"/>
    </row>
    <row r="4" spans="1:11" ht="22.5" customHeight="1" x14ac:dyDescent="0.25">
      <c r="A4" s="180" t="s">
        <v>1449</v>
      </c>
      <c r="B4" s="747"/>
      <c r="C4" s="747"/>
      <c r="D4" s="747"/>
      <c r="E4" s="747"/>
      <c r="F4" s="747"/>
      <c r="G4" s="747"/>
      <c r="H4" s="747"/>
      <c r="I4" s="747"/>
      <c r="J4" s="747"/>
      <c r="K4" s="747"/>
    </row>
    <row r="5" spans="1:11" ht="22.5" customHeight="1" x14ac:dyDescent="0.25">
      <c r="A5" s="182" t="s">
        <v>1274</v>
      </c>
      <c r="B5" s="747"/>
      <c r="C5" s="747"/>
      <c r="D5" s="747"/>
      <c r="E5" s="747"/>
      <c r="F5" s="747"/>
      <c r="G5" s="747"/>
      <c r="H5" s="747"/>
      <c r="I5" s="747"/>
      <c r="J5" s="747"/>
      <c r="K5" s="747"/>
    </row>
    <row r="6" spans="1:11" ht="22.5" customHeight="1" x14ac:dyDescent="0.25">
      <c r="A6" s="134" t="s">
        <v>1275</v>
      </c>
      <c r="B6" s="747"/>
      <c r="C6" s="747"/>
      <c r="D6" s="747"/>
      <c r="E6" s="747"/>
      <c r="F6" s="747"/>
      <c r="G6" s="747"/>
      <c r="H6" s="747"/>
      <c r="I6" s="747"/>
      <c r="J6" s="747"/>
      <c r="K6" s="747"/>
    </row>
    <row r="7" spans="1:11" ht="31.5" customHeight="1" x14ac:dyDescent="0.25">
      <c r="A7" s="193" t="s">
        <v>1276</v>
      </c>
      <c r="B7" s="194" t="s">
        <v>1277</v>
      </c>
      <c r="C7" s="184"/>
      <c r="D7" s="184"/>
      <c r="E7" s="184"/>
      <c r="F7" s="184"/>
      <c r="G7" s="184"/>
      <c r="H7" s="184"/>
      <c r="I7" s="184"/>
      <c r="J7" s="184"/>
      <c r="K7" s="184"/>
    </row>
    <row r="8" spans="1:11" ht="15.75" x14ac:dyDescent="0.25">
      <c r="A8" s="186" t="s">
        <v>1278</v>
      </c>
      <c r="B8" s="187">
        <v>74.063979540000005</v>
      </c>
      <c r="C8" s="747"/>
      <c r="D8" s="747"/>
      <c r="E8" s="747"/>
      <c r="F8" s="747"/>
      <c r="G8" s="747"/>
      <c r="H8" s="747"/>
      <c r="I8" s="747"/>
      <c r="J8" s="747"/>
      <c r="K8" s="747"/>
    </row>
    <row r="9" spans="1:11" ht="15.75" x14ac:dyDescent="0.25">
      <c r="A9" s="188" t="s">
        <v>1279</v>
      </c>
      <c r="B9" s="187">
        <v>17.658899080000001</v>
      </c>
      <c r="C9" s="747"/>
      <c r="D9" s="747"/>
      <c r="E9" s="747"/>
      <c r="F9" s="747"/>
      <c r="G9" s="747"/>
      <c r="H9" s="747"/>
      <c r="I9" s="747"/>
      <c r="J9" s="747"/>
      <c r="K9" s="747"/>
    </row>
    <row r="10" spans="1:11" ht="15.75" x14ac:dyDescent="0.25">
      <c r="A10" s="189" t="s">
        <v>1280</v>
      </c>
      <c r="B10" s="190">
        <v>8.2771213830000008</v>
      </c>
      <c r="C10" s="747"/>
      <c r="D10" s="747"/>
      <c r="E10" s="747"/>
      <c r="F10" s="747"/>
      <c r="G10" s="747"/>
      <c r="H10" s="747"/>
      <c r="I10" s="747"/>
      <c r="J10" s="747"/>
      <c r="K10" s="747"/>
    </row>
    <row r="11" spans="1:11" ht="15.75" x14ac:dyDescent="0.25">
      <c r="A11" s="747"/>
      <c r="B11" s="191"/>
      <c r="C11" s="747"/>
      <c r="D11" s="747"/>
      <c r="E11" s="747"/>
      <c r="F11" s="747"/>
      <c r="G11" s="747"/>
      <c r="H11" s="747"/>
      <c r="I11" s="747"/>
      <c r="J11" s="747"/>
      <c r="K11" s="747"/>
    </row>
    <row r="12" spans="1:11" ht="15.75" x14ac:dyDescent="0.25">
      <c r="A12" s="192"/>
      <c r="B12" s="192"/>
      <c r="C12" s="747"/>
      <c r="D12" s="747"/>
      <c r="E12" s="747"/>
      <c r="F12" s="747"/>
      <c r="G12" s="747"/>
      <c r="H12" s="747"/>
      <c r="I12" s="747"/>
      <c r="J12" s="747"/>
      <c r="K12" s="747"/>
    </row>
    <row r="13" spans="1:11" ht="15.75" x14ac:dyDescent="0.25">
      <c r="A13" s="192"/>
      <c r="B13" s="192"/>
      <c r="C13" s="747"/>
      <c r="D13" s="747"/>
      <c r="E13" s="747"/>
      <c r="F13" s="747"/>
      <c r="G13" s="747"/>
      <c r="H13" s="747"/>
      <c r="I13" s="747"/>
      <c r="J13" s="747"/>
      <c r="K13" s="747"/>
    </row>
    <row r="14" spans="1:11" ht="15.75" x14ac:dyDescent="0.25">
      <c r="A14" s="192"/>
      <c r="B14" s="192"/>
      <c r="C14" s="747"/>
      <c r="D14" s="747"/>
      <c r="E14" s="747"/>
      <c r="F14" s="747"/>
      <c r="G14" s="747"/>
      <c r="H14" s="747"/>
      <c r="I14" s="747"/>
      <c r="J14" s="747"/>
      <c r="K14" s="747"/>
    </row>
    <row r="15" spans="1:11" x14ac:dyDescent="0.25"/>
    <row r="16" spans="1:11" x14ac:dyDescent="0.25"/>
    <row r="17" x14ac:dyDescent="0.25"/>
    <row r="18" x14ac:dyDescent="0.25"/>
  </sheetData>
  <hyperlinks>
    <hyperlink ref="A4" location="'Notes_D1 to D6'!A1" display="Link to Notes" xr:uid="{BF01DC21-35F3-465E-8D93-DD3CA5131114}"/>
    <hyperlink ref="A2" location="'Table of contents'!A1" display="Link to content page" xr:uid="{B015EE7C-CB51-4240-A5F7-CC46FA28C4FA}"/>
  </hyperlinks>
  <pageMargins left="0.7" right="0.7" top="0.75" bottom="0.75" header="0.3" footer="0.3"/>
  <pageSetup paperSize="9" orientation="portrait" r:id="rId1"/>
  <drawing r:id="rId2"/>
  <tableParts count="1">
    <tablePart r:id="rId3"/>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3689B-8C32-47B4-AEA8-61FBFE0FE7DD}">
  <dimension ref="A1:H12"/>
  <sheetViews>
    <sheetView showGridLines="0" workbookViewId="0"/>
  </sheetViews>
  <sheetFormatPr defaultColWidth="15.28515625" defaultRowHeight="12.75" customHeight="1" x14ac:dyDescent="0.25"/>
  <cols>
    <col min="1" max="1" width="79.140625" customWidth="1"/>
    <col min="2" max="4" width="17.7109375" customWidth="1"/>
    <col min="5" max="5" width="7" customWidth="1"/>
    <col min="6" max="6" width="81.7109375" customWidth="1"/>
    <col min="7" max="7" width="32.7109375" customWidth="1"/>
    <col min="8" max="8" width="30.42578125" customWidth="1"/>
  </cols>
  <sheetData>
    <row r="1" spans="1:8" ht="18.75" customHeight="1" x14ac:dyDescent="0.25">
      <c r="A1" s="870" t="s">
        <v>1281</v>
      </c>
      <c r="B1" s="628"/>
      <c r="C1" s="628"/>
      <c r="D1" s="628"/>
      <c r="E1" s="628"/>
      <c r="F1" s="628"/>
      <c r="G1" s="628"/>
      <c r="H1" s="628"/>
    </row>
    <row r="2" spans="1:8" ht="21.75" customHeight="1" x14ac:dyDescent="0.25">
      <c r="A2" s="629" t="s">
        <v>1282</v>
      </c>
      <c r="B2" s="630"/>
      <c r="C2" s="628"/>
      <c r="D2" s="628"/>
      <c r="E2" s="628"/>
      <c r="F2" s="628"/>
      <c r="G2" s="628"/>
      <c r="H2" s="628"/>
    </row>
    <row r="3" spans="1:8" ht="20.25" customHeight="1" x14ac:dyDescent="0.25">
      <c r="A3" s="631" t="s">
        <v>368</v>
      </c>
      <c r="B3" s="628"/>
      <c r="C3" s="628"/>
      <c r="D3" s="628"/>
      <c r="E3" s="628"/>
      <c r="F3" s="628"/>
      <c r="G3" s="628"/>
      <c r="H3" s="628"/>
    </row>
    <row r="4" spans="1:8" ht="19.5" customHeight="1" x14ac:dyDescent="0.25">
      <c r="A4" s="759" t="s">
        <v>1283</v>
      </c>
      <c r="B4" s="628"/>
      <c r="C4" s="628"/>
      <c r="D4" s="628"/>
      <c r="E4" s="628"/>
      <c r="F4" s="628"/>
      <c r="G4" s="628"/>
      <c r="H4" s="628"/>
    </row>
    <row r="5" spans="1:8" ht="20.25" customHeight="1" x14ac:dyDescent="0.25">
      <c r="A5" s="631" t="s">
        <v>1449</v>
      </c>
      <c r="B5" s="628"/>
      <c r="C5" s="628"/>
      <c r="D5" s="628"/>
      <c r="E5" s="628"/>
      <c r="F5" s="628"/>
      <c r="G5" s="628"/>
      <c r="H5" s="628"/>
    </row>
    <row r="6" spans="1:8" ht="20.25" customHeight="1" x14ac:dyDescent="0.25">
      <c r="A6" s="627" t="s">
        <v>1284</v>
      </c>
      <c r="B6" s="628"/>
      <c r="C6" s="628"/>
      <c r="D6" s="628"/>
      <c r="E6" s="628"/>
      <c r="F6" s="628"/>
      <c r="G6" s="628"/>
      <c r="H6" s="628"/>
    </row>
    <row r="7" spans="1:8" ht="21.75" customHeight="1" x14ac:dyDescent="0.25">
      <c r="A7" s="632" t="s">
        <v>1285</v>
      </c>
      <c r="B7" s="633"/>
      <c r="C7" s="633"/>
      <c r="D7" s="633"/>
      <c r="E7" s="628"/>
      <c r="F7" s="632" t="s">
        <v>1286</v>
      </c>
      <c r="G7" s="633"/>
      <c r="H7" s="633"/>
    </row>
    <row r="8" spans="1:8" ht="63" x14ac:dyDescent="0.25">
      <c r="A8" s="634" t="s">
        <v>1287</v>
      </c>
      <c r="B8" s="635" t="s">
        <v>1288</v>
      </c>
      <c r="C8" s="636" t="s">
        <v>1289</v>
      </c>
      <c r="D8" s="636" t="s">
        <v>1290</v>
      </c>
      <c r="E8" s="628"/>
      <c r="F8" s="637" t="s">
        <v>1287</v>
      </c>
      <c r="G8" s="636" t="s">
        <v>1291</v>
      </c>
      <c r="H8" s="636" t="s">
        <v>1292</v>
      </c>
    </row>
    <row r="9" spans="1:8" ht="15.75" x14ac:dyDescent="0.25">
      <c r="A9" s="638" t="s">
        <v>1293</v>
      </c>
      <c r="B9" s="639">
        <v>998.39800000000002</v>
      </c>
      <c r="C9" s="640">
        <v>1035.585</v>
      </c>
      <c r="D9" s="641">
        <v>1044.2080000000001</v>
      </c>
      <c r="E9" s="642"/>
      <c r="F9" s="643" t="s">
        <v>1293</v>
      </c>
      <c r="G9" s="644">
        <v>4.5883505375611788</v>
      </c>
      <c r="H9" s="645">
        <v>0.83266945735985431</v>
      </c>
    </row>
    <row r="10" spans="1:8" ht="15.75" x14ac:dyDescent="0.25">
      <c r="A10" s="646" t="s">
        <v>1294</v>
      </c>
      <c r="B10" s="647">
        <v>17.518906559748718</v>
      </c>
      <c r="C10" s="648">
        <v>17.189497098342311</v>
      </c>
      <c r="D10" s="648">
        <v>17.159028582939829</v>
      </c>
      <c r="E10" s="649"/>
      <c r="F10" s="646" t="s">
        <v>1294</v>
      </c>
      <c r="G10" s="648">
        <v>-2.0542262474059956</v>
      </c>
      <c r="H10" s="648">
        <v>-0.17725076672208565</v>
      </c>
    </row>
    <row r="11" spans="1:8" ht="15.75" x14ac:dyDescent="0.25">
      <c r="A11" s="650" t="s">
        <v>1295</v>
      </c>
      <c r="B11" s="651">
        <v>33.235999999999997</v>
      </c>
      <c r="C11" s="652">
        <v>3.5790000000000002</v>
      </c>
      <c r="D11" s="652">
        <v>1.758</v>
      </c>
      <c r="E11" s="642"/>
      <c r="F11" s="650" t="s">
        <v>1295</v>
      </c>
      <c r="G11" s="651">
        <v>-94.71055482007462</v>
      </c>
      <c r="H11" s="651">
        <v>-50.880134115674771</v>
      </c>
    </row>
    <row r="12" spans="1:8" ht="15.75" x14ac:dyDescent="0.25">
      <c r="A12" s="653" t="s">
        <v>1294</v>
      </c>
      <c r="B12" s="654">
        <v>0.58319265304999435</v>
      </c>
      <c r="C12" s="655">
        <v>5.9407204734490293E-2</v>
      </c>
      <c r="D12" s="654">
        <v>2.8888470734574158E-2</v>
      </c>
      <c r="E12" s="642"/>
      <c r="F12" s="653" t="s">
        <v>1294</v>
      </c>
      <c r="G12" s="656">
        <v>-95.046496113506834</v>
      </c>
      <c r="H12" s="656">
        <v>-51.372109050264314</v>
      </c>
    </row>
  </sheetData>
  <hyperlinks>
    <hyperlink ref="A6" r:id="rId1" display="Source: Ministry of Justice, March 2018 and March 2024, Criminal Justice System statistics (Tables Q1.2, Q2.1, Q3.4)" xr:uid="{2E5F712F-CF33-4A1F-AB63-DCB231F06456}"/>
    <hyperlink ref="A3" location="'Table of contents'!A1" display="Link to Table of Contents" xr:uid="{30A6E426-6D20-4BBA-B80D-DABE41BF23CC}"/>
    <hyperlink ref="A5" location="'Notes_D1 to D6'!A1" display="Link to Notes" xr:uid="{20A793F8-5BAA-453A-B8B3-89BA41B00C78}"/>
  </hyperlinks>
  <pageMargins left="0.7" right="0.7" top="0.75" bottom="0.75" header="0.3" footer="0.3"/>
  <pageSetup paperSize="9" orientation="portrait" r:id="rId2"/>
  <tableParts count="2">
    <tablePart r:id="rId3"/>
    <tablePart r:id="rId4"/>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B6A6-5338-48B3-9FB1-FE66CADFFAFD}">
  <sheetPr>
    <tabColor rgb="FF0070C0"/>
  </sheetPr>
  <dimension ref="A1:C22"/>
  <sheetViews>
    <sheetView showGridLines="0" workbookViewId="0"/>
  </sheetViews>
  <sheetFormatPr defaultColWidth="11.85546875" defaultRowHeight="15" customHeight="1" x14ac:dyDescent="0.25"/>
  <cols>
    <col min="1" max="1" width="19.28515625" customWidth="1"/>
    <col min="2" max="2" width="134.5703125" customWidth="1"/>
    <col min="3" max="3" width="69.5703125" customWidth="1"/>
  </cols>
  <sheetData>
    <row r="1" spans="1:3" ht="16.5" x14ac:dyDescent="0.25">
      <c r="A1" s="100" t="s">
        <v>68</v>
      </c>
      <c r="B1" s="713"/>
      <c r="C1" s="714"/>
    </row>
    <row r="2" spans="1:3" x14ac:dyDescent="0.25">
      <c r="A2" s="101" t="s">
        <v>1296</v>
      </c>
      <c r="B2" s="713"/>
      <c r="C2" s="714"/>
    </row>
    <row r="3" spans="1:3" ht="21.75" customHeight="1" x14ac:dyDescent="0.25">
      <c r="A3" s="91" t="s">
        <v>1297</v>
      </c>
      <c r="B3" s="102"/>
      <c r="C3" s="103"/>
    </row>
    <row r="4" spans="1:3" ht="21" customHeight="1" x14ac:dyDescent="0.25">
      <c r="A4" s="95" t="s">
        <v>71</v>
      </c>
      <c r="B4" s="96" t="s">
        <v>72</v>
      </c>
      <c r="C4" s="95" t="s">
        <v>2</v>
      </c>
    </row>
    <row r="5" spans="1:3" ht="24" customHeight="1" x14ac:dyDescent="0.25">
      <c r="A5" s="760">
        <v>1</v>
      </c>
      <c r="B5" s="761" t="s">
        <v>76</v>
      </c>
      <c r="C5" s="104"/>
    </row>
    <row r="6" spans="1:3" ht="35.25" customHeight="1" x14ac:dyDescent="0.25">
      <c r="A6" s="760">
        <v>2</v>
      </c>
      <c r="B6" s="762" t="s">
        <v>1298</v>
      </c>
      <c r="C6" s="763"/>
    </row>
    <row r="7" spans="1:3" ht="22.5" customHeight="1" x14ac:dyDescent="0.25">
      <c r="A7" s="760">
        <v>3</v>
      </c>
      <c r="B7" s="105" t="s">
        <v>77</v>
      </c>
      <c r="C7" s="110" t="s">
        <v>1299</v>
      </c>
    </row>
    <row r="8" spans="1:3" x14ac:dyDescent="0.25">
      <c r="A8" s="101"/>
      <c r="B8" s="713"/>
      <c r="C8" s="714"/>
    </row>
    <row r="9" spans="1:3" ht="21" customHeight="1" x14ac:dyDescent="0.25">
      <c r="A9" s="95" t="s">
        <v>1300</v>
      </c>
      <c r="B9" s="742"/>
      <c r="C9" s="743"/>
    </row>
    <row r="10" spans="1:3" ht="18.75" customHeight="1" x14ac:dyDescent="0.25">
      <c r="A10" s="95" t="s">
        <v>71</v>
      </c>
      <c r="B10" s="96" t="s">
        <v>72</v>
      </c>
      <c r="C10" s="95" t="s">
        <v>2</v>
      </c>
    </row>
    <row r="11" spans="1:3" ht="52.5" customHeight="1" x14ac:dyDescent="0.25">
      <c r="A11" s="719">
        <v>1</v>
      </c>
      <c r="B11" s="65" t="s">
        <v>828</v>
      </c>
      <c r="C11" s="764"/>
    </row>
    <row r="12" spans="1:3" ht="43.5" customHeight="1" x14ac:dyDescent="0.25">
      <c r="A12" s="70">
        <v>2</v>
      </c>
      <c r="B12" s="65" t="s">
        <v>829</v>
      </c>
      <c r="C12" s="106"/>
    </row>
    <row r="13" spans="1:3" ht="55.5" customHeight="1" x14ac:dyDescent="0.25">
      <c r="A13" s="70">
        <v>3</v>
      </c>
      <c r="B13" s="65" t="s">
        <v>830</v>
      </c>
      <c r="C13" s="107" t="s">
        <v>812</v>
      </c>
    </row>
    <row r="14" spans="1:3" ht="66.75" customHeight="1" x14ac:dyDescent="0.25">
      <c r="A14" s="70">
        <v>4</v>
      </c>
      <c r="B14" s="720" t="s">
        <v>831</v>
      </c>
      <c r="C14" s="106"/>
    </row>
    <row r="15" spans="1:3" ht="60" x14ac:dyDescent="0.25">
      <c r="A15" s="70">
        <v>5</v>
      </c>
      <c r="B15" s="65" t="s">
        <v>832</v>
      </c>
      <c r="C15" s="106"/>
    </row>
    <row r="16" spans="1:3" x14ac:dyDescent="0.25">
      <c r="A16" s="70"/>
      <c r="B16" s="65"/>
      <c r="C16" s="106"/>
    </row>
    <row r="17" spans="1:3" ht="22.5" customHeight="1" x14ac:dyDescent="0.25">
      <c r="A17" s="91" t="s">
        <v>1301</v>
      </c>
      <c r="B17" s="102"/>
      <c r="C17" s="103"/>
    </row>
    <row r="18" spans="1:3" ht="15.75" x14ac:dyDescent="0.25">
      <c r="A18" s="95" t="s">
        <v>71</v>
      </c>
      <c r="B18" s="96" t="s">
        <v>72</v>
      </c>
      <c r="C18" s="95" t="s">
        <v>2</v>
      </c>
    </row>
    <row r="19" spans="1:3" ht="95.25" customHeight="1" x14ac:dyDescent="0.25">
      <c r="A19" s="78">
        <v>1</v>
      </c>
      <c r="B19" s="108" t="s">
        <v>1302</v>
      </c>
      <c r="C19" s="765"/>
    </row>
    <row r="20" spans="1:3" ht="21.75" customHeight="1" x14ac:dyDescent="0.25">
      <c r="A20" s="78">
        <v>2</v>
      </c>
      <c r="B20" s="766" t="s">
        <v>1303</v>
      </c>
      <c r="C20" s="765"/>
    </row>
    <row r="21" spans="1:3" ht="36.75" customHeight="1" x14ac:dyDescent="0.25">
      <c r="A21" s="78">
        <v>3</v>
      </c>
      <c r="B21" s="109" t="s">
        <v>1304</v>
      </c>
      <c r="C21" s="765"/>
    </row>
    <row r="22" spans="1:3" ht="37.5" customHeight="1" x14ac:dyDescent="0.25">
      <c r="A22" s="78">
        <v>4</v>
      </c>
      <c r="B22" s="109" t="s">
        <v>1305</v>
      </c>
      <c r="C22" s="765"/>
    </row>
  </sheetData>
  <hyperlinks>
    <hyperlink ref="C13" r:id="rId1" display="Methedology reportPolice recorded offences involving knives or sharp instruments: methodology changes" xr:uid="{216DD18B-CF7D-4B5E-8787-970F200D34C6}"/>
    <hyperlink ref="C7" r:id="rId2" location="offence-types" display="User guide to crime statistics for England and Wales: March 2020." xr:uid="{4AC34249-99B9-4C42-829B-39DF55A5A181}"/>
  </hyperlinks>
  <pageMargins left="0.7" right="0.7" top="0.75" bottom="0.75" header="0.3" footer="0.3"/>
  <pageSetup paperSize="9" orientation="portrait" r:id="rId3"/>
  <tableParts count="2">
    <tablePart r:id="rId4"/>
    <tablePart r:id="rId5"/>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3D40C-A189-4A36-9D76-B0A333564458}">
  <dimension ref="A1:M26"/>
  <sheetViews>
    <sheetView showGridLines="0" workbookViewId="0"/>
  </sheetViews>
  <sheetFormatPr defaultRowHeight="15" customHeight="1" x14ac:dyDescent="0.25"/>
  <cols>
    <col min="1" max="1" width="75.7109375" customWidth="1"/>
    <col min="2" max="13" width="12.7109375" customWidth="1"/>
    <col min="14" max="32" width="9.140625" customWidth="1"/>
  </cols>
  <sheetData>
    <row r="1" spans="1:13" ht="16.5" x14ac:dyDescent="0.25">
      <c r="A1" s="836" t="s">
        <v>1511</v>
      </c>
      <c r="B1" s="124"/>
      <c r="C1" s="124"/>
      <c r="D1" s="124"/>
      <c r="E1" s="124"/>
      <c r="F1" s="124"/>
      <c r="G1" s="124"/>
      <c r="H1" s="124"/>
      <c r="I1" s="124"/>
      <c r="J1" s="124"/>
      <c r="K1" s="124"/>
      <c r="L1" s="124"/>
      <c r="M1" s="124"/>
    </row>
    <row r="2" spans="1:13" ht="15.75" x14ac:dyDescent="0.25">
      <c r="A2" s="185" t="s">
        <v>1306</v>
      </c>
      <c r="B2" s="124"/>
      <c r="C2" s="124"/>
      <c r="D2" s="124"/>
      <c r="E2" s="124"/>
      <c r="F2" s="124"/>
      <c r="G2" s="124"/>
      <c r="H2" s="124"/>
      <c r="I2" s="124"/>
      <c r="J2" s="124"/>
      <c r="K2" s="124"/>
      <c r="L2" s="124"/>
      <c r="M2" s="124"/>
    </row>
    <row r="3" spans="1:13" ht="20.25" customHeight="1" x14ac:dyDescent="0.25">
      <c r="A3" s="2" t="s">
        <v>97</v>
      </c>
      <c r="B3" s="124"/>
      <c r="C3" s="124"/>
      <c r="D3" s="124"/>
      <c r="E3" s="124"/>
      <c r="F3" s="124"/>
      <c r="G3" s="124"/>
      <c r="H3" s="124"/>
      <c r="I3" s="124"/>
      <c r="J3" s="124"/>
      <c r="K3" s="124"/>
      <c r="L3" s="124"/>
      <c r="M3" s="124"/>
    </row>
    <row r="4" spans="1:13" ht="18.75" customHeight="1" x14ac:dyDescent="0.25">
      <c r="A4" s="1" t="s">
        <v>98</v>
      </c>
      <c r="B4" s="124"/>
      <c r="C4" s="124"/>
      <c r="D4" s="124"/>
      <c r="E4" s="124"/>
      <c r="F4" s="124"/>
      <c r="G4" s="124"/>
      <c r="H4" s="124"/>
      <c r="I4" s="124"/>
      <c r="J4" s="124"/>
      <c r="K4" s="124"/>
      <c r="L4" s="124"/>
      <c r="M4" s="124"/>
    </row>
    <row r="5" spans="1:13" ht="17.25" customHeight="1" x14ac:dyDescent="0.25">
      <c r="A5" s="2" t="s">
        <v>99</v>
      </c>
      <c r="B5" s="124"/>
      <c r="C5" s="124"/>
      <c r="D5" s="124"/>
      <c r="E5" s="124"/>
      <c r="F5" s="124"/>
      <c r="G5" s="124"/>
      <c r="H5" s="124"/>
      <c r="I5" s="124"/>
      <c r="J5" s="124"/>
      <c r="K5" s="124"/>
      <c r="L5" s="124"/>
      <c r="M5" s="124"/>
    </row>
    <row r="6" spans="1:13" ht="20.25" customHeight="1" x14ac:dyDescent="0.25">
      <c r="A6" s="1" t="s">
        <v>100</v>
      </c>
      <c r="B6" s="124"/>
      <c r="C6" s="124"/>
      <c r="D6" s="124"/>
      <c r="E6" s="124"/>
      <c r="F6" s="124"/>
      <c r="G6" s="124"/>
      <c r="H6" s="124"/>
      <c r="I6" s="124"/>
      <c r="J6" s="124"/>
      <c r="K6" s="124"/>
      <c r="L6" s="124"/>
      <c r="M6" s="124"/>
    </row>
    <row r="7" spans="1:13" ht="37.5" customHeight="1" x14ac:dyDescent="0.25">
      <c r="A7" s="31" t="s">
        <v>1307</v>
      </c>
      <c r="B7" s="99" t="s">
        <v>1308</v>
      </c>
      <c r="C7" s="99" t="s">
        <v>1309</v>
      </c>
      <c r="D7" s="99" t="s">
        <v>1310</v>
      </c>
      <c r="E7" s="99" t="s">
        <v>1311</v>
      </c>
      <c r="F7" s="99" t="s">
        <v>1312</v>
      </c>
      <c r="G7" s="99" t="s">
        <v>1313</v>
      </c>
      <c r="H7" s="99" t="s">
        <v>1314</v>
      </c>
      <c r="I7" s="99" t="s">
        <v>1315</v>
      </c>
      <c r="J7" s="99" t="s">
        <v>1316</v>
      </c>
      <c r="K7" s="99" t="s">
        <v>1317</v>
      </c>
      <c r="L7" s="99" t="s">
        <v>1318</v>
      </c>
      <c r="M7" s="99" t="s">
        <v>1319</v>
      </c>
    </row>
    <row r="8" spans="1:13" ht="15.75" x14ac:dyDescent="0.25">
      <c r="A8" s="4" t="s">
        <v>1320</v>
      </c>
      <c r="B8" s="5">
        <v>262</v>
      </c>
      <c r="C8" s="5">
        <v>203</v>
      </c>
      <c r="D8" s="5">
        <v>213</v>
      </c>
      <c r="E8" s="5">
        <v>212</v>
      </c>
      <c r="F8" s="5">
        <v>228</v>
      </c>
      <c r="G8" s="5">
        <v>356</v>
      </c>
      <c r="H8" s="5">
        <v>269</v>
      </c>
      <c r="I8" s="5">
        <v>259</v>
      </c>
      <c r="J8" s="5">
        <v>267</v>
      </c>
      <c r="K8" s="5">
        <v>278</v>
      </c>
      <c r="L8" s="5">
        <v>311</v>
      </c>
      <c r="M8" s="5">
        <v>278</v>
      </c>
    </row>
    <row r="9" spans="1:13" ht="15.75" x14ac:dyDescent="0.25">
      <c r="A9" s="4" t="s">
        <v>777</v>
      </c>
      <c r="B9" s="5">
        <v>8</v>
      </c>
      <c r="C9" s="5">
        <v>13</v>
      </c>
      <c r="D9" s="5">
        <v>24</v>
      </c>
      <c r="E9" s="5">
        <v>15</v>
      </c>
      <c r="F9" s="5">
        <v>31</v>
      </c>
      <c r="G9" s="5">
        <v>19</v>
      </c>
      <c r="H9" s="5">
        <v>48</v>
      </c>
      <c r="I9" s="5">
        <v>40</v>
      </c>
      <c r="J9" s="5">
        <v>12</v>
      </c>
      <c r="K9" s="5">
        <v>5</v>
      </c>
      <c r="L9" s="5">
        <v>24</v>
      </c>
      <c r="M9" s="5">
        <v>24</v>
      </c>
    </row>
    <row r="10" spans="1:13" ht="15.75" x14ac:dyDescent="0.25">
      <c r="A10" s="4" t="s">
        <v>749</v>
      </c>
      <c r="B10" s="5">
        <v>610</v>
      </c>
      <c r="C10" s="5">
        <v>769</v>
      </c>
      <c r="D10" s="5">
        <v>685</v>
      </c>
      <c r="E10" s="5">
        <v>564</v>
      </c>
      <c r="F10" s="5">
        <v>674</v>
      </c>
      <c r="G10" s="5">
        <v>675</v>
      </c>
      <c r="H10" s="5">
        <v>776</v>
      </c>
      <c r="I10" s="5">
        <v>664</v>
      </c>
      <c r="J10" s="5">
        <v>772</v>
      </c>
      <c r="K10" s="5">
        <v>728</v>
      </c>
      <c r="L10" s="5">
        <v>649</v>
      </c>
      <c r="M10" s="5">
        <v>602</v>
      </c>
    </row>
    <row r="11" spans="1:13" ht="15.75" x14ac:dyDescent="0.25">
      <c r="A11" s="7" t="s">
        <v>272</v>
      </c>
      <c r="B11" s="8">
        <v>40</v>
      </c>
      <c r="C11" s="8">
        <v>72</v>
      </c>
      <c r="D11" s="8">
        <v>89</v>
      </c>
      <c r="E11" s="8">
        <v>89</v>
      </c>
      <c r="F11" s="8">
        <v>63</v>
      </c>
      <c r="G11" s="8">
        <v>80</v>
      </c>
      <c r="H11" s="8">
        <v>114</v>
      </c>
      <c r="I11" s="8">
        <v>105</v>
      </c>
      <c r="J11" s="8">
        <v>147</v>
      </c>
      <c r="K11" s="8">
        <v>117</v>
      </c>
      <c r="L11" s="8">
        <v>98</v>
      </c>
      <c r="M11" s="8">
        <v>99</v>
      </c>
    </row>
    <row r="12" spans="1:13" ht="15.75" x14ac:dyDescent="0.25">
      <c r="A12" s="7" t="s">
        <v>1321</v>
      </c>
      <c r="B12" s="8">
        <v>105</v>
      </c>
      <c r="C12" s="8">
        <v>158</v>
      </c>
      <c r="D12" s="8">
        <v>91</v>
      </c>
      <c r="E12" s="8">
        <v>69</v>
      </c>
      <c r="F12" s="8">
        <v>155</v>
      </c>
      <c r="G12" s="8">
        <v>79</v>
      </c>
      <c r="H12" s="8">
        <v>143</v>
      </c>
      <c r="I12" s="8">
        <v>81</v>
      </c>
      <c r="J12" s="8">
        <v>126</v>
      </c>
      <c r="K12" s="8">
        <v>115</v>
      </c>
      <c r="L12" s="8">
        <v>107</v>
      </c>
      <c r="M12" s="8">
        <v>75</v>
      </c>
    </row>
    <row r="13" spans="1:13" ht="26.25" customHeight="1" x14ac:dyDescent="0.25">
      <c r="A13" s="10" t="s">
        <v>1322</v>
      </c>
      <c r="B13" s="11">
        <v>7228</v>
      </c>
      <c r="C13" s="11">
        <v>7568</v>
      </c>
      <c r="D13" s="11">
        <v>8873</v>
      </c>
      <c r="E13" s="11">
        <v>6998</v>
      </c>
      <c r="F13" s="11">
        <v>7727</v>
      </c>
      <c r="G13" s="11">
        <v>7583</v>
      </c>
      <c r="H13" s="11">
        <v>8539</v>
      </c>
      <c r="I13" s="11">
        <v>7950</v>
      </c>
      <c r="J13" s="11">
        <v>8025</v>
      </c>
      <c r="K13" s="11">
        <v>7453</v>
      </c>
      <c r="L13" s="11">
        <v>8104</v>
      </c>
      <c r="M13" s="11">
        <v>8209</v>
      </c>
    </row>
    <row r="14" spans="1:13" ht="15.75" x14ac:dyDescent="0.25">
      <c r="A14" s="4" t="s">
        <v>1323</v>
      </c>
      <c r="B14" s="5">
        <v>84</v>
      </c>
      <c r="C14" s="5">
        <v>113</v>
      </c>
      <c r="D14" s="5">
        <v>103</v>
      </c>
      <c r="E14" s="5">
        <v>93</v>
      </c>
      <c r="F14" s="5">
        <v>93</v>
      </c>
      <c r="G14" s="5">
        <v>104</v>
      </c>
      <c r="H14" s="5">
        <v>113</v>
      </c>
      <c r="I14" s="5">
        <v>99</v>
      </c>
      <c r="J14" s="5">
        <v>110</v>
      </c>
      <c r="K14" s="5">
        <v>100</v>
      </c>
      <c r="L14" s="5">
        <v>90</v>
      </c>
      <c r="M14" s="5">
        <v>76</v>
      </c>
    </row>
    <row r="15" spans="1:13" ht="15.75" x14ac:dyDescent="0.25">
      <c r="A15" s="7" t="s">
        <v>1324</v>
      </c>
      <c r="B15" s="8">
        <v>139</v>
      </c>
      <c r="C15" s="8">
        <v>178</v>
      </c>
      <c r="D15" s="8">
        <v>147</v>
      </c>
      <c r="E15" s="8">
        <v>113</v>
      </c>
      <c r="F15" s="8">
        <v>126</v>
      </c>
      <c r="G15" s="8">
        <v>166</v>
      </c>
      <c r="H15" s="8">
        <v>151</v>
      </c>
      <c r="I15" s="8">
        <v>163</v>
      </c>
      <c r="J15" s="8">
        <v>162</v>
      </c>
      <c r="K15" s="8">
        <v>176</v>
      </c>
      <c r="L15" s="8">
        <v>160</v>
      </c>
      <c r="M15" s="8">
        <v>159</v>
      </c>
    </row>
    <row r="16" spans="1:13" ht="15.75" x14ac:dyDescent="0.25">
      <c r="A16" s="7" t="s">
        <v>1325</v>
      </c>
      <c r="B16" s="8">
        <v>186</v>
      </c>
      <c r="C16" s="8">
        <v>188</v>
      </c>
      <c r="D16" s="8">
        <v>196</v>
      </c>
      <c r="E16" s="8">
        <v>159</v>
      </c>
      <c r="F16" s="8">
        <v>189</v>
      </c>
      <c r="G16" s="8">
        <v>203</v>
      </c>
      <c r="H16" s="8">
        <v>183</v>
      </c>
      <c r="I16" s="8">
        <v>171</v>
      </c>
      <c r="J16" s="8">
        <v>180</v>
      </c>
      <c r="K16" s="8">
        <v>166</v>
      </c>
      <c r="L16" s="8">
        <v>155</v>
      </c>
      <c r="M16" s="8">
        <v>149</v>
      </c>
    </row>
    <row r="17" spans="1:13" ht="15.75" x14ac:dyDescent="0.25">
      <c r="A17" s="7" t="s">
        <v>561</v>
      </c>
      <c r="B17" s="8">
        <v>55</v>
      </c>
      <c r="C17" s="8">
        <v>60</v>
      </c>
      <c r="D17" s="8">
        <v>59</v>
      </c>
      <c r="E17" s="8">
        <v>41</v>
      </c>
      <c r="F17" s="8">
        <v>49</v>
      </c>
      <c r="G17" s="8">
        <v>43</v>
      </c>
      <c r="H17" s="8">
        <v>70</v>
      </c>
      <c r="I17" s="8">
        <v>45</v>
      </c>
      <c r="J17" s="8">
        <v>47</v>
      </c>
      <c r="K17" s="8">
        <v>55</v>
      </c>
      <c r="L17" s="8">
        <v>40</v>
      </c>
      <c r="M17" s="8">
        <v>44</v>
      </c>
    </row>
    <row r="18" spans="1:13" ht="15.75" x14ac:dyDescent="0.25">
      <c r="A18" s="4" t="s">
        <v>756</v>
      </c>
      <c r="B18" s="5">
        <v>160</v>
      </c>
      <c r="C18" s="5">
        <v>187</v>
      </c>
      <c r="D18" s="5">
        <v>150</v>
      </c>
      <c r="E18" s="5">
        <v>161</v>
      </c>
      <c r="F18" s="5">
        <v>177</v>
      </c>
      <c r="G18" s="5">
        <v>133</v>
      </c>
      <c r="H18" s="5">
        <v>191</v>
      </c>
      <c r="I18" s="5">
        <v>165</v>
      </c>
      <c r="J18" s="5">
        <v>141</v>
      </c>
      <c r="K18" s="5">
        <v>162</v>
      </c>
      <c r="L18" s="5">
        <v>141</v>
      </c>
      <c r="M18" s="5">
        <v>144</v>
      </c>
    </row>
    <row r="19" spans="1:13" ht="22.5" customHeight="1" x14ac:dyDescent="0.25">
      <c r="A19" s="10" t="s">
        <v>167</v>
      </c>
      <c r="B19" s="11">
        <v>7146</v>
      </c>
      <c r="C19" s="11">
        <v>7469</v>
      </c>
      <c r="D19" s="11">
        <v>8777</v>
      </c>
      <c r="E19" s="11">
        <v>6880</v>
      </c>
      <c r="F19" s="11">
        <v>7689</v>
      </c>
      <c r="G19" s="11">
        <v>7558</v>
      </c>
      <c r="H19" s="11">
        <v>8491</v>
      </c>
      <c r="I19" s="11">
        <v>7909</v>
      </c>
      <c r="J19" s="11">
        <v>7985</v>
      </c>
      <c r="K19" s="11">
        <v>7425</v>
      </c>
      <c r="L19" s="11">
        <v>8056</v>
      </c>
      <c r="M19" s="11">
        <v>8165</v>
      </c>
    </row>
    <row r="20" spans="1:13" ht="15.75" x14ac:dyDescent="0.25">
      <c r="A20" s="4" t="s">
        <v>1326</v>
      </c>
      <c r="B20" s="5">
        <v>1040</v>
      </c>
      <c r="C20" s="5">
        <v>1172</v>
      </c>
      <c r="D20" s="5">
        <v>1072</v>
      </c>
      <c r="E20" s="5">
        <v>951</v>
      </c>
      <c r="F20" s="5">
        <v>1111</v>
      </c>
      <c r="G20" s="5">
        <v>1184</v>
      </c>
      <c r="H20" s="5">
        <v>1284</v>
      </c>
      <c r="I20" s="5">
        <v>1129</v>
      </c>
      <c r="J20" s="5">
        <v>1193</v>
      </c>
      <c r="K20" s="5">
        <v>1174</v>
      </c>
      <c r="L20" s="5">
        <v>1125</v>
      </c>
      <c r="M20" s="5">
        <v>1047</v>
      </c>
    </row>
    <row r="21" spans="1:13" ht="27" customHeight="1" x14ac:dyDescent="0.25">
      <c r="A21" s="10" t="s">
        <v>1322</v>
      </c>
      <c r="B21" s="11">
        <v>7228</v>
      </c>
      <c r="C21" s="11">
        <v>7568</v>
      </c>
      <c r="D21" s="11">
        <v>8873</v>
      </c>
      <c r="E21" s="11">
        <v>6998</v>
      </c>
      <c r="F21" s="11">
        <v>7727</v>
      </c>
      <c r="G21" s="11">
        <v>7583</v>
      </c>
      <c r="H21" s="11">
        <v>8539</v>
      </c>
      <c r="I21" s="11">
        <v>7950</v>
      </c>
      <c r="J21" s="11">
        <v>8025</v>
      </c>
      <c r="K21" s="11">
        <v>7453</v>
      </c>
      <c r="L21" s="11">
        <v>8104</v>
      </c>
      <c r="M21" s="11">
        <v>8209</v>
      </c>
    </row>
    <row r="22" spans="1:13" ht="21.75" customHeight="1" x14ac:dyDescent="0.25">
      <c r="A22" s="4" t="s">
        <v>292</v>
      </c>
      <c r="B22" s="5">
        <v>845</v>
      </c>
      <c r="C22" s="5">
        <v>946</v>
      </c>
      <c r="D22" s="5">
        <v>829</v>
      </c>
      <c r="E22" s="5">
        <v>715</v>
      </c>
      <c r="F22" s="5">
        <v>748</v>
      </c>
      <c r="G22" s="5">
        <v>784</v>
      </c>
      <c r="H22" s="5">
        <v>928</v>
      </c>
      <c r="I22" s="5">
        <v>1098</v>
      </c>
      <c r="J22" s="5">
        <v>1047</v>
      </c>
      <c r="K22" s="5">
        <v>1024</v>
      </c>
      <c r="L22" s="5">
        <v>989</v>
      </c>
      <c r="M22" s="5">
        <v>1012</v>
      </c>
    </row>
    <row r="23" spans="1:13" ht="19.5" customHeight="1" x14ac:dyDescent="0.25">
      <c r="A23" s="4" t="s">
        <v>294</v>
      </c>
      <c r="B23" s="5">
        <v>209</v>
      </c>
      <c r="C23" s="5">
        <v>177</v>
      </c>
      <c r="D23" s="5">
        <v>186</v>
      </c>
      <c r="E23" s="5">
        <v>277</v>
      </c>
      <c r="F23" s="5">
        <v>257</v>
      </c>
      <c r="G23" s="5">
        <v>263</v>
      </c>
      <c r="H23" s="5">
        <v>223</v>
      </c>
      <c r="I23" s="5">
        <v>207</v>
      </c>
      <c r="J23" s="5">
        <v>164</v>
      </c>
      <c r="K23" s="5">
        <v>153</v>
      </c>
      <c r="L23" s="5">
        <v>158</v>
      </c>
      <c r="M23" s="5">
        <v>189</v>
      </c>
    </row>
    <row r="24" spans="1:13" ht="24.75" customHeight="1" x14ac:dyDescent="0.25">
      <c r="A24" s="10" t="s">
        <v>1322</v>
      </c>
      <c r="B24" s="11">
        <v>7228</v>
      </c>
      <c r="C24" s="11">
        <v>7568</v>
      </c>
      <c r="D24" s="11">
        <v>8873</v>
      </c>
      <c r="E24" s="11">
        <v>6998</v>
      </c>
      <c r="F24" s="11">
        <v>7727</v>
      </c>
      <c r="G24" s="11">
        <v>7583</v>
      </c>
      <c r="H24" s="11">
        <v>8539</v>
      </c>
      <c r="I24" s="11">
        <v>7950</v>
      </c>
      <c r="J24" s="11">
        <v>8025</v>
      </c>
      <c r="K24" s="11">
        <v>7453</v>
      </c>
      <c r="L24" s="11">
        <v>8104</v>
      </c>
      <c r="M24" s="11">
        <v>8209</v>
      </c>
    </row>
    <row r="25" spans="1:13" ht="15.75" x14ac:dyDescent="0.25">
      <c r="A25" s="4" t="s">
        <v>1327</v>
      </c>
      <c r="B25" s="5">
        <v>2095</v>
      </c>
      <c r="C25" s="5">
        <v>2295</v>
      </c>
      <c r="D25" s="5">
        <v>2087</v>
      </c>
      <c r="E25" s="5">
        <v>1944</v>
      </c>
      <c r="F25" s="5">
        <v>2116</v>
      </c>
      <c r="G25" s="5">
        <v>2231</v>
      </c>
      <c r="H25" s="5">
        <v>2436</v>
      </c>
      <c r="I25" s="5">
        <v>2434</v>
      </c>
      <c r="J25" s="5">
        <v>2403</v>
      </c>
      <c r="K25" s="5">
        <v>2350</v>
      </c>
      <c r="L25" s="5">
        <v>2272</v>
      </c>
      <c r="M25" s="5">
        <v>2248</v>
      </c>
    </row>
    <row r="26" spans="1:13" ht="23.25" customHeight="1" x14ac:dyDescent="0.25">
      <c r="A26" s="10" t="s">
        <v>1322</v>
      </c>
      <c r="B26" s="11">
        <v>7228</v>
      </c>
      <c r="C26" s="11">
        <v>7568</v>
      </c>
      <c r="D26" s="11">
        <v>8873</v>
      </c>
      <c r="E26" s="11">
        <v>6998</v>
      </c>
      <c r="F26" s="11">
        <v>7727</v>
      </c>
      <c r="G26" s="11">
        <v>7583</v>
      </c>
      <c r="H26" s="11">
        <v>8539</v>
      </c>
      <c r="I26" s="11">
        <v>7950</v>
      </c>
      <c r="J26" s="11">
        <v>8025</v>
      </c>
      <c r="K26" s="11">
        <v>7453</v>
      </c>
      <c r="L26" s="11">
        <v>8104</v>
      </c>
      <c r="M26" s="11">
        <v>8209</v>
      </c>
    </row>
  </sheetData>
  <hyperlinks>
    <hyperlink ref="A5" location="'Notes_E1 to E3'!A1" display="Link to Notes page." xr:uid="{0929D70D-C98A-466B-8702-266A44007C31}"/>
    <hyperlink ref="A3" location=" 'Table of contents'!A1" display="Link to Table of contents." xr:uid="{4F1DC38E-3C1B-4A08-88B0-1EB64DF377FD}"/>
  </hyperlinks>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AF8C9-E41C-4E04-B9EC-82EF8B24E483}">
  <dimension ref="A1:M25"/>
  <sheetViews>
    <sheetView showGridLines="0" workbookViewId="0"/>
  </sheetViews>
  <sheetFormatPr defaultColWidth="10.85546875" defaultRowHeight="15" customHeight="1" x14ac:dyDescent="0.25"/>
  <cols>
    <col min="1" max="1" width="34.42578125" customWidth="1"/>
    <col min="2" max="9" width="15" customWidth="1"/>
    <col min="10" max="13" width="19.5703125" customWidth="1"/>
  </cols>
  <sheetData>
    <row r="1" spans="1:13" ht="18" x14ac:dyDescent="0.25">
      <c r="A1" s="847" t="s">
        <v>1461</v>
      </c>
      <c r="B1" s="550"/>
      <c r="C1" s="550"/>
      <c r="D1" s="550"/>
      <c r="E1" s="550"/>
      <c r="F1" s="550"/>
      <c r="G1" s="550"/>
      <c r="H1" s="550"/>
      <c r="I1" s="550"/>
      <c r="J1" s="550"/>
      <c r="K1" s="550"/>
      <c r="L1" s="551"/>
      <c r="M1" s="551"/>
    </row>
    <row r="2" spans="1:13" ht="18" x14ac:dyDescent="0.25">
      <c r="A2" s="180" t="s">
        <v>1263</v>
      </c>
      <c r="B2" s="555"/>
      <c r="C2" s="555"/>
      <c r="D2" s="555"/>
      <c r="E2" s="555"/>
      <c r="F2" s="556"/>
      <c r="G2" s="556"/>
      <c r="H2" s="556"/>
      <c r="I2" s="556"/>
      <c r="J2" s="556"/>
      <c r="K2" s="556"/>
      <c r="L2" s="556"/>
      <c r="M2" s="556"/>
    </row>
    <row r="3" spans="1:13" ht="18.75" customHeight="1" x14ac:dyDescent="0.25">
      <c r="A3" s="552" t="s">
        <v>923</v>
      </c>
      <c r="B3" s="553"/>
      <c r="C3" s="553"/>
      <c r="D3" s="553"/>
      <c r="E3" s="553"/>
      <c r="F3" s="553"/>
      <c r="G3" s="553"/>
      <c r="H3" s="553"/>
      <c r="I3" s="553"/>
      <c r="J3" s="553"/>
      <c r="K3" s="553"/>
      <c r="L3" s="554"/>
      <c r="M3" s="554"/>
    </row>
    <row r="4" spans="1:13" ht="18" x14ac:dyDescent="0.25">
      <c r="A4" s="180" t="s">
        <v>370</v>
      </c>
      <c r="B4" s="550"/>
      <c r="C4" s="550"/>
      <c r="D4" s="550"/>
      <c r="E4" s="550"/>
      <c r="F4" s="550"/>
      <c r="G4" s="550"/>
      <c r="H4" s="550"/>
      <c r="I4" s="550"/>
      <c r="J4" s="550"/>
      <c r="K4" s="550"/>
      <c r="L4" s="551"/>
      <c r="M4" s="551"/>
    </row>
    <row r="5" spans="1:13" ht="18" x14ac:dyDescent="0.25">
      <c r="A5" s="175" t="s">
        <v>371</v>
      </c>
      <c r="B5" s="550"/>
      <c r="C5" s="550"/>
      <c r="D5" s="550"/>
      <c r="E5" s="550"/>
      <c r="F5" s="550"/>
      <c r="G5" s="550"/>
      <c r="H5" s="550"/>
      <c r="I5" s="550"/>
      <c r="J5" s="550"/>
      <c r="K5" s="550"/>
      <c r="L5" s="551"/>
      <c r="M5" s="551"/>
    </row>
    <row r="6" spans="1:13" ht="18" x14ac:dyDescent="0.25">
      <c r="A6" s="134" t="s">
        <v>372</v>
      </c>
      <c r="B6" s="550"/>
      <c r="C6" s="550"/>
      <c r="D6" s="550"/>
      <c r="E6" s="550"/>
      <c r="F6" s="550"/>
      <c r="G6" s="550"/>
      <c r="H6" s="550"/>
      <c r="I6" s="550"/>
      <c r="J6" s="550"/>
      <c r="K6" s="550"/>
      <c r="L6" s="551"/>
      <c r="M6" s="551"/>
    </row>
    <row r="7" spans="1:13" ht="27.75" customHeight="1" x14ac:dyDescent="0.25">
      <c r="A7" s="557" t="s">
        <v>1328</v>
      </c>
      <c r="B7" s="550"/>
      <c r="C7" s="550"/>
      <c r="D7" s="550"/>
      <c r="E7" s="550"/>
      <c r="F7" s="550"/>
      <c r="G7" s="558"/>
      <c r="H7" s="559"/>
      <c r="I7" s="558"/>
      <c r="J7" s="550"/>
      <c r="K7" s="550"/>
      <c r="L7" s="551"/>
      <c r="M7" s="551"/>
    </row>
    <row r="8" spans="1:13" ht="47.25" x14ac:dyDescent="0.25">
      <c r="A8" s="560" t="s">
        <v>979</v>
      </c>
      <c r="B8" s="561" t="s">
        <v>1329</v>
      </c>
      <c r="C8" s="561" t="s">
        <v>1330</v>
      </c>
      <c r="D8" s="561" t="s">
        <v>1331</v>
      </c>
      <c r="E8" s="561" t="s">
        <v>1332</v>
      </c>
      <c r="F8" s="562" t="s">
        <v>1333</v>
      </c>
      <c r="G8" s="561" t="s">
        <v>1334</v>
      </c>
      <c r="H8" s="561" t="s">
        <v>1335</v>
      </c>
      <c r="I8" s="561" t="s">
        <v>1336</v>
      </c>
      <c r="J8" s="561" t="s">
        <v>1337</v>
      </c>
      <c r="K8" s="561" t="s">
        <v>1338</v>
      </c>
      <c r="L8" s="561" t="s">
        <v>1339</v>
      </c>
      <c r="M8" s="561" t="s">
        <v>1340</v>
      </c>
    </row>
    <row r="9" spans="1:13" ht="18.75" customHeight="1" x14ac:dyDescent="0.25">
      <c r="A9" s="563" t="s">
        <v>981</v>
      </c>
      <c r="B9" s="564">
        <v>215918</v>
      </c>
      <c r="C9" s="564">
        <v>207426</v>
      </c>
      <c r="D9" s="564">
        <v>201917</v>
      </c>
      <c r="E9" s="564">
        <v>200303</v>
      </c>
      <c r="F9" s="564">
        <v>203760</v>
      </c>
      <c r="G9" s="564">
        <v>197493</v>
      </c>
      <c r="H9" s="564">
        <v>188452</v>
      </c>
      <c r="I9" s="564">
        <v>207825</v>
      </c>
      <c r="J9" s="565">
        <v>-5.6308413379153155</v>
      </c>
      <c r="K9" s="565">
        <v>-4.7886957276329856</v>
      </c>
      <c r="L9" s="565">
        <v>-6.6685816449333135</v>
      </c>
      <c r="M9" s="565">
        <v>3.7553107042830103</v>
      </c>
    </row>
    <row r="10" spans="1:13" ht="18.75" customHeight="1" x14ac:dyDescent="0.25">
      <c r="A10" s="566" t="s">
        <v>775</v>
      </c>
      <c r="B10" s="556">
        <v>169411</v>
      </c>
      <c r="C10" s="556">
        <v>163613</v>
      </c>
      <c r="D10" s="556">
        <v>159135</v>
      </c>
      <c r="E10" s="556">
        <v>155998</v>
      </c>
      <c r="F10" s="556">
        <v>159064</v>
      </c>
      <c r="G10" s="556">
        <v>154647</v>
      </c>
      <c r="H10" s="556">
        <v>147936</v>
      </c>
      <c r="I10" s="556">
        <v>161783</v>
      </c>
      <c r="J10" s="567">
        <v>-6.1076317358376926</v>
      </c>
      <c r="K10" s="567">
        <v>-5.4800046451076607</v>
      </c>
      <c r="L10" s="567">
        <v>-7.0374210575926082</v>
      </c>
      <c r="M10" s="567">
        <v>3.7083808766779081</v>
      </c>
    </row>
    <row r="11" spans="1:13" ht="18.75" customHeight="1" x14ac:dyDescent="0.25">
      <c r="A11" s="566" t="s">
        <v>745</v>
      </c>
      <c r="B11" s="556">
        <v>8915</v>
      </c>
      <c r="C11" s="556">
        <v>8691</v>
      </c>
      <c r="D11" s="556">
        <v>9369</v>
      </c>
      <c r="E11" s="556">
        <v>10630</v>
      </c>
      <c r="F11" s="556">
        <v>10779</v>
      </c>
      <c r="G11" s="556">
        <v>11323</v>
      </c>
      <c r="H11" s="556">
        <v>11182</v>
      </c>
      <c r="I11" s="556">
        <v>11427</v>
      </c>
      <c r="J11" s="567">
        <v>20.908581043185649</v>
      </c>
      <c r="K11" s="567">
        <v>30.284202048095722</v>
      </c>
      <c r="L11" s="567">
        <v>19.351051339523973</v>
      </c>
      <c r="M11" s="567">
        <v>7.4976481655691485</v>
      </c>
    </row>
    <row r="12" spans="1:13" ht="18.75" customHeight="1" x14ac:dyDescent="0.25">
      <c r="A12" s="566" t="s">
        <v>982</v>
      </c>
      <c r="B12" s="556">
        <v>3315</v>
      </c>
      <c r="C12" s="556">
        <v>3231</v>
      </c>
      <c r="D12" s="556">
        <v>3286</v>
      </c>
      <c r="E12" s="556">
        <v>3440</v>
      </c>
      <c r="F12" s="556">
        <v>3527</v>
      </c>
      <c r="G12" s="556">
        <v>3499</v>
      </c>
      <c r="H12" s="556">
        <v>3195</v>
      </c>
      <c r="I12" s="556">
        <v>3679</v>
      </c>
      <c r="J12" s="567">
        <v>6.3951734539969829</v>
      </c>
      <c r="K12" s="567">
        <v>8.2946456205509111</v>
      </c>
      <c r="L12" s="567">
        <v>-2.7693244065733369</v>
      </c>
      <c r="M12" s="567">
        <v>6.9476744186046435</v>
      </c>
    </row>
    <row r="13" spans="1:13" ht="18.75" customHeight="1" x14ac:dyDescent="0.25">
      <c r="A13" s="566" t="s">
        <v>759</v>
      </c>
      <c r="B13" s="556">
        <v>8937</v>
      </c>
      <c r="C13" s="556">
        <v>8047</v>
      </c>
      <c r="D13" s="556">
        <v>7429</v>
      </c>
      <c r="E13" s="556">
        <v>7576</v>
      </c>
      <c r="F13" s="556">
        <v>7512</v>
      </c>
      <c r="G13" s="556">
        <v>6892</v>
      </c>
      <c r="H13" s="556">
        <v>6369</v>
      </c>
      <c r="I13" s="556">
        <v>7380</v>
      </c>
      <c r="J13" s="567">
        <v>-15.944947969117152</v>
      </c>
      <c r="K13" s="567">
        <v>-14.35317509630918</v>
      </c>
      <c r="L13" s="567">
        <v>-14.268407591869703</v>
      </c>
      <c r="M13" s="567">
        <v>-2.5871172122492125</v>
      </c>
    </row>
    <row r="14" spans="1:13" ht="18.75" customHeight="1" x14ac:dyDescent="0.25">
      <c r="A14" s="566" t="s">
        <v>756</v>
      </c>
      <c r="B14" s="556">
        <v>13298</v>
      </c>
      <c r="C14" s="556">
        <v>12449</v>
      </c>
      <c r="D14" s="556">
        <v>11564</v>
      </c>
      <c r="E14" s="556">
        <v>11644</v>
      </c>
      <c r="F14" s="556">
        <v>11513</v>
      </c>
      <c r="G14" s="556">
        <v>10791</v>
      </c>
      <c r="H14" s="556">
        <v>9815</v>
      </c>
      <c r="I14" s="556">
        <v>11551</v>
      </c>
      <c r="J14" s="567">
        <v>-13.423071138517074</v>
      </c>
      <c r="K14" s="567">
        <v>-13.31833882239537</v>
      </c>
      <c r="L14" s="567">
        <v>-15.124524386025595</v>
      </c>
      <c r="M14" s="567">
        <v>-0.79869460666437408</v>
      </c>
    </row>
    <row r="15" spans="1:13" ht="18.75" customHeight="1" x14ac:dyDescent="0.25">
      <c r="A15" s="566" t="s">
        <v>983</v>
      </c>
      <c r="B15" s="556">
        <v>12042</v>
      </c>
      <c r="C15" s="556">
        <v>11395</v>
      </c>
      <c r="D15" s="556">
        <v>11134</v>
      </c>
      <c r="E15" s="556">
        <v>11015</v>
      </c>
      <c r="F15" s="556">
        <v>11365</v>
      </c>
      <c r="G15" s="556">
        <v>10341</v>
      </c>
      <c r="H15" s="556">
        <v>9955</v>
      </c>
      <c r="I15" s="556">
        <v>12005</v>
      </c>
      <c r="J15" s="567">
        <v>-5.6219897027071859</v>
      </c>
      <c r="K15" s="567">
        <v>-9.2496709082931066</v>
      </c>
      <c r="L15" s="567">
        <v>-10.58918627627088</v>
      </c>
      <c r="M15" s="567">
        <v>8.9877439854743493</v>
      </c>
    </row>
    <row r="16" spans="1:13" ht="15.75" x14ac:dyDescent="0.25">
      <c r="A16" s="566"/>
      <c r="B16" s="556"/>
      <c r="C16" s="556"/>
      <c r="D16" s="556"/>
      <c r="E16" s="556"/>
      <c r="F16" s="556"/>
      <c r="G16" s="556"/>
      <c r="H16" s="556"/>
      <c r="I16" s="556"/>
      <c r="J16" s="567"/>
      <c r="K16" s="567"/>
      <c r="L16" s="567"/>
      <c r="M16" s="567"/>
    </row>
    <row r="17" spans="1:13" ht="18" x14ac:dyDescent="0.25">
      <c r="A17" s="557" t="s">
        <v>1341</v>
      </c>
      <c r="B17" s="550"/>
      <c r="C17" s="550"/>
      <c r="D17" s="550"/>
      <c r="E17" s="550"/>
      <c r="F17" s="550"/>
      <c r="G17" s="550"/>
      <c r="H17" s="550"/>
      <c r="I17" s="568"/>
      <c r="J17" s="568"/>
      <c r="K17" s="569"/>
      <c r="L17" s="569"/>
      <c r="M17" s="569"/>
    </row>
    <row r="18" spans="1:13" ht="47.25" x14ac:dyDescent="0.25">
      <c r="A18" s="570" t="s">
        <v>979</v>
      </c>
      <c r="B18" s="571" t="s">
        <v>1342</v>
      </c>
      <c r="C18" s="572" t="s">
        <v>1343</v>
      </c>
      <c r="D18" s="573" t="s">
        <v>1344</v>
      </c>
      <c r="E18" s="571" t="s">
        <v>1345</v>
      </c>
      <c r="F18" s="571" t="s">
        <v>1346</v>
      </c>
      <c r="G18" s="574" t="s">
        <v>1347</v>
      </c>
      <c r="H18" s="573" t="s">
        <v>1348</v>
      </c>
      <c r="I18" s="571" t="s">
        <v>1349</v>
      </c>
      <c r="J18" s="569"/>
      <c r="K18" s="500"/>
      <c r="L18" s="569"/>
    </row>
    <row r="19" spans="1:13" ht="19.5" customHeight="1" x14ac:dyDescent="0.25">
      <c r="A19" s="563" t="s">
        <v>981</v>
      </c>
      <c r="B19" s="564">
        <v>15.600109820241604</v>
      </c>
      <c r="C19" s="564">
        <v>15.636088151155034</v>
      </c>
      <c r="D19" s="564">
        <v>15.720358446937553</v>
      </c>
      <c r="E19" s="564">
        <v>14.616154731900101</v>
      </c>
      <c r="F19" s="564">
        <v>14.817508162864602</v>
      </c>
      <c r="G19" s="564">
        <v>15.047750681553929</v>
      </c>
      <c r="H19" s="564">
        <v>15.086817327760329</v>
      </c>
      <c r="I19" s="564">
        <v>15.3873662559667</v>
      </c>
      <c r="J19" s="569"/>
      <c r="K19" s="569"/>
      <c r="L19" s="569"/>
    </row>
    <row r="20" spans="1:13" ht="19.5" customHeight="1" x14ac:dyDescent="0.25">
      <c r="A20" s="566" t="s">
        <v>775</v>
      </c>
      <c r="B20" s="556">
        <v>33.032472672960758</v>
      </c>
      <c r="C20" s="556">
        <v>33.371815294743946</v>
      </c>
      <c r="D20" s="556">
        <v>33.374649234292619</v>
      </c>
      <c r="E20" s="556">
        <v>31.080561449647849</v>
      </c>
      <c r="F20" s="556">
        <v>31.825084482610286</v>
      </c>
      <c r="G20" s="556">
        <v>32.628289792938737</v>
      </c>
      <c r="H20" s="556">
        <v>31.962319999135779</v>
      </c>
      <c r="I20" s="556">
        <v>31.834012845134275</v>
      </c>
      <c r="J20" s="569"/>
      <c r="K20" s="569"/>
      <c r="L20" s="569"/>
    </row>
    <row r="21" spans="1:13" ht="19.5" customHeight="1" x14ac:dyDescent="0.25">
      <c r="A21" s="566" t="s">
        <v>745</v>
      </c>
      <c r="B21" s="556">
        <v>18.886911571543578</v>
      </c>
      <c r="C21" s="556">
        <v>18.946611148656014</v>
      </c>
      <c r="D21" s="556">
        <v>19.839908519153802</v>
      </c>
      <c r="E21" s="556">
        <v>19.910841387577733</v>
      </c>
      <c r="F21" s="556">
        <v>20.757987174302386</v>
      </c>
      <c r="G21" s="556">
        <v>21.774581258052731</v>
      </c>
      <c r="H21" s="556">
        <v>21.602302803160558</v>
      </c>
      <c r="I21" s="556">
        <v>20.57658371448122</v>
      </c>
      <c r="J21" s="569"/>
      <c r="K21" s="569"/>
      <c r="L21" s="569"/>
    </row>
    <row r="22" spans="1:13" ht="19.5" customHeight="1" x14ac:dyDescent="0.25">
      <c r="A22" s="566" t="s">
        <v>982</v>
      </c>
      <c r="B22" s="556">
        <v>11.686938127974617</v>
      </c>
      <c r="C22" s="556">
        <v>11.894419084081873</v>
      </c>
      <c r="D22" s="556">
        <v>11.457861152759859</v>
      </c>
      <c r="E22" s="556">
        <v>11.363636363636363</v>
      </c>
      <c r="F22" s="556">
        <v>11.555220653277855</v>
      </c>
      <c r="G22" s="556">
        <v>11.385526487049329</v>
      </c>
      <c r="H22" s="556">
        <v>9.9604077688063093</v>
      </c>
      <c r="I22" s="556">
        <v>11.17252270035531</v>
      </c>
      <c r="J22" s="569"/>
      <c r="K22" s="569"/>
      <c r="L22" s="569"/>
    </row>
    <row r="23" spans="1:13" ht="19.5" customHeight="1" x14ac:dyDescent="0.25">
      <c r="A23" s="566" t="s">
        <v>759</v>
      </c>
      <c r="B23" s="556">
        <v>6.9425994546598613</v>
      </c>
      <c r="C23" s="556">
        <v>7.2231946501503526</v>
      </c>
      <c r="D23" s="556">
        <v>7.131885644068122</v>
      </c>
      <c r="E23" s="556">
        <v>6.2080550661695417</v>
      </c>
      <c r="F23" s="556">
        <v>5.9883771912342656</v>
      </c>
      <c r="G23" s="556">
        <v>6.5945842503109748</v>
      </c>
      <c r="H23" s="556">
        <v>6.2833578327397568</v>
      </c>
      <c r="I23" s="556">
        <v>6.0840388784923451</v>
      </c>
      <c r="J23" s="569"/>
      <c r="K23" s="569"/>
      <c r="L23" s="569"/>
    </row>
    <row r="24" spans="1:13" ht="19.5" customHeight="1" x14ac:dyDescent="0.25">
      <c r="A24" s="566" t="s">
        <v>756</v>
      </c>
      <c r="B24" s="556">
        <v>10.329827396025914</v>
      </c>
      <c r="C24" s="556">
        <v>10.339099886219239</v>
      </c>
      <c r="D24" s="556">
        <v>10.178233507899485</v>
      </c>
      <c r="E24" s="556">
        <v>9.4710556924753746</v>
      </c>
      <c r="F24" s="556">
        <v>9.4426127323130427</v>
      </c>
      <c r="G24" s="556">
        <v>9.5405235750218811</v>
      </c>
      <c r="H24" s="556">
        <v>9.3198370571534372</v>
      </c>
      <c r="I24" s="556">
        <v>9.6725031610855705</v>
      </c>
      <c r="J24" s="569"/>
      <c r="K24" s="569"/>
      <c r="L24" s="569"/>
    </row>
    <row r="25" spans="1:13" ht="19.5" customHeight="1" x14ac:dyDescent="0.25">
      <c r="A25" s="575" t="s">
        <v>983</v>
      </c>
      <c r="B25" s="556">
        <v>2.2374997677400175</v>
      </c>
      <c r="C25" s="556">
        <v>2.1440734573302098</v>
      </c>
      <c r="D25" s="556">
        <v>2.1664302545273411</v>
      </c>
      <c r="E25" s="556">
        <v>2.040309778853759</v>
      </c>
      <c r="F25" s="556">
        <v>2.0833944389042061</v>
      </c>
      <c r="G25" s="556">
        <v>1.9216689028220157</v>
      </c>
      <c r="H25" s="556">
        <v>2.0080442798473443</v>
      </c>
      <c r="I25" s="556">
        <v>2.3391163381576998</v>
      </c>
      <c r="J25" s="569"/>
      <c r="K25" s="569"/>
      <c r="L25" s="569"/>
    </row>
  </sheetData>
  <hyperlinks>
    <hyperlink ref="A2" location="'Table of contents'!A1" display="Link to contents page" xr:uid="{F5AAF226-6D40-45E0-9A08-08B8F564AA82}"/>
    <hyperlink ref="A4" location="'Notes_E1 to E3'!A1" display="Link to Notes page" xr:uid="{1A74F23B-47B7-4716-BB5D-5956AE6E3157}"/>
  </hyperlinks>
  <pageMargins left="0.7" right="0.7" top="0.75" bottom="0.75" header="0.3" footer="0.3"/>
  <pageSetup paperSize="9" orientation="portrait" r:id="rId1"/>
  <tableParts count="2">
    <tablePart r:id="rId2"/>
    <tablePart r:id="rId3"/>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ED104-6BA7-42AC-B84C-5197F8C4ABE3}">
  <dimension ref="A1:K13"/>
  <sheetViews>
    <sheetView showGridLines="0" workbookViewId="0"/>
  </sheetViews>
  <sheetFormatPr defaultColWidth="8.7109375" defaultRowHeight="15" customHeight="1" x14ac:dyDescent="0.25"/>
  <cols>
    <col min="1" max="1" width="61.28515625" customWidth="1"/>
    <col min="2" max="11" width="15.7109375" customWidth="1"/>
  </cols>
  <sheetData>
    <row r="1" spans="1:11" ht="19.5" customHeight="1" x14ac:dyDescent="0.25">
      <c r="A1" s="607" t="s">
        <v>1463</v>
      </c>
      <c r="B1" s="877"/>
      <c r="C1" s="877"/>
      <c r="D1" s="877"/>
      <c r="E1" s="877"/>
      <c r="F1" s="877"/>
      <c r="G1" s="877"/>
      <c r="H1" s="877"/>
      <c r="I1" s="877"/>
      <c r="J1" s="877"/>
      <c r="K1" s="877"/>
    </row>
    <row r="2" spans="1:11" ht="19.5" customHeight="1" x14ac:dyDescent="0.25">
      <c r="A2" s="878" t="s">
        <v>1462</v>
      </c>
      <c r="B2" s="879"/>
      <c r="C2" s="879"/>
      <c r="D2" s="879"/>
      <c r="E2" s="879"/>
      <c r="F2" s="879"/>
      <c r="G2" s="879"/>
      <c r="H2" s="879"/>
      <c r="I2" s="879"/>
      <c r="J2" s="879"/>
      <c r="K2" s="879"/>
    </row>
    <row r="3" spans="1:11" ht="19.5" customHeight="1" x14ac:dyDescent="0.25">
      <c r="A3" s="880" t="s">
        <v>368</v>
      </c>
      <c r="B3" s="879"/>
      <c r="C3" s="879"/>
      <c r="D3" s="879"/>
      <c r="E3" s="879"/>
      <c r="F3" s="879"/>
      <c r="G3" s="879"/>
      <c r="H3" s="879"/>
      <c r="I3" s="879"/>
      <c r="J3" s="879"/>
      <c r="K3" s="879"/>
    </row>
    <row r="4" spans="1:11" ht="19.5" customHeight="1" x14ac:dyDescent="0.25">
      <c r="A4" s="601" t="s">
        <v>369</v>
      </c>
      <c r="B4" s="879"/>
      <c r="C4" s="879"/>
      <c r="D4" s="879"/>
      <c r="E4" s="879"/>
      <c r="F4" s="879"/>
      <c r="G4" s="879"/>
      <c r="H4" s="879"/>
      <c r="I4" s="879"/>
      <c r="J4" s="879"/>
      <c r="K4" s="879"/>
    </row>
    <row r="5" spans="1:11" ht="19.5" customHeight="1" x14ac:dyDescent="0.25">
      <c r="A5" s="880" t="s">
        <v>99</v>
      </c>
    </row>
    <row r="6" spans="1:11" ht="21" customHeight="1" x14ac:dyDescent="0.25">
      <c r="A6" s="1" t="s">
        <v>371</v>
      </c>
      <c r="B6" s="879"/>
      <c r="C6" s="879"/>
      <c r="D6" s="879"/>
      <c r="E6" s="879"/>
      <c r="F6" s="879"/>
      <c r="G6" s="879"/>
      <c r="H6" s="879"/>
      <c r="I6" s="879"/>
      <c r="J6" s="879"/>
      <c r="K6" s="879"/>
    </row>
    <row r="7" spans="1:11" ht="19.5" customHeight="1" x14ac:dyDescent="0.25">
      <c r="A7" s="881" t="s">
        <v>372</v>
      </c>
      <c r="B7" s="879"/>
      <c r="C7" s="879"/>
      <c r="D7" s="879"/>
      <c r="E7" s="879"/>
      <c r="F7" s="879"/>
      <c r="G7" s="879"/>
      <c r="H7" s="879"/>
      <c r="I7" s="879"/>
      <c r="J7" s="879"/>
      <c r="K7" s="657"/>
    </row>
    <row r="8" spans="1:11" ht="31.5" x14ac:dyDescent="0.25">
      <c r="A8" s="658" t="s">
        <v>979</v>
      </c>
      <c r="B8" s="830" t="s">
        <v>1350</v>
      </c>
      <c r="C8" s="830" t="s">
        <v>1351</v>
      </c>
      <c r="D8" s="830" t="s">
        <v>1352</v>
      </c>
      <c r="E8" s="830" t="s">
        <v>1353</v>
      </c>
      <c r="F8" s="829" t="s">
        <v>132</v>
      </c>
      <c r="G8" s="830" t="s">
        <v>1354</v>
      </c>
      <c r="H8" s="830" t="s">
        <v>1355</v>
      </c>
      <c r="I8" s="830" t="s">
        <v>1356</v>
      </c>
      <c r="J8" s="830" t="s">
        <v>1471</v>
      </c>
      <c r="K8" s="829" t="s">
        <v>133</v>
      </c>
    </row>
    <row r="9" spans="1:11" ht="33" customHeight="1" x14ac:dyDescent="0.25">
      <c r="A9" s="659" t="s">
        <v>1357</v>
      </c>
      <c r="B9" s="743">
        <v>2</v>
      </c>
      <c r="C9" s="743">
        <v>5</v>
      </c>
      <c r="D9" s="743">
        <v>3</v>
      </c>
      <c r="E9" s="743">
        <v>5</v>
      </c>
      <c r="F9" s="660">
        <v>15</v>
      </c>
      <c r="G9" s="743">
        <v>3</v>
      </c>
      <c r="H9" s="743">
        <v>2</v>
      </c>
      <c r="I9" s="743">
        <v>3</v>
      </c>
      <c r="J9" s="743">
        <v>9</v>
      </c>
      <c r="K9" s="661">
        <v>17</v>
      </c>
    </row>
    <row r="10" spans="1:11" ht="34.5" customHeight="1" x14ac:dyDescent="0.25">
      <c r="A10" s="659" t="s">
        <v>1358</v>
      </c>
      <c r="B10" s="743">
        <v>0</v>
      </c>
      <c r="C10" s="743">
        <v>0</v>
      </c>
      <c r="D10" s="743">
        <v>2</v>
      </c>
      <c r="E10" s="743">
        <v>2</v>
      </c>
      <c r="F10" s="660">
        <v>4</v>
      </c>
      <c r="G10" s="743">
        <v>0</v>
      </c>
      <c r="H10" s="743">
        <v>2</v>
      </c>
      <c r="I10" s="743">
        <v>1</v>
      </c>
      <c r="J10" s="743">
        <v>8</v>
      </c>
      <c r="K10" s="661">
        <v>11</v>
      </c>
    </row>
    <row r="11" spans="1:11" ht="45" x14ac:dyDescent="0.25">
      <c r="A11" s="659" t="s">
        <v>1359</v>
      </c>
      <c r="B11" s="743">
        <v>0</v>
      </c>
      <c r="C11" s="743">
        <v>0</v>
      </c>
      <c r="D11" s="743">
        <v>0</v>
      </c>
      <c r="E11" s="743">
        <v>1</v>
      </c>
      <c r="F11" s="660">
        <v>1</v>
      </c>
      <c r="G11" s="743">
        <v>0</v>
      </c>
      <c r="H11" s="743">
        <v>0</v>
      </c>
      <c r="I11" s="743">
        <v>0</v>
      </c>
      <c r="J11" s="743">
        <v>0</v>
      </c>
      <c r="K11" s="661">
        <v>0</v>
      </c>
    </row>
    <row r="12" spans="1:11" ht="18" customHeight="1" x14ac:dyDescent="0.25">
      <c r="A12" s="662" t="s">
        <v>1360</v>
      </c>
      <c r="B12" s="743">
        <v>33</v>
      </c>
      <c r="C12" s="743">
        <v>37</v>
      </c>
      <c r="D12" s="743">
        <v>46</v>
      </c>
      <c r="E12" s="743">
        <v>46</v>
      </c>
      <c r="F12" s="660">
        <v>162</v>
      </c>
      <c r="G12" s="743">
        <v>52</v>
      </c>
      <c r="H12" s="743">
        <v>45</v>
      </c>
      <c r="I12" s="743">
        <v>43</v>
      </c>
      <c r="J12" s="743">
        <v>57</v>
      </c>
      <c r="K12" s="661">
        <v>197</v>
      </c>
    </row>
    <row r="13" spans="1:11" ht="18.75" customHeight="1" x14ac:dyDescent="0.25">
      <c r="A13" s="663" t="s">
        <v>1361</v>
      </c>
      <c r="B13" s="661">
        <v>35</v>
      </c>
      <c r="C13" s="661">
        <v>42</v>
      </c>
      <c r="D13" s="661">
        <v>51</v>
      </c>
      <c r="E13" s="661">
        <v>54</v>
      </c>
      <c r="F13" s="660">
        <v>182</v>
      </c>
      <c r="G13" s="661">
        <v>55</v>
      </c>
      <c r="H13" s="661">
        <v>49</v>
      </c>
      <c r="I13" s="661">
        <v>47</v>
      </c>
      <c r="J13" s="661">
        <v>74</v>
      </c>
      <c r="K13" s="661">
        <v>225</v>
      </c>
    </row>
  </sheetData>
  <hyperlinks>
    <hyperlink ref="A3" location="'Table of contents'!A1" display="Link to Table of Contents" xr:uid="{A12CDCFD-61AE-4173-AF04-3D0AD55261D3}"/>
    <hyperlink ref="A5" location="'Notes_E1 to E3'!A1" display="Link to Notes page." xr:uid="{7772A767-B9F3-45CB-9673-D114BCB5DC30}"/>
  </hyperlinks>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66FE8C85E70484CA6E47CDF031DEDC1" ma:contentTypeVersion="18" ma:contentTypeDescription="Create a new document." ma:contentTypeScope="" ma:versionID="39a28afb6bfd1532f30453894a73da6c">
  <xsd:schema xmlns:xsd="http://www.w3.org/2001/XMLSchema" xmlns:xs="http://www.w3.org/2001/XMLSchema" xmlns:p="http://schemas.microsoft.com/office/2006/metadata/properties" xmlns:ns2="1e572c8d-6813-4013-8a4a-be491ac59459" xmlns:ns3="96a98433-1569-4222-be80-afd48d89a184" targetNamespace="http://schemas.microsoft.com/office/2006/metadata/properties" ma:root="true" ma:fieldsID="c6cf37292414ab3c2182af2094a228db" ns2:_="" ns3:_="">
    <xsd:import namespace="1e572c8d-6813-4013-8a4a-be491ac59459"/>
    <xsd:import namespace="96a98433-1569-4222-be80-afd48d89a184"/>
    <xsd:element name="properties">
      <xsd:complexType>
        <xsd:sequence>
          <xsd:element name="documentManagement">
            <xsd:complexType>
              <xsd:all>
                <xsd:element ref="ns2:SectionName" minOccurs="0"/>
                <xsd:element ref="ns2:TrackerId" minOccurs="0"/>
                <xsd:element ref="ns2:ReferenceId" minOccurs="0"/>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Comments" minOccurs="0"/>
                <xsd:element ref="ns2:Notes" minOccurs="0"/>
                <xsd:element ref="ns2:MediaServiceDateTake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572c8d-6813-4013-8a4a-be491ac59459" elementFormDefault="qualified">
    <xsd:import namespace="http://schemas.microsoft.com/office/2006/documentManagement/types"/>
    <xsd:import namespace="http://schemas.microsoft.com/office/infopath/2007/PartnerControls"/>
    <xsd:element name="SectionName" ma:index="8" nillable="true" ma:displayName="Section Name" ma:internalName="SectionName">
      <xsd:simpleType>
        <xsd:restriction base="dms:Text">
          <xsd:maxLength value="255"/>
        </xsd:restriction>
      </xsd:simpleType>
    </xsd:element>
    <xsd:element name="TrackerId" ma:index="9" nillable="true" ma:displayName="Tracker Id" ma:internalName="TrackerId">
      <xsd:simpleType>
        <xsd:restriction base="dms:Text">
          <xsd:maxLength value="255"/>
        </xsd:restriction>
      </xsd:simpleType>
    </xsd:element>
    <xsd:element name="ReferenceId" ma:index="10" nillable="true" ma:displayName="Reference Id" ma:internalName="ReferenceId">
      <xsd:simpleType>
        <xsd:restriction base="dms:Text">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Comments" ma:index="21" nillable="true" ma:displayName="Comments" ma:description="test" ma:format="Dropdown" ma:internalName="Comments">
      <xsd:simpleType>
        <xsd:restriction base="dms:Text">
          <xsd:maxLength value="255"/>
        </xsd:restriction>
      </xsd:simpleType>
    </xsd:element>
    <xsd:element name="Notes" ma:index="22" nillable="true" ma:displayName="Notes" ma:description="Final proofread" ma:format="Dropdown" ma:internalName="Notes">
      <xsd:simpleType>
        <xsd:restriction base="dms:Text">
          <xsd:maxLength value="255"/>
        </xsd:restriction>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a98433-1569-4222-be80-afd48d89a184"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62cce4f6-f704-4165-ba2c-a30e38f72b83}" ma:internalName="TaxCatchAll" ma:showField="CatchAllData" ma:web="96a98433-1569-4222-be80-afd48d89a18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e572c8d-6813-4013-8a4a-be491ac59459">
      <Terms xmlns="http://schemas.microsoft.com/office/infopath/2007/PartnerControls"/>
    </lcf76f155ced4ddcb4097134ff3c332f>
    <TaxCatchAll xmlns="96a98433-1569-4222-be80-afd48d89a184" xsi:nil="true"/>
    <SectionName xmlns="1e572c8d-6813-4013-8a4a-be491ac59459">Datasets</SectionName>
    <Comments xmlns="1e572c8d-6813-4013-8a4a-be491ac59459" xsi:nil="true"/>
    <ReferenceId xmlns="1e572c8d-6813-4013-8a4a-be491ac59459">11896</ReferenceId>
    <Notes xmlns="1e572c8d-6813-4013-8a4a-be491ac59459" xsi:nil="true"/>
    <TrackerId xmlns="1e572c8d-6813-4013-8a4a-be491ac59459">TRCK-3593</TrackerId>
  </documentManagement>
</p:properties>
</file>

<file path=customXml/itemProps1.xml><?xml version="1.0" encoding="utf-8"?>
<ds:datastoreItem xmlns:ds="http://schemas.openxmlformats.org/officeDocument/2006/customXml" ds:itemID="{983ADD84-015E-4718-B338-3B0A0A901A39}"/>
</file>

<file path=customXml/itemProps2.xml><?xml version="1.0" encoding="utf-8"?>
<ds:datastoreItem xmlns:ds="http://schemas.openxmlformats.org/officeDocument/2006/customXml" ds:itemID="{8EFC5049-8A65-47C0-9A22-0041C972CEFD}"/>
</file>

<file path=customXml/itemProps3.xml><?xml version="1.0" encoding="utf-8"?>
<ds:datastoreItem xmlns:ds="http://schemas.openxmlformats.org/officeDocument/2006/customXml" ds:itemID="{96BB006A-4157-43AF-A611-48AF97BA59A9}">
  <ds:schemaRefs>
    <ds:schemaRef ds:uri="http://schemas.microsoft.com/office/infopath/2007/PartnerControls"/>
    <ds:schemaRef ds:uri="http://purl.org/dc/dcmitype/"/>
    <ds:schemaRef ds:uri="http://schemas.microsoft.com/office/2006/metadata/properties"/>
    <ds:schemaRef ds:uri="http://purl.org/dc/terms/"/>
    <ds:schemaRef ds:uri="http://schemas.openxmlformats.org/package/2006/metadata/core-properties"/>
    <ds:schemaRef ds:uri="http://purl.org/dc/elements/1.1/"/>
    <ds:schemaRef ds:uri="http://schemas.microsoft.com/office/2006/documentManagement/types"/>
    <ds:schemaRef ds:uri="91857a50-4791-40a7-9f04-f87f065827f6"/>
    <ds:schemaRef ds:uri="eb8c0be1-eb5f-4b09-9aad-2bd5a3d4f116"/>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Cover Sheet</vt:lpstr>
      <vt:lpstr>Table of contents</vt:lpstr>
      <vt:lpstr>Notes_A1 to A4</vt:lpstr>
      <vt:lpstr>Table_A1a</vt:lpstr>
      <vt:lpstr>Table_A1b</vt:lpstr>
      <vt:lpstr>Table_A2a</vt:lpstr>
      <vt:lpstr>Table_A2b</vt:lpstr>
      <vt:lpstr>Table_A3a</vt:lpstr>
      <vt:lpstr>Table_A3b</vt:lpstr>
      <vt:lpstr>Table_A4a</vt:lpstr>
      <vt:lpstr>Table_A4b</vt:lpstr>
      <vt:lpstr>Notes_A5 to A7</vt:lpstr>
      <vt:lpstr>Table_A5a</vt:lpstr>
      <vt:lpstr>Table_A5b</vt:lpstr>
      <vt:lpstr>Summary Table_A6</vt:lpstr>
      <vt:lpstr>Table_A7</vt:lpstr>
      <vt:lpstr>Notes_B1 to B10</vt:lpstr>
      <vt:lpstr>Worksheet_B1</vt:lpstr>
      <vt:lpstr>Table_B2</vt:lpstr>
      <vt:lpstr>Table_B3</vt:lpstr>
      <vt:lpstr>Table_B4</vt:lpstr>
      <vt:lpstr>Worksheet_B5</vt:lpstr>
      <vt:lpstr>Worksheet_B6</vt:lpstr>
      <vt:lpstr>Worksheet_B7</vt:lpstr>
      <vt:lpstr>Table_B8</vt:lpstr>
      <vt:lpstr>Worksheet_B9</vt:lpstr>
      <vt:lpstr>Table_B10</vt:lpstr>
      <vt:lpstr>Notes_C1 to C5</vt:lpstr>
      <vt:lpstr>Table_C1</vt:lpstr>
      <vt:lpstr>Table_C2</vt:lpstr>
      <vt:lpstr>Table_C3</vt:lpstr>
      <vt:lpstr>Table_C4</vt:lpstr>
      <vt:lpstr>Table_C5</vt:lpstr>
      <vt:lpstr>Notes_D1 to D6</vt:lpstr>
      <vt:lpstr>Worksheet_D1</vt:lpstr>
      <vt:lpstr>Worksheet_D2</vt:lpstr>
      <vt:lpstr>Table_D3</vt:lpstr>
      <vt:lpstr>Table_D4</vt:lpstr>
      <vt:lpstr>Table_D5</vt:lpstr>
      <vt:lpstr>Worksheet_D6</vt:lpstr>
      <vt:lpstr>Notes_E1 to E3</vt:lpstr>
      <vt:lpstr>Table_E1</vt:lpstr>
      <vt:lpstr>Worksheet_E2</vt:lpstr>
      <vt:lpstr>Table_E3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2025-10-09T14:48:56Z</dcterms:created>
  <dcterms:modified xsi:type="dcterms:W3CDTF">2025-10-15T07:54:04Z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0x010100366FE8C85E70484CA6E47CDF031DEDC1</vt:lpwstr>
  </property>
</Properties>
</file>